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ОТЧЕТ УЧРЕДИТЕЛЯМ\2026\ИЮЛЬ\"/>
    </mc:Choice>
  </mc:AlternateContent>
  <xr:revisionPtr revIDLastSave="0" documentId="13_ncr:1_{9E46B0FB-3952-40F1-B003-662EAB02CA8F}" xr6:coauthVersionLast="45" xr6:coauthVersionMax="45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4" i="1" l="1"/>
  <c r="D68" i="1"/>
  <c r="C120" i="1" l="1"/>
  <c r="E86" i="1"/>
  <c r="D86" i="1"/>
  <c r="C88" i="1"/>
  <c r="E92" i="1"/>
  <c r="D92" i="1"/>
  <c r="J102" i="1"/>
  <c r="I100" i="1" l="1"/>
  <c r="D16" i="1" l="1"/>
  <c r="E91" i="1"/>
  <c r="C91" i="1"/>
  <c r="D17" i="1" l="1"/>
  <c r="E118" i="1"/>
  <c r="C111" i="1"/>
  <c r="C121" i="1" l="1"/>
  <c r="D121" i="1" s="1"/>
  <c r="F76" i="1"/>
  <c r="D66" i="1"/>
  <c r="D21" i="1"/>
  <c r="G76" i="1" l="1"/>
  <c r="F75" i="1" l="1"/>
  <c r="F78" i="1"/>
  <c r="D96" i="1" l="1"/>
  <c r="C96" i="1"/>
  <c r="D30" i="1" l="1"/>
  <c r="D105" i="1" l="1"/>
  <c r="E105" i="1"/>
  <c r="C84" i="1" l="1"/>
  <c r="E78" i="1" l="1"/>
  <c r="C78" i="1" l="1"/>
  <c r="H76" i="1"/>
  <c r="C95" i="1" l="1"/>
  <c r="C86" i="1"/>
  <c r="D76" i="1" l="1"/>
  <c r="E76" i="1"/>
  <c r="E75" i="1"/>
  <c r="C76" i="1" l="1"/>
  <c r="D89" i="1"/>
  <c r="D91" i="1" l="1"/>
  <c r="C79" i="1"/>
  <c r="C30" i="1" l="1"/>
  <c r="C68" i="1" s="1"/>
  <c r="G80" i="1" l="1"/>
  <c r="F80" i="1"/>
  <c r="D61" i="1" l="1"/>
  <c r="C98" i="1" l="1"/>
  <c r="E111" i="1" l="1"/>
  <c r="D111" i="1" l="1"/>
  <c r="C69" i="1"/>
  <c r="C99" i="1" l="1"/>
  <c r="C100" i="1" s="1"/>
  <c r="E100" i="1" s="1"/>
  <c r="C92" i="1" l="1"/>
  <c r="D112" i="1" l="1"/>
  <c r="E85" i="1" l="1"/>
  <c r="D85" i="1" l="1"/>
  <c r="D95" i="1" l="1"/>
  <c r="E95" i="1"/>
  <c r="H80" i="1" l="1"/>
  <c r="J99" i="1" l="1"/>
  <c r="J103" i="1" s="1"/>
  <c r="C77" i="1"/>
  <c r="D113" i="1"/>
  <c r="E113" i="1"/>
  <c r="D122" i="1" l="1"/>
  <c r="E122" i="1" l="1"/>
  <c r="D75" i="1" l="1"/>
  <c r="C97" i="1"/>
  <c r="C94" i="1"/>
  <c r="D80" i="1" l="1"/>
  <c r="C75" i="1"/>
  <c r="C80" i="1" s="1"/>
  <c r="D97" i="1"/>
  <c r="E97" i="1"/>
  <c r="E80" i="1" l="1"/>
  <c r="D114" i="1" l="1"/>
  <c r="E114" i="1"/>
  <c r="I99" i="1" l="1"/>
  <c r="I102" i="1" s="1"/>
  <c r="I103" i="1" s="1"/>
  <c r="C117" i="1" l="1"/>
  <c r="C90" i="1" l="1"/>
  <c r="E90" i="1" s="1"/>
  <c r="D90" i="1" l="1"/>
  <c r="E87" i="1"/>
  <c r="D87" i="1"/>
  <c r="D84" i="1" l="1"/>
  <c r="E89" i="1" l="1"/>
  <c r="E94" i="1"/>
  <c r="E88" i="1"/>
  <c r="C89" i="1" l="1"/>
  <c r="E112" i="1"/>
  <c r="E84" i="1"/>
  <c r="D94" i="1"/>
  <c r="D88" i="1"/>
  <c r="C74" i="1" l="1"/>
  <c r="E74" i="1" l="1"/>
  <c r="C41" i="1" l="1"/>
  <c r="D100" i="1"/>
  <c r="D98" i="1" s="1"/>
  <c r="D93" i="1" s="1"/>
  <c r="E98" i="1"/>
  <c r="D102" i="1" l="1"/>
  <c r="D107" i="1" s="1"/>
  <c r="D110" i="1" s="1"/>
  <c r="E93" i="1"/>
  <c r="C93" i="1" s="1"/>
  <c r="C102" i="1" l="1"/>
  <c r="C107" i="1" s="1"/>
  <c r="C110" i="1" s="1"/>
  <c r="D115" i="1"/>
  <c r="E102" i="1"/>
  <c r="E107" i="1" s="1"/>
  <c r="E110" i="1" s="1"/>
  <c r="E115" i="1" s="1"/>
  <c r="E124" i="1" s="1"/>
  <c r="C115" i="1" l="1"/>
  <c r="C1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Сумма без вычета эквайринга из отчета по 1С Управление касса
</t>
        </r>
      </text>
    </comment>
    <comment ref="D6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91счет
</t>
        </r>
      </text>
    </comment>
    <comment ref="D86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-7800 - 1/2 от 15600 за Коротеева (Погосян)+55191
 1/2 Корнейчик
</t>
        </r>
      </text>
    </comment>
    <comment ref="E86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+7800 вторая половина от 15600 Коротеев-55191 корнейчик
</t>
        </r>
      </text>
    </comment>
    <comment ref="D9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Доп.расходы
1.По данным главной мед сестры 14429/2=7215
 половину вычли уже в постащиках общих
минус половина расходов ДА 47029/2=23515
ИП Кудря минус половина (расход Погосяна ДА)128400/2=64200
Плюс 688500/2=344250 - опер лампа и датчик узи, вычитаем половину, т.к. половина уже в поставщике ИП Завиркин (касса)
</t>
        </r>
      </text>
    </comment>
    <comment ref="E9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Доп.расходы
1. Доп.расход по данным  гл.медсестры 47029/2 =23515, т.к. половина уже в поставщиках
ИП Кудря 64200 (128400/2) за июль
минус половина расходов Маланичева М.Ю.
351465
</t>
        </r>
      </text>
    </comment>
    <comment ref="C130" authorId="0" shapeId="0" xr:uid="{C8474522-128B-4E99-B0CE-12A8502A37DC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16.06.26 7000000
19.06.26  3000000
Отправлены 2 платежа на ООО " Квалитет"
строит-монтажные работы
01.07.26 1185761 ООО ВИЗОР оборудование для вентиляции и кондиционирования
01.07.26 1356195 50% за работы по установке системы вентиляции ИП Громова Н.Ю. 
09.07.26 4003410 ООО "КВАЛИТЕТ" строит-монтажные работы 
03.08.26 3000000 ООО КВАЛИТЕТ"  строит-монтажные работы 
</t>
        </r>
      </text>
    </comment>
  </commentList>
</comments>
</file>

<file path=xl/sharedStrings.xml><?xml version="1.0" encoding="utf-8"?>
<sst xmlns="http://schemas.openxmlformats.org/spreadsheetml/2006/main" count="166" uniqueCount="121">
  <si>
    <t>БУ (данные бухгалтерского учета)</t>
  </si>
  <si>
    <t>Кор. Счет</t>
  </si>
  <si>
    <t>Дебет</t>
  </si>
  <si>
    <t>Кредит</t>
  </si>
  <si>
    <t>Начальное сальдо</t>
  </si>
  <si>
    <t>60</t>
  </si>
  <si>
    <t>69</t>
  </si>
  <si>
    <t>70</t>
  </si>
  <si>
    <t>91</t>
  </si>
  <si>
    <t>Оборот</t>
  </si>
  <si>
    <t>Конечное сальдо</t>
  </si>
  <si>
    <t>хирургия</t>
  </si>
  <si>
    <t>косметология</t>
  </si>
  <si>
    <t>общее</t>
  </si>
  <si>
    <t>аренда</t>
  </si>
  <si>
    <t>поставщики</t>
  </si>
  <si>
    <t>услуги банка</t>
  </si>
  <si>
    <t>банк</t>
  </si>
  <si>
    <t>касса</t>
  </si>
  <si>
    <t>ИТОГО РАСХОДЫ</t>
  </si>
  <si>
    <t>зарплата по банку</t>
  </si>
  <si>
    <t>налоги ЗП   (68.01 + 69)</t>
  </si>
  <si>
    <t>волосы</t>
  </si>
  <si>
    <r>
      <t>оплата от пациентов сайт iBolit</t>
    </r>
    <r>
      <rPr>
        <sz val="8"/>
        <rFont val="Arial"/>
        <family val="2"/>
        <charset val="204"/>
      </rPr>
      <t xml:space="preserve"> (НЬЮ МЕД СОЛЮШНС)</t>
    </r>
  </si>
  <si>
    <t>Возврат займа</t>
  </si>
  <si>
    <t>дивиденты</t>
  </si>
  <si>
    <t>налоги ЗП   (фонды)</t>
  </si>
  <si>
    <t>ООО "ОМЕГА"</t>
  </si>
  <si>
    <t>Банк - оплата картами</t>
  </si>
  <si>
    <t>Маланичев</t>
  </si>
  <si>
    <t>Погосян</t>
  </si>
  <si>
    <t>Выручка</t>
  </si>
  <si>
    <t>Расходы (оплаченные)</t>
  </si>
  <si>
    <t>Поставщики банк</t>
  </si>
  <si>
    <t>ИТОГО ВЫРУЧКА</t>
  </si>
  <si>
    <t>Поставщики касса (чеки)</t>
  </si>
  <si>
    <t xml:space="preserve"> (оплаченные)</t>
  </si>
  <si>
    <t>Выручка - Расходы</t>
  </si>
  <si>
    <t>Др.хирурги</t>
  </si>
  <si>
    <t>Прочие</t>
  </si>
  <si>
    <t>Прочее</t>
  </si>
  <si>
    <t>Оплата через Банк за пациента - физ.лицо</t>
  </si>
  <si>
    <t>Оплата на р/с - физ.лицо</t>
  </si>
  <si>
    <t>Поставщики</t>
  </si>
  <si>
    <t>услуги банка (общие)</t>
  </si>
  <si>
    <t xml:space="preserve"> (за месяц)</t>
  </si>
  <si>
    <t>в т.ч. :             операцион.</t>
  </si>
  <si>
    <t>общие</t>
  </si>
  <si>
    <t>операцион.+общие+1/2 др.хирурги</t>
  </si>
  <si>
    <t>Выручка по Др.хирурги 1/2</t>
  </si>
  <si>
    <t>обслуживание р/с, сдача выручки в банк</t>
  </si>
  <si>
    <t>ИТОГО за месяц  (ДОХОД)</t>
  </si>
  <si>
    <t xml:space="preserve">ИТОГО к выплате  </t>
  </si>
  <si>
    <t>алименты</t>
  </si>
  <si>
    <t xml:space="preserve">с учетом остатка </t>
  </si>
  <si>
    <t>с пред.месяца</t>
  </si>
  <si>
    <t>Остаток с предыд. месяца</t>
  </si>
  <si>
    <t>алименты Заведягин (удерживаются из ЗП)</t>
  </si>
  <si>
    <t>68.90</t>
  </si>
  <si>
    <t>Халва</t>
  </si>
  <si>
    <t>Возврат через банк пациенту</t>
  </si>
  <si>
    <t>ИП хирурги</t>
  </si>
  <si>
    <t xml:space="preserve">Аренда </t>
  </si>
  <si>
    <t>Остаток с удерж. на аренду</t>
  </si>
  <si>
    <t>было отложено</t>
  </si>
  <si>
    <t>Косметология</t>
  </si>
  <si>
    <t>Общее</t>
  </si>
  <si>
    <t>Выручка по Космет 1/2</t>
  </si>
  <si>
    <t>в т.ч. :             Аренда коммун.</t>
  </si>
  <si>
    <t xml:space="preserve">Другие хирурги </t>
  </si>
  <si>
    <t>ИП перечислено</t>
  </si>
  <si>
    <t>Расходы операционные</t>
  </si>
  <si>
    <t>ИТОГО остаток</t>
  </si>
  <si>
    <t>1/2 на каждого</t>
  </si>
  <si>
    <t>55.03</t>
  </si>
  <si>
    <t>57.01</t>
  </si>
  <si>
    <t>57.03</t>
  </si>
  <si>
    <t>Корпоративная карта</t>
  </si>
  <si>
    <t>91.01 % по депозитам</t>
  </si>
  <si>
    <t>сдано в Банк инкассация</t>
  </si>
  <si>
    <t>Выплата дивидендов</t>
  </si>
  <si>
    <t xml:space="preserve">Маланичев </t>
  </si>
  <si>
    <t>75 Выплата дивидендов</t>
  </si>
  <si>
    <t>68.01</t>
  </si>
  <si>
    <t>68.01 НДФЛ с дивидендов</t>
  </si>
  <si>
    <t>Выплата по исполнит листу</t>
  </si>
  <si>
    <t>Выручка прочее</t>
  </si>
  <si>
    <t>76.41 Выплата по ИЛ</t>
  </si>
  <si>
    <t>эквайринг</t>
  </si>
  <si>
    <t>Оплата от пациента , возврат</t>
  </si>
  <si>
    <t>Доп.расходы</t>
  </si>
  <si>
    <t>Командировочные, суточные, подотчет</t>
  </si>
  <si>
    <t>услуги банка (эквайринг)</t>
  </si>
  <si>
    <t>Оборот денежных средств по  ДЕПOЗИТАМ</t>
  </si>
  <si>
    <t>Раходы по кассе</t>
  </si>
  <si>
    <t>Коммунальные услуги</t>
  </si>
  <si>
    <t>возврат пациенту ч/з банк и кассу</t>
  </si>
  <si>
    <t>аренда Самокатная 1 стр.1</t>
  </si>
  <si>
    <t>ЗП с НДФЛ+страх.взносы</t>
  </si>
  <si>
    <t>Дивиденды на ИП</t>
  </si>
  <si>
    <t>Самокатная 1 стр.12</t>
  </si>
  <si>
    <t>Депозит  ВТБ</t>
  </si>
  <si>
    <t>91.01 % по кредиту</t>
  </si>
  <si>
    <t>За счет кредита</t>
  </si>
  <si>
    <t>Ремонт Самокатная 1 стр12</t>
  </si>
  <si>
    <t>Прочее посупление/возврат</t>
  </si>
  <si>
    <t>67 Кредит</t>
  </si>
  <si>
    <r>
      <t xml:space="preserve">Анализ счета 51 </t>
    </r>
    <r>
      <rPr>
        <b/>
        <u/>
        <sz val="12"/>
        <rFont val="Arial"/>
        <family val="2"/>
        <charset val="204"/>
      </rPr>
      <t>за июль 2026 г.</t>
    </r>
    <r>
      <rPr>
        <b/>
        <sz val="12"/>
        <rFont val="Arial"/>
        <family val="2"/>
        <charset val="204"/>
      </rPr>
      <t xml:space="preserve"> (расчетный счет)</t>
    </r>
  </si>
  <si>
    <t>Аренда за счет депозита</t>
  </si>
  <si>
    <t>Аренда Самокатная 1 стр.12</t>
  </si>
  <si>
    <t>налоги ЗП    (НДФЛ+страховые взносы+Торговый сбор+НДС)</t>
  </si>
  <si>
    <t xml:space="preserve">Отложено на аренду </t>
  </si>
  <si>
    <t>% по депозитам за 07.26</t>
  </si>
  <si>
    <t>Справочно. Долг по кредитной линии на 07.08.26</t>
  </si>
  <si>
    <t>% по кредиту</t>
  </si>
  <si>
    <t>Остаток в кассе на 31.07.26</t>
  </si>
  <si>
    <t>Овернайт</t>
  </si>
  <si>
    <t>Выплачены дивиденды</t>
  </si>
  <si>
    <t xml:space="preserve">Оплата аренды на 8 мес Самокатная 1 стр.12 </t>
  </si>
  <si>
    <t xml:space="preserve">Остаток </t>
  </si>
  <si>
    <t>Аренда Самокатная 1 стр.1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</si>
</sst>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8"/>
      <name val="Arial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indexed="24"/>
      <name val="Arial"/>
      <family val="2"/>
      <charset val="204"/>
    </font>
    <font>
      <sz val="9"/>
      <name val="Arial"/>
      <family val="2"/>
      <charset val="204"/>
    </font>
    <font>
      <b/>
      <sz val="10"/>
      <color indexed="24"/>
      <name val="Arial"/>
      <family val="2"/>
      <charset val="204"/>
    </font>
    <font>
      <b/>
      <u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</font>
    <font>
      <b/>
      <u/>
      <sz val="8"/>
      <name val="Arial"/>
      <family val="2"/>
      <charset val="204"/>
    </font>
    <font>
      <b/>
      <u/>
      <sz val="10"/>
      <name val="Arial"/>
      <family val="2"/>
      <charset val="204"/>
    </font>
    <font>
      <b/>
      <sz val="8"/>
      <name val="Arial"/>
      <family val="2"/>
      <charset val="204"/>
    </font>
    <font>
      <u/>
      <sz val="9"/>
      <name val="Arial"/>
      <family val="2"/>
      <charset val="204"/>
    </font>
    <font>
      <u/>
      <sz val="8"/>
      <name val="Arial"/>
      <family val="2"/>
      <charset val="204"/>
    </font>
    <font>
      <b/>
      <u/>
      <sz val="12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/>
      <top style="thin">
        <color indexed="29"/>
      </top>
      <bottom style="thin">
        <color indexed="29"/>
      </bottom>
      <diagonal/>
    </border>
    <border>
      <left style="thin">
        <color indexed="64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 style="thin">
        <color indexed="29"/>
      </right>
      <top style="thin">
        <color indexed="26"/>
      </top>
      <bottom style="thin">
        <color indexed="29"/>
      </bottom>
      <diagonal/>
    </border>
    <border>
      <left style="thin">
        <color indexed="64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theme="0" tint="-0.14999847407452621"/>
      </bottom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  <border>
      <left style="thin">
        <color indexed="29"/>
      </left>
      <right/>
      <top/>
      <bottom/>
      <diagonal/>
    </border>
    <border>
      <left style="thin">
        <color indexed="64"/>
      </left>
      <right style="thin">
        <color indexed="29"/>
      </right>
      <top/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/>
  </cellStyleXfs>
  <cellXfs count="169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5" fillId="0" borderId="2" xfId="0" applyNumberFormat="1" applyFont="1" applyFill="1" applyBorder="1" applyAlignment="1">
      <alignment vertical="top" wrapText="1" indent="1"/>
    </xf>
    <xf numFmtId="0" fontId="5" fillId="0" borderId="3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left" vertical="top" wrapText="1" indent="1"/>
    </xf>
    <xf numFmtId="0" fontId="7" fillId="0" borderId="0" xfId="0" applyFont="1" applyFill="1" applyAlignment="1">
      <alignment horizontal="right"/>
    </xf>
    <xf numFmtId="0" fontId="5" fillId="0" borderId="0" xfId="0" applyFont="1" applyFill="1"/>
    <xf numFmtId="4" fontId="5" fillId="0" borderId="0" xfId="0" applyNumberFormat="1" applyFont="1" applyFill="1"/>
    <xf numFmtId="4" fontId="8" fillId="0" borderId="0" xfId="0" applyNumberFormat="1" applyFont="1" applyFill="1"/>
    <xf numFmtId="0" fontId="8" fillId="0" borderId="0" xfId="0" applyFont="1" applyFill="1"/>
    <xf numFmtId="4" fontId="5" fillId="0" borderId="0" xfId="0" applyNumberFormat="1" applyFont="1" applyFill="1" applyAlignment="1">
      <alignment horizontal="right"/>
    </xf>
    <xf numFmtId="4" fontId="8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6" xfId="0" applyNumberFormat="1" applyFont="1" applyFill="1" applyBorder="1" applyAlignment="1">
      <alignment vertical="top"/>
    </xf>
    <xf numFmtId="4" fontId="0" fillId="0" borderId="0" xfId="0" applyNumberFormat="1" applyFill="1"/>
    <xf numFmtId="0" fontId="6" fillId="0" borderId="2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5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/>
    </xf>
    <xf numFmtId="0" fontId="6" fillId="0" borderId="6" xfId="0" applyNumberFormat="1" applyFont="1" applyFill="1" applyBorder="1" applyAlignment="1">
      <alignment vertical="top"/>
    </xf>
    <xf numFmtId="0" fontId="9" fillId="0" borderId="0" xfId="0" applyFont="1" applyFill="1"/>
    <xf numFmtId="0" fontId="0" fillId="0" borderId="0" xfId="0" applyFont="1" applyFill="1"/>
    <xf numFmtId="0" fontId="7" fillId="0" borderId="0" xfId="0" applyFont="1" applyFill="1" applyAlignment="1">
      <alignment horizontal="center"/>
    </xf>
    <xf numFmtId="4" fontId="7" fillId="0" borderId="0" xfId="0" applyNumberFormat="1" applyFont="1" applyFill="1"/>
    <xf numFmtId="0" fontId="11" fillId="0" borderId="0" xfId="0" applyFont="1" applyFill="1" applyAlignment="1">
      <alignment horizontal="right"/>
    </xf>
    <xf numFmtId="4" fontId="7" fillId="0" borderId="0" xfId="0" applyNumberFormat="1" applyFont="1" applyFill="1" applyAlignment="1">
      <alignment horizontal="right"/>
    </xf>
    <xf numFmtId="4" fontId="0" fillId="0" borderId="0" xfId="0" applyNumberFormat="1"/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right"/>
    </xf>
    <xf numFmtId="4" fontId="12" fillId="0" borderId="0" xfId="0" applyNumberFormat="1" applyFont="1" applyFill="1" applyAlignment="1">
      <alignment horizontal="right"/>
    </xf>
    <xf numFmtId="4" fontId="9" fillId="0" borderId="0" xfId="0" applyNumberFormat="1" applyFont="1"/>
    <xf numFmtId="0" fontId="8" fillId="0" borderId="0" xfId="0" applyFont="1"/>
    <xf numFmtId="4" fontId="8" fillId="0" borderId="0" xfId="0" applyNumberFormat="1" applyFont="1"/>
    <xf numFmtId="0" fontId="13" fillId="0" borderId="0" xfId="0" applyFont="1" applyFill="1" applyAlignment="1">
      <alignment horizontal="right"/>
    </xf>
    <xf numFmtId="0" fontId="14" fillId="0" borderId="0" xfId="0" applyFont="1" applyFill="1" applyAlignment="1">
      <alignment horizontal="right"/>
    </xf>
    <xf numFmtId="4" fontId="13" fillId="0" borderId="0" xfId="0" applyNumberFormat="1" applyFont="1" applyAlignment="1">
      <alignment horizontal="right"/>
    </xf>
    <xf numFmtId="4" fontId="7" fillId="0" borderId="0" xfId="0" applyNumberFormat="1" applyFont="1"/>
    <xf numFmtId="0" fontId="12" fillId="0" borderId="0" xfId="0" applyFont="1"/>
    <xf numFmtId="0" fontId="5" fillId="0" borderId="0" xfId="0" applyFont="1" applyFill="1" applyAlignment="1">
      <alignment horizontal="right"/>
    </xf>
    <xf numFmtId="0" fontId="10" fillId="0" borderId="0" xfId="0" applyFont="1" applyFill="1"/>
    <xf numFmtId="0" fontId="12" fillId="0" borderId="0" xfId="0" applyFont="1" applyFill="1"/>
    <xf numFmtId="0" fontId="7" fillId="2" borderId="0" xfId="0" applyFont="1" applyFill="1" applyAlignment="1">
      <alignment horizontal="right"/>
    </xf>
    <xf numFmtId="4" fontId="7" fillId="2" borderId="0" xfId="0" applyNumberFormat="1" applyFont="1" applyFill="1"/>
    <xf numFmtId="0" fontId="7" fillId="3" borderId="0" xfId="0" applyFont="1" applyFill="1" applyAlignment="1">
      <alignment horizontal="right"/>
    </xf>
    <xf numFmtId="4" fontId="8" fillId="3" borderId="0" xfId="0" applyNumberFormat="1" applyFont="1" applyFill="1" applyAlignment="1">
      <alignment horizontal="right"/>
    </xf>
    <xf numFmtId="4" fontId="7" fillId="3" borderId="0" xfId="0" applyNumberFormat="1" applyFont="1" applyFill="1"/>
    <xf numFmtId="0" fontId="7" fillId="0" borderId="0" xfId="0" applyFont="1" applyFill="1" applyAlignment="1">
      <alignment horizontal="right"/>
    </xf>
    <xf numFmtId="0" fontId="0" fillId="3" borderId="0" xfId="0" applyFill="1"/>
    <xf numFmtId="0" fontId="11" fillId="2" borderId="0" xfId="0" applyFont="1" applyFill="1" applyAlignment="1">
      <alignment horizontal="right"/>
    </xf>
    <xf numFmtId="4" fontId="11" fillId="2" borderId="0" xfId="0" applyNumberFormat="1" applyFont="1" applyFill="1"/>
    <xf numFmtId="4" fontId="0" fillId="2" borderId="0" xfId="0" applyNumberFormat="1" applyFill="1"/>
    <xf numFmtId="0" fontId="0" fillId="2" borderId="0" xfId="0" applyFill="1"/>
    <xf numFmtId="4" fontId="8" fillId="3" borderId="0" xfId="0" applyNumberFormat="1" applyFont="1" applyFill="1"/>
    <xf numFmtId="0" fontId="8" fillId="3" borderId="0" xfId="0" applyFont="1" applyFill="1"/>
    <xf numFmtId="4" fontId="1" fillId="0" borderId="0" xfId="0" applyNumberFormat="1" applyFont="1" applyFill="1"/>
    <xf numFmtId="0" fontId="7" fillId="0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4" fontId="7" fillId="0" borderId="0" xfId="0" applyNumberFormat="1" applyFont="1" applyFill="1" applyAlignment="1">
      <alignment horizontal="right"/>
    </xf>
    <xf numFmtId="4" fontId="0" fillId="0" borderId="0" xfId="0" applyNumberFormat="1" applyFill="1" applyAlignment="1">
      <alignment horizontal="right"/>
    </xf>
    <xf numFmtId="0" fontId="7" fillId="0" borderId="0" xfId="0" applyFont="1" applyFill="1" applyAlignment="1">
      <alignment horizontal="right"/>
    </xf>
    <xf numFmtId="4" fontId="9" fillId="0" borderId="0" xfId="0" applyNumberFormat="1" applyFont="1" applyFill="1"/>
    <xf numFmtId="4" fontId="0" fillId="0" borderId="0" xfId="0" applyNumberFormat="1" applyFont="1" applyFill="1"/>
    <xf numFmtId="4" fontId="3" fillId="0" borderId="0" xfId="0" applyNumberFormat="1" applyFont="1" applyFill="1" applyAlignment="1">
      <alignment horizontal="right"/>
    </xf>
    <xf numFmtId="4" fontId="3" fillId="0" borderId="0" xfId="0" applyNumberFormat="1" applyFont="1" applyFill="1"/>
    <xf numFmtId="4" fontId="7" fillId="0" borderId="0" xfId="0" applyNumberFormat="1" applyFont="1" applyFill="1" applyAlignment="1">
      <alignment horizontal="right"/>
    </xf>
    <xf numFmtId="4" fontId="7" fillId="4" borderId="0" xfId="0" applyNumberFormat="1" applyFont="1" applyFill="1"/>
    <xf numFmtId="4" fontId="12" fillId="0" borderId="0" xfId="0" applyNumberFormat="1" applyFont="1" applyFill="1"/>
    <xf numFmtId="0" fontId="4" fillId="0" borderId="10" xfId="0" applyNumberFormat="1" applyFont="1" applyFill="1" applyBorder="1" applyAlignment="1">
      <alignment vertical="top" wrapText="1"/>
    </xf>
    <xf numFmtId="4" fontId="5" fillId="5" borderId="0" xfId="0" applyNumberFormat="1" applyFont="1" applyFill="1"/>
    <xf numFmtId="0" fontId="0" fillId="5" borderId="0" xfId="0" applyFill="1"/>
    <xf numFmtId="4" fontId="5" fillId="5" borderId="2" xfId="0" applyNumberFormat="1" applyFont="1" applyFill="1" applyBorder="1" applyAlignment="1">
      <alignment horizontal="right" vertical="top" wrapText="1"/>
    </xf>
    <xf numFmtId="0" fontId="5" fillId="0" borderId="3" xfId="0" applyNumberFormat="1" applyFont="1" applyFill="1" applyBorder="1" applyAlignment="1">
      <alignment horizontal="left" vertical="top"/>
    </xf>
    <xf numFmtId="4" fontId="6" fillId="5" borderId="2" xfId="0" applyNumberFormat="1" applyFont="1" applyFill="1" applyBorder="1" applyAlignment="1">
      <alignment horizontal="right" vertical="top" wrapText="1"/>
    </xf>
    <xf numFmtId="0" fontId="4" fillId="5" borderId="2" xfId="0" applyNumberFormat="1" applyFont="1" applyFill="1" applyBorder="1" applyAlignment="1">
      <alignment horizontal="right" vertical="top" wrapText="1"/>
    </xf>
    <xf numFmtId="0" fontId="5" fillId="5" borderId="2" xfId="0" applyNumberFormat="1" applyFont="1" applyFill="1" applyBorder="1" applyAlignment="1">
      <alignment horizontal="right" vertical="top" wrapText="1"/>
    </xf>
    <xf numFmtId="49" fontId="0" fillId="5" borderId="0" xfId="0" applyNumberFormat="1" applyFill="1"/>
    <xf numFmtId="4" fontId="5" fillId="5" borderId="7" xfId="0" applyNumberFormat="1" applyFont="1" applyFill="1" applyBorder="1" applyAlignment="1">
      <alignment horizontal="right" vertical="top" wrapText="1"/>
    </xf>
    <xf numFmtId="4" fontId="5" fillId="5" borderId="8" xfId="0" applyNumberFormat="1" applyFont="1" applyFill="1" applyBorder="1" applyAlignment="1">
      <alignment horizontal="right" vertical="top" wrapText="1"/>
    </xf>
    <xf numFmtId="0" fontId="5" fillId="5" borderId="3" xfId="0" applyNumberFormat="1" applyFont="1" applyFill="1" applyBorder="1" applyAlignment="1">
      <alignment horizontal="right" vertical="top" wrapText="1"/>
    </xf>
    <xf numFmtId="4" fontId="0" fillId="5" borderId="0" xfId="0" applyNumberFormat="1" applyFill="1" applyBorder="1"/>
    <xf numFmtId="4" fontId="6" fillId="5" borderId="8" xfId="0" applyNumberFormat="1" applyFont="1" applyFill="1" applyBorder="1" applyAlignment="1">
      <alignment horizontal="right" vertical="top" wrapText="1"/>
    </xf>
    <xf numFmtId="4" fontId="8" fillId="5" borderId="2" xfId="0" applyNumberFormat="1" applyFont="1" applyFill="1" applyBorder="1" applyAlignment="1">
      <alignment horizontal="right" vertical="top" wrapText="1"/>
    </xf>
    <xf numFmtId="4" fontId="8" fillId="5" borderId="11" xfId="0" applyNumberFormat="1" applyFont="1" applyFill="1" applyBorder="1" applyAlignment="1">
      <alignment horizontal="right" vertical="top" wrapText="1"/>
    </xf>
    <xf numFmtId="4" fontId="0" fillId="5" borderId="0" xfId="0" applyNumberFormat="1" applyFill="1"/>
    <xf numFmtId="4" fontId="3" fillId="5" borderId="0" xfId="0" applyNumberFormat="1" applyFont="1" applyFill="1"/>
    <xf numFmtId="4" fontId="18" fillId="0" borderId="0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right" wrapText="1"/>
    </xf>
    <xf numFmtId="4" fontId="19" fillId="0" borderId="12" xfId="0" applyNumberFormat="1" applyFont="1" applyFill="1" applyBorder="1" applyAlignment="1">
      <alignment horizontal="right"/>
    </xf>
    <xf numFmtId="4" fontId="8" fillId="5" borderId="2" xfId="0" applyNumberFormat="1" applyFont="1" applyFill="1" applyBorder="1" applyAlignment="1">
      <alignment horizontal="right" wrapText="1"/>
    </xf>
    <xf numFmtId="4" fontId="0" fillId="0" borderId="0" xfId="0" applyNumberFormat="1" applyFill="1" applyAlignment="1">
      <alignment horizontal="right" wrapText="1"/>
    </xf>
    <xf numFmtId="4" fontId="7" fillId="0" borderId="0" xfId="0" applyNumberFormat="1" applyFont="1" applyFill="1" applyAlignment="1">
      <alignment horizontal="right"/>
    </xf>
    <xf numFmtId="0" fontId="8" fillId="0" borderId="13" xfId="0" applyFont="1" applyFill="1" applyBorder="1"/>
    <xf numFmtId="0" fontId="20" fillId="0" borderId="0" xfId="0" applyFont="1" applyFill="1" applyBorder="1" applyAlignment="1">
      <alignment horizontal="right" wrapText="1"/>
    </xf>
    <xf numFmtId="4" fontId="19" fillId="0" borderId="0" xfId="0" applyNumberFormat="1" applyFont="1" applyFill="1" applyBorder="1"/>
    <xf numFmtId="4" fontId="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4" fontId="19" fillId="0" borderId="0" xfId="0" applyNumberFormat="1" applyFont="1" applyFill="1" applyBorder="1" applyAlignment="1">
      <alignment horizontal="right"/>
    </xf>
    <xf numFmtId="4" fontId="19" fillId="0" borderId="14" xfId="0" applyNumberFormat="1" applyFont="1" applyFill="1" applyBorder="1"/>
    <xf numFmtId="4" fontId="20" fillId="0" borderId="0" xfId="0" applyNumberFormat="1" applyFont="1" applyBorder="1"/>
    <xf numFmtId="4" fontId="20" fillId="0" borderId="14" xfId="0" applyNumberFormat="1" applyFont="1" applyBorder="1"/>
    <xf numFmtId="3" fontId="0" fillId="0" borderId="12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right" wrapText="1"/>
    </xf>
    <xf numFmtId="4" fontId="0" fillId="0" borderId="0" xfId="0" applyNumberFormat="1" applyFont="1" applyFill="1" applyBorder="1" applyAlignment="1">
      <alignment horizontal="right"/>
    </xf>
    <xf numFmtId="4" fontId="19" fillId="0" borderId="0" xfId="0" applyNumberFormat="1" applyFont="1" applyBorder="1"/>
    <xf numFmtId="2" fontId="8" fillId="5" borderId="2" xfId="0" applyNumberFormat="1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right" wrapText="1"/>
    </xf>
    <xf numFmtId="0" fontId="3" fillId="0" borderId="3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wrapText="1"/>
    </xf>
    <xf numFmtId="0" fontId="10" fillId="0" borderId="0" xfId="0" applyFont="1" applyFill="1" applyBorder="1"/>
    <xf numFmtId="4" fontId="10" fillId="0" borderId="0" xfId="0" applyNumberFormat="1" applyFont="1" applyFill="1" applyBorder="1"/>
    <xf numFmtId="4" fontId="0" fillId="0" borderId="0" xfId="0" applyNumberFormat="1" applyFill="1" applyBorder="1"/>
    <xf numFmtId="0" fontId="12" fillId="0" borderId="0" xfId="0" applyFont="1" applyFill="1" applyBorder="1"/>
    <xf numFmtId="4" fontId="8" fillId="0" borderId="0" xfId="0" applyNumberFormat="1" applyFont="1" applyFill="1" applyBorder="1" applyAlignment="1">
      <alignment wrapText="1"/>
    </xf>
    <xf numFmtId="4" fontId="8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 applyAlignment="1">
      <alignment wrapText="1"/>
    </xf>
    <xf numFmtId="2" fontId="8" fillId="0" borderId="0" xfId="0" applyNumberFormat="1" applyFont="1" applyBorder="1"/>
    <xf numFmtId="9" fontId="12" fillId="0" borderId="0" xfId="0" applyNumberFormat="1" applyFont="1" applyBorder="1"/>
    <xf numFmtId="4" fontId="12" fillId="0" borderId="0" xfId="0" applyNumberFormat="1" applyFont="1" applyBorder="1"/>
    <xf numFmtId="0" fontId="5" fillId="0" borderId="0" xfId="0" applyFont="1" applyFill="1" applyAlignment="1">
      <alignment horizontal="right" wrapText="1"/>
    </xf>
    <xf numFmtId="0" fontId="0" fillId="0" borderId="0" xfId="0" applyFont="1" applyFill="1" applyBorder="1"/>
    <xf numFmtId="0" fontId="0" fillId="0" borderId="0" xfId="0" applyBorder="1"/>
    <xf numFmtId="2" fontId="0" fillId="0" borderId="0" xfId="0" applyNumberFormat="1" applyFill="1"/>
    <xf numFmtId="0" fontId="12" fillId="4" borderId="0" xfId="0" applyFont="1" applyFill="1" applyAlignment="1">
      <alignment horizontal="right"/>
    </xf>
    <xf numFmtId="0" fontId="12" fillId="0" borderId="0" xfId="0" applyFont="1" applyFill="1" applyAlignment="1">
      <alignment horizontal="right"/>
    </xf>
    <xf numFmtId="2" fontId="12" fillId="0" borderId="0" xfId="0" applyNumberFormat="1" applyFont="1" applyFill="1"/>
    <xf numFmtId="0" fontId="0" fillId="0" borderId="0" xfId="0" applyFill="1" applyAlignment="1">
      <alignment wrapText="1"/>
    </xf>
    <xf numFmtId="4" fontId="3" fillId="5" borderId="2" xfId="0" applyNumberFormat="1" applyFont="1" applyFill="1" applyBorder="1" applyAlignment="1">
      <alignment horizontal="right" wrapText="1"/>
    </xf>
    <xf numFmtId="14" fontId="0" fillId="0" borderId="12" xfId="0" applyNumberFormat="1" applyFont="1" applyFill="1" applyBorder="1" applyAlignment="1">
      <alignment horizontal="center" wrapText="1"/>
    </xf>
    <xf numFmtId="2" fontId="5" fillId="0" borderId="0" xfId="0" applyNumberFormat="1" applyFont="1" applyFill="1"/>
    <xf numFmtId="0" fontId="12" fillId="0" borderId="0" xfId="0" applyFont="1" applyAlignment="1">
      <alignment wrapText="1"/>
    </xf>
    <xf numFmtId="0" fontId="0" fillId="0" borderId="0" xfId="0" applyFill="1" applyAlignment="1">
      <alignment horizontal="right"/>
    </xf>
    <xf numFmtId="0" fontId="7" fillId="0" borderId="0" xfId="0" applyFont="1" applyFill="1" applyAlignment="1">
      <alignment horizontal="right"/>
    </xf>
    <xf numFmtId="14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4" fontId="3" fillId="5" borderId="0" xfId="0" applyNumberFormat="1" applyFont="1" applyFill="1" applyBorder="1" applyAlignment="1">
      <alignment horizontal="right" vertical="top" wrapText="1"/>
    </xf>
    <xf numFmtId="4" fontId="5" fillId="5" borderId="15" xfId="0" applyNumberFormat="1" applyFont="1" applyFill="1" applyBorder="1" applyAlignment="1">
      <alignment horizontal="right" vertical="top" wrapText="1"/>
    </xf>
    <xf numFmtId="4" fontId="5" fillId="5" borderId="11" xfId="0" applyNumberFormat="1" applyFont="1" applyFill="1" applyBorder="1" applyAlignment="1">
      <alignment horizontal="right" vertical="top" wrapText="1"/>
    </xf>
    <xf numFmtId="4" fontId="5" fillId="5" borderId="0" xfId="0" applyNumberFormat="1" applyFont="1" applyFill="1" applyBorder="1" applyAlignment="1">
      <alignment horizontal="right" vertical="top" wrapText="1"/>
    </xf>
    <xf numFmtId="4" fontId="21" fillId="5" borderId="0" xfId="0" applyNumberFormat="1" applyFont="1" applyFill="1" applyBorder="1" applyAlignment="1">
      <alignment horizontal="right"/>
    </xf>
    <xf numFmtId="0" fontId="5" fillId="5" borderId="8" xfId="0" applyNumberFormat="1" applyFont="1" applyFill="1" applyBorder="1" applyAlignment="1">
      <alignment horizontal="right" vertical="top" wrapText="1"/>
    </xf>
    <xf numFmtId="0" fontId="8" fillId="5" borderId="2" xfId="0" applyNumberFormat="1" applyFont="1" applyFill="1" applyBorder="1" applyAlignment="1">
      <alignment horizontal="right" vertical="top" wrapText="1"/>
    </xf>
    <xf numFmtId="4" fontId="5" fillId="5" borderId="0" xfId="0" applyNumberFormat="1" applyFont="1" applyFill="1" applyBorder="1" applyAlignment="1">
      <alignment horizontal="right" vertical="center" wrapText="1"/>
    </xf>
    <xf numFmtId="40" fontId="23" fillId="6" borderId="0" xfId="1" applyNumberFormat="1" applyFont="1" applyFill="1" applyBorder="1" applyAlignment="1">
      <alignment horizontal="right" vertical="top" wrapText="1"/>
    </xf>
    <xf numFmtId="14" fontId="0" fillId="0" borderId="12" xfId="0" applyNumberFormat="1" applyFont="1" applyFill="1" applyBorder="1" applyAlignment="1">
      <alignment horizontal="center"/>
    </xf>
    <xf numFmtId="4" fontId="9" fillId="5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Alignment="1">
      <alignment vertical="top" wrapText="1"/>
    </xf>
    <xf numFmtId="0" fontId="1" fillId="0" borderId="0" xfId="0" applyNumberFormat="1" applyFont="1" applyFill="1" applyAlignment="1">
      <alignment horizontal="left" wrapText="1"/>
    </xf>
    <xf numFmtId="0" fontId="2" fillId="0" borderId="0" xfId="0" applyNumberFormat="1" applyFont="1" applyFill="1" applyAlignment="1">
      <alignment horizontal="left" wrapText="1"/>
    </xf>
    <xf numFmtId="0" fontId="5" fillId="0" borderId="0" xfId="0" applyFont="1" applyFill="1" applyAlignment="1">
      <alignment horizontal="left"/>
    </xf>
    <xf numFmtId="4" fontId="7" fillId="0" borderId="0" xfId="0" applyNumberFormat="1" applyFont="1" applyFill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0" xfId="0" applyFill="1" applyBorder="1" applyAlignment="1">
      <alignment horizontal="right"/>
    </xf>
    <xf numFmtId="0" fontId="12" fillId="0" borderId="16" xfId="0" applyFont="1" applyBorder="1" applyAlignment="1">
      <alignment wrapText="1"/>
    </xf>
    <xf numFmtId="4" fontId="8" fillId="0" borderId="17" xfId="0" applyNumberFormat="1" applyFont="1" applyFill="1" applyBorder="1"/>
    <xf numFmtId="4" fontId="0" fillId="0" borderId="17" xfId="0" applyNumberFormat="1" applyFill="1" applyBorder="1"/>
    <xf numFmtId="4" fontId="0" fillId="0" borderId="18" xfId="0" applyNumberFormat="1" applyFill="1" applyBorder="1"/>
    <xf numFmtId="4" fontId="13" fillId="0" borderId="13" xfId="0" applyNumberFormat="1" applyFont="1" applyFill="1" applyBorder="1" applyAlignment="1">
      <alignment horizontal="right" wrapText="1"/>
    </xf>
    <xf numFmtId="4" fontId="0" fillId="0" borderId="14" xfId="0" applyNumberFormat="1" applyFill="1" applyBorder="1"/>
    <xf numFmtId="4" fontId="13" fillId="0" borderId="19" xfId="0" applyNumberFormat="1" applyFont="1" applyFill="1" applyBorder="1" applyAlignment="1">
      <alignment horizontal="right"/>
    </xf>
    <xf numFmtId="4" fontId="8" fillId="0" borderId="20" xfId="0" applyNumberFormat="1" applyFont="1" applyFill="1" applyBorder="1"/>
    <xf numFmtId="4" fontId="8" fillId="0" borderId="21" xfId="0" applyNumberFormat="1" applyFont="1" applyFill="1" applyBorder="1"/>
  </cellXfs>
  <cellStyles count="2">
    <cellStyle name="Обычный" xfId="0" builtinId="0"/>
    <cellStyle name="Обычный_Лист1" xfId="1" xr:uid="{75D04F2D-3C96-4C37-8BA3-A131A82559B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A0A0A0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146"/>
  <sheetViews>
    <sheetView tabSelected="1" topLeftCell="A93" zoomScaleNormal="100" workbookViewId="0">
      <selection activeCell="F95" sqref="F95"/>
    </sheetView>
  </sheetViews>
  <sheetFormatPr defaultColWidth="10.6640625" defaultRowHeight="11.25" outlineLevelRow="3" x14ac:dyDescent="0.2"/>
  <cols>
    <col min="1" max="1" width="3.1640625" customWidth="1"/>
    <col min="2" max="2" width="27.1640625" customWidth="1"/>
    <col min="3" max="3" width="19.33203125" customWidth="1"/>
    <col min="4" max="5" width="17.83203125" customWidth="1"/>
    <col min="6" max="6" width="20.1640625" customWidth="1"/>
    <col min="7" max="7" width="16.83203125" customWidth="1"/>
    <col min="8" max="8" width="18.83203125" customWidth="1"/>
    <col min="9" max="9" width="21.6640625" customWidth="1"/>
    <col min="10" max="10" width="21.83203125" customWidth="1"/>
    <col min="11" max="11" width="19.1640625" customWidth="1"/>
    <col min="12" max="12" width="12.6640625" bestFit="1" customWidth="1"/>
    <col min="13" max="13" width="16" customWidth="1"/>
    <col min="15" max="15" width="17.6640625" customWidth="1"/>
  </cols>
  <sheetData>
    <row r="1" spans="1:11" ht="12.75" customHeight="1" x14ac:dyDescent="0.2">
      <c r="A1" s="152" t="s">
        <v>27</v>
      </c>
      <c r="B1" s="152"/>
      <c r="C1" s="152"/>
      <c r="D1" s="152"/>
      <c r="E1" s="152"/>
      <c r="F1" s="1"/>
      <c r="G1" s="1"/>
      <c r="H1" s="1"/>
      <c r="I1" s="1"/>
    </row>
    <row r="2" spans="1:11" ht="15.75" customHeight="1" x14ac:dyDescent="0.25">
      <c r="A2" s="153" t="s">
        <v>107</v>
      </c>
      <c r="B2" s="153"/>
      <c r="C2" s="153"/>
      <c r="D2" s="153"/>
      <c r="E2" s="153"/>
      <c r="F2" s="153"/>
      <c r="G2" s="1"/>
      <c r="H2" s="1"/>
      <c r="I2" s="1"/>
    </row>
    <row r="3" spans="1:11" ht="2.1" customHeight="1" x14ac:dyDescent="0.2">
      <c r="A3" s="1"/>
      <c r="B3" s="1"/>
      <c r="C3" s="1"/>
      <c r="D3" s="1"/>
      <c r="E3" s="1"/>
      <c r="F3" s="1"/>
      <c r="G3" s="1"/>
      <c r="H3" s="1"/>
      <c r="I3" s="1"/>
    </row>
    <row r="4" spans="1:11" ht="11.25" customHeight="1" x14ac:dyDescent="0.2">
      <c r="A4" s="151" t="s">
        <v>0</v>
      </c>
      <c r="B4" s="151"/>
      <c r="C4" s="151"/>
      <c r="D4" s="151"/>
      <c r="E4" s="151"/>
      <c r="F4" s="1"/>
      <c r="G4" s="1"/>
      <c r="H4" s="1"/>
      <c r="I4" s="1"/>
    </row>
    <row r="5" spans="1:11" ht="2.1" customHeight="1" x14ac:dyDescent="0.2">
      <c r="A5" s="1"/>
      <c r="B5" s="1"/>
      <c r="C5" s="1"/>
      <c r="D5" s="1"/>
      <c r="E5" s="1"/>
      <c r="F5" s="1"/>
      <c r="G5" s="1"/>
      <c r="H5" s="1"/>
      <c r="I5" s="1"/>
    </row>
    <row r="6" spans="1:11" ht="12.75" customHeight="1" x14ac:dyDescent="0.2">
      <c r="A6" s="18"/>
      <c r="B6" s="19" t="s">
        <v>1</v>
      </c>
      <c r="C6" s="19" t="s">
        <v>2</v>
      </c>
      <c r="D6" s="19" t="s">
        <v>3</v>
      </c>
      <c r="E6" s="1"/>
      <c r="F6" s="1"/>
      <c r="G6" s="1"/>
      <c r="H6" s="1"/>
      <c r="I6" s="1"/>
    </row>
    <row r="7" spans="1:11" ht="12.75" customHeight="1" x14ac:dyDescent="0.2">
      <c r="A7" s="20"/>
      <c r="B7" s="21" t="s">
        <v>4</v>
      </c>
      <c r="C7" s="75">
        <v>48095891.759999998</v>
      </c>
      <c r="D7" s="76"/>
      <c r="E7" s="72"/>
      <c r="F7" s="72"/>
      <c r="G7" s="1"/>
      <c r="H7" s="1"/>
      <c r="I7" s="1"/>
    </row>
    <row r="8" spans="1:11" ht="12.75" customHeight="1" x14ac:dyDescent="0.2">
      <c r="A8" s="70"/>
      <c r="B8" s="6" t="s">
        <v>74</v>
      </c>
      <c r="C8" s="84">
        <v>726180000</v>
      </c>
      <c r="D8" s="84">
        <v>775519000</v>
      </c>
      <c r="E8" s="72" t="s">
        <v>93</v>
      </c>
      <c r="F8" s="72"/>
      <c r="G8" s="1"/>
      <c r="H8" s="1"/>
      <c r="I8" s="1"/>
    </row>
    <row r="9" spans="1:11" s="1" customFormat="1" ht="12" customHeight="1" outlineLevel="1" x14ac:dyDescent="0.2">
      <c r="A9" s="15"/>
      <c r="B9" s="6" t="s">
        <v>75</v>
      </c>
      <c r="C9" s="84">
        <v>37760000</v>
      </c>
      <c r="D9" s="77"/>
      <c r="E9" s="72" t="s">
        <v>79</v>
      </c>
    </row>
    <row r="10" spans="1:11" s="1" customFormat="1" ht="12" customHeight="1" outlineLevel="1" x14ac:dyDescent="0.2">
      <c r="A10" s="15"/>
      <c r="B10" s="6" t="s">
        <v>76</v>
      </c>
      <c r="C10" s="84">
        <v>71173815.719999999</v>
      </c>
      <c r="D10" s="77"/>
      <c r="E10" s="72" t="s">
        <v>28</v>
      </c>
      <c r="K10" s="16"/>
    </row>
    <row r="11" spans="1:11" s="1" customFormat="1" ht="12" customHeight="1" outlineLevel="1" x14ac:dyDescent="0.2">
      <c r="A11" s="15"/>
      <c r="B11" s="4" t="s">
        <v>29</v>
      </c>
      <c r="C11" s="73">
        <v>3090000</v>
      </c>
      <c r="D11" s="73"/>
      <c r="E11" s="72"/>
    </row>
    <row r="12" spans="1:11" s="1" customFormat="1" ht="12" customHeight="1" outlineLevel="1" x14ac:dyDescent="0.2">
      <c r="A12" s="15"/>
      <c r="B12" s="4" t="s">
        <v>30</v>
      </c>
      <c r="C12" s="73">
        <v>5948500</v>
      </c>
      <c r="D12" s="73"/>
      <c r="E12" s="72"/>
    </row>
    <row r="13" spans="1:11" s="1" customFormat="1" ht="12" customHeight="1" outlineLevel="1" x14ac:dyDescent="0.2">
      <c r="A13" s="15"/>
      <c r="B13" s="4" t="s">
        <v>38</v>
      </c>
      <c r="C13" s="73">
        <v>59817790</v>
      </c>
      <c r="D13" s="73"/>
      <c r="E13" s="72"/>
    </row>
    <row r="14" spans="1:11" s="1" customFormat="1" ht="12" customHeight="1" outlineLevel="1" x14ac:dyDescent="0.2">
      <c r="A14" s="15"/>
      <c r="B14" s="4" t="s">
        <v>39</v>
      </c>
      <c r="C14" s="73">
        <v>576470.72</v>
      </c>
      <c r="D14" s="77"/>
      <c r="E14" s="72"/>
    </row>
    <row r="15" spans="1:11" s="1" customFormat="1" ht="12" customHeight="1" outlineLevel="1" x14ac:dyDescent="0.2">
      <c r="A15" s="15"/>
      <c r="B15" s="4" t="s">
        <v>65</v>
      </c>
      <c r="C15" s="73">
        <v>1741055</v>
      </c>
      <c r="D15" s="77"/>
      <c r="E15" s="72"/>
    </row>
    <row r="16" spans="1:11" s="1" customFormat="1" ht="12" customHeight="1" outlineLevel="1" x14ac:dyDescent="0.2">
      <c r="A16" s="15"/>
      <c r="B16" s="3" t="s">
        <v>5</v>
      </c>
      <c r="C16" s="73"/>
      <c r="D16" s="73">
        <f>81050073.94-780-D21-D22</f>
        <v>53416727.719999999</v>
      </c>
      <c r="E16" s="72" t="s">
        <v>15</v>
      </c>
      <c r="I16" s="16"/>
      <c r="K16" s="16"/>
    </row>
    <row r="17" spans="1:11" s="1" customFormat="1" ht="14.25" customHeight="1" outlineLevel="2" x14ac:dyDescent="0.2">
      <c r="A17" s="15"/>
      <c r="B17" s="4" t="s">
        <v>11</v>
      </c>
      <c r="C17" s="73"/>
      <c r="D17" s="73">
        <f>D16-D23-D24-D29-D28</f>
        <v>23506558.089999996</v>
      </c>
      <c r="E17" s="78"/>
      <c r="F17" s="24"/>
      <c r="K17" s="16"/>
    </row>
    <row r="18" spans="1:11" s="1" customFormat="1" ht="12" hidden="1" customHeight="1" outlineLevel="2" x14ac:dyDescent="0.2">
      <c r="A18" s="15"/>
      <c r="B18" s="4" t="s">
        <v>22</v>
      </c>
      <c r="C18" s="73"/>
      <c r="D18" s="73"/>
      <c r="E18" s="78"/>
    </row>
    <row r="19" spans="1:11" s="1" customFormat="1" ht="12" hidden="1" customHeight="1" outlineLevel="2" x14ac:dyDescent="0.2">
      <c r="A19" s="15"/>
      <c r="B19" s="4" t="s">
        <v>12</v>
      </c>
      <c r="C19" s="73"/>
      <c r="D19" s="73"/>
      <c r="E19" s="78"/>
    </row>
    <row r="20" spans="1:11" s="1" customFormat="1" ht="12" hidden="1" customHeight="1" outlineLevel="2" x14ac:dyDescent="0.2">
      <c r="A20" s="15"/>
      <c r="B20" s="5" t="s">
        <v>13</v>
      </c>
      <c r="C20" s="77"/>
      <c r="D20" s="142"/>
      <c r="E20" s="72"/>
    </row>
    <row r="21" spans="1:11" s="1" customFormat="1" ht="21" customHeight="1" outlineLevel="2" x14ac:dyDescent="0.2">
      <c r="A21" s="15"/>
      <c r="B21" s="5" t="s">
        <v>103</v>
      </c>
      <c r="C21" s="81"/>
      <c r="D21" s="150">
        <f>4003410+1185761.22+1356195</f>
        <v>6545366.2199999997</v>
      </c>
      <c r="E21" s="72" t="s">
        <v>104</v>
      </c>
    </row>
    <row r="22" spans="1:11" s="1" customFormat="1" ht="21" customHeight="1" outlineLevel="2" x14ac:dyDescent="0.2">
      <c r="A22" s="15"/>
      <c r="B22" s="5" t="s">
        <v>108</v>
      </c>
      <c r="C22" s="141"/>
      <c r="D22" s="143">
        <v>21087200</v>
      </c>
      <c r="E22" s="72" t="s">
        <v>109</v>
      </c>
    </row>
    <row r="23" spans="1:11" s="1" customFormat="1" ht="12" customHeight="1" outlineLevel="2" x14ac:dyDescent="0.2">
      <c r="A23" s="15"/>
      <c r="B23" s="5" t="s">
        <v>14</v>
      </c>
      <c r="C23" s="81"/>
      <c r="D23" s="147">
        <v>224103.63</v>
      </c>
      <c r="E23" s="72" t="s">
        <v>95</v>
      </c>
    </row>
    <row r="24" spans="1:11" s="1" customFormat="1" ht="11.25" customHeight="1" outlineLevel="2" x14ac:dyDescent="0.2">
      <c r="A24" s="15"/>
      <c r="B24" s="5" t="s">
        <v>14</v>
      </c>
      <c r="C24" s="81"/>
      <c r="D24" s="144">
        <v>4462500</v>
      </c>
      <c r="E24" s="72" t="s">
        <v>97</v>
      </c>
    </row>
    <row r="25" spans="1:11" s="1" customFormat="1" ht="15" customHeight="1" outlineLevel="2" x14ac:dyDescent="0.2">
      <c r="A25" s="15"/>
      <c r="B25" s="4" t="s">
        <v>62</v>
      </c>
      <c r="C25" s="81"/>
      <c r="D25" s="143"/>
      <c r="E25" s="72" t="s">
        <v>100</v>
      </c>
      <c r="G25" s="136"/>
    </row>
    <row r="26" spans="1:11" s="1" customFormat="1" ht="12" customHeight="1" outlineLevel="2" x14ac:dyDescent="0.2">
      <c r="A26" s="15"/>
      <c r="B26" s="4" t="s">
        <v>99</v>
      </c>
      <c r="C26" s="81"/>
      <c r="D26" s="143"/>
      <c r="E26" s="72" t="s">
        <v>30</v>
      </c>
    </row>
    <row r="27" spans="1:11" s="1" customFormat="1" ht="12" customHeight="1" outlineLevel="2" x14ac:dyDescent="0.2">
      <c r="A27" s="15"/>
      <c r="B27" s="4" t="s">
        <v>59</v>
      </c>
      <c r="C27" s="81"/>
      <c r="D27" s="143"/>
      <c r="E27" s="72" t="s">
        <v>29</v>
      </c>
    </row>
    <row r="28" spans="1:11" s="1" customFormat="1" ht="12" customHeight="1" outlineLevel="2" x14ac:dyDescent="0.2">
      <c r="A28" s="15"/>
      <c r="B28" s="4" t="s">
        <v>59</v>
      </c>
      <c r="C28" s="77"/>
      <c r="D28" s="145"/>
      <c r="E28" s="72" t="s">
        <v>38</v>
      </c>
    </row>
    <row r="29" spans="1:11" s="1" customFormat="1" ht="12" customHeight="1" outlineLevel="2" x14ac:dyDescent="0.2">
      <c r="A29" s="15"/>
      <c r="B29" s="4" t="s">
        <v>61</v>
      </c>
      <c r="C29" s="77"/>
      <c r="D29" s="73">
        <v>25223566</v>
      </c>
      <c r="E29" s="72"/>
    </row>
    <row r="30" spans="1:11" s="1" customFormat="1" ht="12" customHeight="1" outlineLevel="2" x14ac:dyDescent="0.2">
      <c r="A30" s="15"/>
      <c r="B30" s="6">
        <v>62</v>
      </c>
      <c r="C30" s="84">
        <f>SUM(C31:C38)</f>
        <v>1478.6</v>
      </c>
      <c r="D30" s="84">
        <f>SUM(D31:D36)</f>
        <v>40000</v>
      </c>
      <c r="E30" s="72"/>
    </row>
    <row r="31" spans="1:11" s="1" customFormat="1" ht="12" customHeight="1" outlineLevel="2" x14ac:dyDescent="0.2">
      <c r="A31" s="15"/>
      <c r="B31" s="5" t="s">
        <v>38</v>
      </c>
      <c r="C31" s="73"/>
      <c r="D31" s="73"/>
      <c r="E31" s="72" t="s">
        <v>41</v>
      </c>
    </row>
    <row r="32" spans="1:11" s="1" customFormat="1" ht="12" customHeight="1" outlineLevel="2" x14ac:dyDescent="0.2">
      <c r="A32" s="15"/>
      <c r="B32" s="5" t="s">
        <v>29</v>
      </c>
      <c r="C32" s="73"/>
      <c r="D32" s="73"/>
      <c r="E32" s="72" t="s">
        <v>60</v>
      </c>
      <c r="K32" s="16"/>
    </row>
    <row r="33" spans="1:15" s="1" customFormat="1" ht="12" customHeight="1" outlineLevel="2" x14ac:dyDescent="0.2">
      <c r="A33" s="15"/>
      <c r="B33" s="5" t="s">
        <v>30</v>
      </c>
      <c r="C33" s="73"/>
      <c r="D33" s="73"/>
      <c r="E33" s="72" t="s">
        <v>89</v>
      </c>
      <c r="K33" s="16"/>
    </row>
    <row r="34" spans="1:15" s="1" customFormat="1" ht="12" customHeight="1" outlineLevel="2" x14ac:dyDescent="0.2">
      <c r="A34" s="15"/>
      <c r="B34" s="5" t="s">
        <v>39</v>
      </c>
      <c r="C34" s="73"/>
      <c r="D34" s="73">
        <v>40000</v>
      </c>
      <c r="E34" s="72"/>
      <c r="K34" s="16"/>
    </row>
    <row r="35" spans="1:15" s="1" customFormat="1" ht="12" customHeight="1" outlineLevel="2" x14ac:dyDescent="0.2">
      <c r="A35" s="15"/>
      <c r="B35" s="5" t="s">
        <v>38</v>
      </c>
      <c r="C35" s="73"/>
      <c r="D35" s="73"/>
      <c r="E35" s="72" t="s">
        <v>60</v>
      </c>
      <c r="K35" s="16"/>
    </row>
    <row r="36" spans="1:15" s="1" customFormat="1" ht="12" customHeight="1" outlineLevel="2" x14ac:dyDescent="0.2">
      <c r="A36" s="15"/>
      <c r="B36" s="111" t="s">
        <v>105</v>
      </c>
      <c r="C36" s="73"/>
      <c r="D36" s="73"/>
      <c r="E36" s="72"/>
      <c r="K36" s="16"/>
    </row>
    <row r="37" spans="1:15" s="1" customFormat="1" ht="12" customHeight="1" outlineLevel="2" x14ac:dyDescent="0.2">
      <c r="A37" s="15"/>
      <c r="B37" s="4" t="s">
        <v>77</v>
      </c>
      <c r="C37" s="73"/>
      <c r="D37" s="73"/>
      <c r="E37" s="72"/>
      <c r="K37" s="16"/>
    </row>
    <row r="38" spans="1:15" s="1" customFormat="1" ht="12" customHeight="1" outlineLevel="2" x14ac:dyDescent="0.2">
      <c r="A38" s="15"/>
      <c r="B38" s="4" t="s">
        <v>39</v>
      </c>
      <c r="C38" s="73">
        <v>1478.6</v>
      </c>
      <c r="D38" s="73"/>
      <c r="E38" s="72" t="s">
        <v>91</v>
      </c>
      <c r="K38" s="16"/>
    </row>
    <row r="39" spans="1:15" s="1" customFormat="1" ht="12" customHeight="1" outlineLevel="2" x14ac:dyDescent="0.2">
      <c r="A39" s="15"/>
      <c r="B39" s="74" t="s">
        <v>106</v>
      </c>
      <c r="C39" s="84">
        <v>6545367</v>
      </c>
      <c r="D39" s="73"/>
      <c r="E39" s="72"/>
      <c r="K39" s="16"/>
    </row>
    <row r="40" spans="1:15" s="1" customFormat="1" ht="12" customHeight="1" outlineLevel="2" x14ac:dyDescent="0.2">
      <c r="A40" s="15"/>
      <c r="B40" s="4" t="s">
        <v>81</v>
      </c>
      <c r="C40" s="73"/>
      <c r="D40" s="84">
        <v>0</v>
      </c>
      <c r="E40" s="72" t="s">
        <v>24</v>
      </c>
      <c r="K40" s="16"/>
    </row>
    <row r="41" spans="1:15" s="1" customFormat="1" ht="26.25" customHeight="1" outlineLevel="2" x14ac:dyDescent="0.2">
      <c r="A41" s="15"/>
      <c r="B41" s="6" t="s">
        <v>82</v>
      </c>
      <c r="C41" s="73">
        <f>C42</f>
        <v>0</v>
      </c>
      <c r="D41" s="93">
        <v>10000000</v>
      </c>
      <c r="E41" s="72" t="s">
        <v>80</v>
      </c>
      <c r="K41" s="16"/>
    </row>
    <row r="42" spans="1:15" s="1" customFormat="1" ht="12" customHeight="1" outlineLevel="2" x14ac:dyDescent="0.2">
      <c r="A42" s="15"/>
      <c r="B42" s="5" t="s">
        <v>29</v>
      </c>
      <c r="C42" s="73"/>
      <c r="D42" s="73"/>
      <c r="E42" s="72" t="s">
        <v>80</v>
      </c>
      <c r="K42" s="16"/>
    </row>
    <row r="43" spans="1:15" s="1" customFormat="1" ht="12" customHeight="1" outlineLevel="2" x14ac:dyDescent="0.2">
      <c r="A43" s="15"/>
      <c r="B43" s="5" t="s">
        <v>30</v>
      </c>
      <c r="C43" s="73"/>
      <c r="D43" s="73"/>
      <c r="E43" s="72" t="s">
        <v>80</v>
      </c>
      <c r="K43" s="16"/>
    </row>
    <row r="44" spans="1:15" s="1" customFormat="1" ht="12" customHeight="1" outlineLevel="2" x14ac:dyDescent="0.2">
      <c r="A44" s="15"/>
      <c r="B44" s="3" t="s">
        <v>83</v>
      </c>
      <c r="C44" s="73"/>
      <c r="D44" s="73"/>
      <c r="E44" s="72"/>
      <c r="K44" s="16"/>
    </row>
    <row r="45" spans="1:15" s="1" customFormat="1" ht="23.25" customHeight="1" outlineLevel="2" x14ac:dyDescent="0.2">
      <c r="A45" s="15"/>
      <c r="B45" s="3" t="s">
        <v>84</v>
      </c>
      <c r="C45" s="79"/>
      <c r="D45" s="73">
        <v>1764706</v>
      </c>
      <c r="E45" s="72"/>
      <c r="K45" s="16"/>
      <c r="L45" s="16"/>
      <c r="M45" s="16"/>
      <c r="O45" s="16"/>
    </row>
    <row r="46" spans="1:15" s="1" customFormat="1" ht="12" customHeight="1" outlineLevel="2" x14ac:dyDescent="0.2">
      <c r="A46" s="15"/>
      <c r="B46" s="5" t="s">
        <v>11</v>
      </c>
      <c r="C46" s="80"/>
      <c r="D46" s="73"/>
      <c r="E46" s="72"/>
      <c r="K46" s="16"/>
      <c r="L46" s="16"/>
      <c r="M46" s="16"/>
    </row>
    <row r="47" spans="1:15" s="1" customFormat="1" ht="10.5" customHeight="1" outlineLevel="2" x14ac:dyDescent="0.2">
      <c r="A47" s="15"/>
      <c r="B47" s="4" t="s">
        <v>12</v>
      </c>
      <c r="C47" s="73"/>
      <c r="D47" s="73"/>
      <c r="E47" s="72"/>
      <c r="K47" s="16"/>
      <c r="L47" s="16"/>
      <c r="M47" s="16"/>
    </row>
    <row r="48" spans="1:15" s="1" customFormat="1" ht="10.5" customHeight="1" outlineLevel="1" x14ac:dyDescent="0.2">
      <c r="A48" s="15"/>
      <c r="B48" s="3" t="s">
        <v>58</v>
      </c>
      <c r="C48" s="77"/>
      <c r="D48" s="73">
        <v>6341186.8399999999</v>
      </c>
      <c r="E48" s="72" t="s">
        <v>110</v>
      </c>
      <c r="K48" s="16"/>
    </row>
    <row r="49" spans="1:5" s="1" customFormat="1" ht="12" hidden="1" customHeight="1" outlineLevel="1" x14ac:dyDescent="0.2">
      <c r="A49" s="15"/>
      <c r="B49" s="4" t="s">
        <v>11</v>
      </c>
      <c r="C49" s="77"/>
      <c r="D49" s="73"/>
      <c r="E49" s="72"/>
    </row>
    <row r="50" spans="1:5" s="1" customFormat="1" ht="2.25" hidden="1" customHeight="1" outlineLevel="1" x14ac:dyDescent="0.2">
      <c r="A50" s="15"/>
      <c r="B50" s="4" t="s">
        <v>12</v>
      </c>
      <c r="C50" s="77"/>
      <c r="D50" s="73"/>
      <c r="E50" s="72"/>
    </row>
    <row r="51" spans="1:5" s="1" customFormat="1" ht="1.1499999999999999" hidden="1" customHeight="1" outlineLevel="2" x14ac:dyDescent="0.2">
      <c r="A51" s="15"/>
      <c r="B51" s="5" t="s">
        <v>13</v>
      </c>
      <c r="C51" s="77"/>
      <c r="D51" s="73"/>
      <c r="E51" s="72"/>
    </row>
    <row r="52" spans="1:5" s="1" customFormat="1" ht="12" customHeight="1" outlineLevel="1" collapsed="1" x14ac:dyDescent="0.2">
      <c r="A52" s="15"/>
      <c r="B52" s="3" t="s">
        <v>6</v>
      </c>
      <c r="C52" s="77"/>
      <c r="D52" s="73">
        <v>29522.65</v>
      </c>
      <c r="E52" s="72" t="s">
        <v>26</v>
      </c>
    </row>
    <row r="53" spans="1:5" s="1" customFormat="1" ht="20.25" hidden="1" customHeight="1" outlineLevel="2" x14ac:dyDescent="0.2">
      <c r="A53" s="15"/>
      <c r="B53" s="4" t="s">
        <v>11</v>
      </c>
      <c r="C53" s="77"/>
      <c r="D53" s="73"/>
      <c r="E53" s="72"/>
    </row>
    <row r="54" spans="1:5" s="1" customFormat="1" ht="20.25" hidden="1" customHeight="1" outlineLevel="2" x14ac:dyDescent="0.2">
      <c r="A54" s="15"/>
      <c r="B54" s="4" t="s">
        <v>12</v>
      </c>
      <c r="C54" s="77"/>
      <c r="D54" s="73"/>
      <c r="E54" s="72"/>
    </row>
    <row r="55" spans="1:5" s="1" customFormat="1" ht="20.25" hidden="1" customHeight="1" outlineLevel="3" x14ac:dyDescent="0.2">
      <c r="A55" s="15"/>
      <c r="B55" s="5" t="s">
        <v>13</v>
      </c>
      <c r="C55" s="77"/>
      <c r="D55" s="73"/>
      <c r="E55" s="72"/>
    </row>
    <row r="56" spans="1:5" s="1" customFormat="1" ht="12" customHeight="1" outlineLevel="1" x14ac:dyDescent="0.2">
      <c r="A56" s="15"/>
      <c r="B56" s="3" t="s">
        <v>7</v>
      </c>
      <c r="C56" s="77"/>
      <c r="D56" s="73">
        <v>12148685.720000001</v>
      </c>
      <c r="E56" s="72" t="s">
        <v>20</v>
      </c>
    </row>
    <row r="57" spans="1:5" s="1" customFormat="1" ht="12" hidden="1" customHeight="1" outlineLevel="1" x14ac:dyDescent="0.2">
      <c r="A57" s="15"/>
      <c r="B57" s="6">
        <v>75</v>
      </c>
      <c r="C57" s="77"/>
      <c r="D57" s="73"/>
      <c r="E57" s="72" t="s">
        <v>25</v>
      </c>
    </row>
    <row r="58" spans="1:5" s="1" customFormat="1" ht="12" customHeight="1" outlineLevel="1" x14ac:dyDescent="0.2">
      <c r="A58" s="15"/>
      <c r="B58" s="6" t="s">
        <v>87</v>
      </c>
      <c r="C58" s="77"/>
      <c r="D58" s="73">
        <v>23201.61</v>
      </c>
      <c r="E58" s="72" t="s">
        <v>57</v>
      </c>
    </row>
    <row r="59" spans="1:5" s="1" customFormat="1" ht="12" customHeight="1" outlineLevel="1" x14ac:dyDescent="0.2">
      <c r="A59" s="15"/>
      <c r="B59" s="6" t="s">
        <v>78</v>
      </c>
      <c r="C59" s="146">
        <v>442883.07</v>
      </c>
      <c r="D59" s="73"/>
      <c r="E59" s="72"/>
    </row>
    <row r="60" spans="1:5" s="1" customFormat="1" ht="12" customHeight="1" outlineLevel="1" x14ac:dyDescent="0.2">
      <c r="A60" s="15"/>
      <c r="B60" s="6" t="s">
        <v>102</v>
      </c>
      <c r="C60" s="109"/>
      <c r="D60" s="73">
        <v>151764.47</v>
      </c>
      <c r="E60" s="72"/>
    </row>
    <row r="61" spans="1:5" s="1" customFormat="1" ht="12" customHeight="1" outlineLevel="1" x14ac:dyDescent="0.2">
      <c r="A61" s="15"/>
      <c r="B61" s="3" t="s">
        <v>8</v>
      </c>
      <c r="C61" s="77"/>
      <c r="D61" s="85">
        <f>SUM(D62:D67)</f>
        <v>440871.97</v>
      </c>
      <c r="E61" s="72" t="s">
        <v>16</v>
      </c>
    </row>
    <row r="62" spans="1:5" s="1" customFormat="1" ht="12" customHeight="1" outlineLevel="1" x14ac:dyDescent="0.2">
      <c r="A62" s="15"/>
      <c r="B62" s="4" t="s">
        <v>29</v>
      </c>
      <c r="C62" s="81"/>
      <c r="D62" s="82">
        <v>14072.78</v>
      </c>
      <c r="E62" s="72" t="s">
        <v>88</v>
      </c>
    </row>
    <row r="63" spans="1:5" s="1" customFormat="1" ht="12" customHeight="1" outlineLevel="1" x14ac:dyDescent="0.2">
      <c r="A63" s="15"/>
      <c r="B63" s="4" t="s">
        <v>30</v>
      </c>
      <c r="C63" s="81"/>
      <c r="D63" s="82">
        <v>27491.02</v>
      </c>
      <c r="E63" s="72" t="s">
        <v>88</v>
      </c>
    </row>
    <row r="64" spans="1:5" s="1" customFormat="1" ht="12" customHeight="1" outlineLevel="1" x14ac:dyDescent="0.2">
      <c r="A64" s="15"/>
      <c r="B64" s="4" t="s">
        <v>38</v>
      </c>
      <c r="C64" s="81"/>
      <c r="D64" s="82">
        <v>274910</v>
      </c>
      <c r="E64" s="72" t="s">
        <v>88</v>
      </c>
    </row>
    <row r="65" spans="1:12" s="1" customFormat="1" ht="12" customHeight="1" outlineLevel="1" x14ac:dyDescent="0.2">
      <c r="A65" s="15"/>
      <c r="B65" s="4" t="s">
        <v>39</v>
      </c>
      <c r="C65" s="81"/>
      <c r="D65" s="82">
        <v>2618.1799999999998</v>
      </c>
      <c r="E65" s="72" t="s">
        <v>88</v>
      </c>
    </row>
    <row r="66" spans="1:12" s="1" customFormat="1" ht="12" customHeight="1" outlineLevel="1" x14ac:dyDescent="0.2">
      <c r="A66" s="15"/>
      <c r="B66" s="5" t="s">
        <v>66</v>
      </c>
      <c r="C66" s="81"/>
      <c r="D66" s="140">
        <f>113598.14</f>
        <v>113598.14</v>
      </c>
      <c r="E66" s="72" t="s">
        <v>50</v>
      </c>
    </row>
    <row r="67" spans="1:12" s="1" customFormat="1" ht="12" customHeight="1" outlineLevel="1" x14ac:dyDescent="0.2">
      <c r="A67" s="15"/>
      <c r="B67" s="4" t="s">
        <v>65</v>
      </c>
      <c r="C67" s="81"/>
      <c r="D67" s="82">
        <v>8181.85</v>
      </c>
      <c r="E67" s="72"/>
    </row>
    <row r="68" spans="1:12" ht="12.75" customHeight="1" x14ac:dyDescent="0.2">
      <c r="A68" s="22"/>
      <c r="B68" s="17" t="s">
        <v>9</v>
      </c>
      <c r="C68" s="75">
        <f>C9+C10+C30+C59+C8+C36+C39</f>
        <v>842103544.38999999</v>
      </c>
      <c r="D68" s="83">
        <f>D8+D16+D48+D52+D56+D45+D41+D57+D58+D61+D40+D44+D37+D38+D39+D26+D25+D60+D30+D21+D22</f>
        <v>887508233.20000017</v>
      </c>
      <c r="E68" s="72"/>
      <c r="F68" s="88"/>
      <c r="G68" s="156"/>
      <c r="H68" s="156"/>
      <c r="I68" s="1"/>
    </row>
    <row r="69" spans="1:12" ht="27" customHeight="1" x14ac:dyDescent="0.2">
      <c r="A69" s="22"/>
      <c r="B69" s="17" t="s">
        <v>10</v>
      </c>
      <c r="C69" s="75">
        <f>C7+C68-D68</f>
        <v>2691202.9499998093</v>
      </c>
      <c r="D69" s="158"/>
      <c r="E69" s="159"/>
      <c r="F69" s="92" t="s">
        <v>101</v>
      </c>
      <c r="G69" s="133">
        <v>46240</v>
      </c>
      <c r="H69" s="105">
        <v>55000000</v>
      </c>
      <c r="I69" s="1"/>
    </row>
    <row r="70" spans="1:12" ht="13.5" customHeight="1" x14ac:dyDescent="0.2">
      <c r="A70" s="1"/>
      <c r="B70" s="1"/>
      <c r="C70" s="1"/>
      <c r="D70" s="1"/>
      <c r="E70" s="1"/>
      <c r="F70" s="92" t="s">
        <v>116</v>
      </c>
      <c r="G70" s="149">
        <v>46235</v>
      </c>
      <c r="H70" s="105">
        <v>17339000</v>
      </c>
      <c r="I70" s="1"/>
    </row>
    <row r="71" spans="1:12" ht="13.5" customHeight="1" x14ac:dyDescent="0.2">
      <c r="A71" s="1"/>
      <c r="B71" s="1"/>
      <c r="C71" s="1"/>
      <c r="D71" s="1"/>
      <c r="E71" s="1"/>
      <c r="F71" s="101"/>
      <c r="G71" s="138"/>
      <c r="H71" s="139"/>
      <c r="I71" s="1"/>
    </row>
    <row r="72" spans="1:12" ht="13.5" customHeight="1" x14ac:dyDescent="0.2">
      <c r="A72" s="1"/>
      <c r="B72" s="1"/>
      <c r="C72" s="1"/>
      <c r="D72" s="1"/>
      <c r="E72" s="1"/>
      <c r="F72" s="101"/>
      <c r="G72" s="138"/>
      <c r="H72" s="139"/>
      <c r="I72" s="1"/>
    </row>
    <row r="73" spans="1:12" ht="16.5" customHeight="1" x14ac:dyDescent="0.2">
      <c r="A73" s="1"/>
      <c r="B73" s="7"/>
      <c r="C73" s="25" t="s">
        <v>31</v>
      </c>
      <c r="D73" s="30" t="s">
        <v>29</v>
      </c>
      <c r="E73" s="30" t="s">
        <v>30</v>
      </c>
      <c r="F73" s="30" t="s">
        <v>38</v>
      </c>
      <c r="G73" s="30" t="s">
        <v>40</v>
      </c>
      <c r="H73" s="30" t="s">
        <v>65</v>
      </c>
      <c r="I73" s="1"/>
    </row>
    <row r="74" spans="1:12" s="1" customFormat="1" ht="28.5" hidden="1" customHeight="1" x14ac:dyDescent="0.2">
      <c r="B74" s="12"/>
      <c r="C74" s="9">
        <f>C34</f>
        <v>0</v>
      </c>
      <c r="D74" s="29">
        <v>0</v>
      </c>
      <c r="E74" s="29">
        <f>C36</f>
        <v>0</v>
      </c>
      <c r="F74" s="29"/>
      <c r="G74" s="29"/>
      <c r="H74"/>
      <c r="I74" s="154" t="s">
        <v>23</v>
      </c>
      <c r="J74" s="154"/>
      <c r="K74" s="154"/>
    </row>
    <row r="75" spans="1:12" s="1" customFormat="1" ht="12.75" customHeight="1" x14ac:dyDescent="0.2">
      <c r="B75" s="23" t="s">
        <v>42</v>
      </c>
      <c r="C75" s="12">
        <f>SUM(D75:H75)</f>
        <v>0</v>
      </c>
      <c r="D75" s="16">
        <f>C32</f>
        <v>0</v>
      </c>
      <c r="E75" s="16">
        <f>C33</f>
        <v>0</v>
      </c>
      <c r="F75" s="16">
        <f>C35</f>
        <v>0</v>
      </c>
      <c r="G75" s="16"/>
      <c r="H75" s="1">
        <v>0</v>
      </c>
      <c r="I75" s="23"/>
      <c r="J75" s="134"/>
      <c r="K75" s="8"/>
    </row>
    <row r="76" spans="1:12" s="1" customFormat="1" ht="12" x14ac:dyDescent="0.2">
      <c r="B76" s="14" t="s">
        <v>17</v>
      </c>
      <c r="C76" s="9">
        <f>SUM(D76:H76)</f>
        <v>71173815.719999999</v>
      </c>
      <c r="D76" s="16">
        <f>C11</f>
        <v>3090000</v>
      </c>
      <c r="E76" s="16">
        <f>C12</f>
        <v>5948500</v>
      </c>
      <c r="F76" s="16">
        <f>C13</f>
        <v>59817790</v>
      </c>
      <c r="G76" s="16">
        <f>C14</f>
        <v>576470.72</v>
      </c>
      <c r="H76" s="16">
        <f>C15</f>
        <v>1741055</v>
      </c>
      <c r="L76" s="16"/>
    </row>
    <row r="77" spans="1:12" s="1" customFormat="1" ht="12" x14ac:dyDescent="0.2">
      <c r="B77" s="14" t="s">
        <v>18</v>
      </c>
      <c r="C77" s="9">
        <f>SUM(D77:H77)</f>
        <v>36992600</v>
      </c>
      <c r="D77" s="16">
        <v>890000</v>
      </c>
      <c r="E77" s="16">
        <v>7690000</v>
      </c>
      <c r="F77" s="16">
        <v>27470400</v>
      </c>
      <c r="G77" s="16">
        <v>162600</v>
      </c>
      <c r="H77" s="16">
        <v>779600</v>
      </c>
      <c r="K77" s="16"/>
    </row>
    <row r="78" spans="1:12" s="1" customFormat="1" ht="24" x14ac:dyDescent="0.2">
      <c r="B78" s="124" t="s">
        <v>96</v>
      </c>
      <c r="C78" s="9">
        <f>SUM(D78:H78)</f>
        <v>40000</v>
      </c>
      <c r="D78" s="16"/>
      <c r="E78" s="16">
        <f>D33</f>
        <v>0</v>
      </c>
      <c r="F78" s="16">
        <f>D34</f>
        <v>40000</v>
      </c>
      <c r="G78" s="16"/>
      <c r="H78" s="16">
        <v>0</v>
      </c>
      <c r="K78" s="16"/>
    </row>
    <row r="79" spans="1:12" s="1" customFormat="1" ht="24.75" customHeight="1" x14ac:dyDescent="0.2">
      <c r="B79" s="112"/>
      <c r="C79" s="9">
        <f>F79</f>
        <v>0</v>
      </c>
      <c r="D79" s="16"/>
      <c r="E79" s="16"/>
      <c r="F79" s="16"/>
      <c r="G79" s="16">
        <v>0</v>
      </c>
    </row>
    <row r="80" spans="1:12" s="1" customFormat="1" ht="12" x14ac:dyDescent="0.2">
      <c r="A80" s="50"/>
      <c r="B80" s="46" t="s">
        <v>34</v>
      </c>
      <c r="C80" s="48">
        <f>C75+C76+C77-C78-C79</f>
        <v>108126415.72</v>
      </c>
      <c r="D80" s="55">
        <f>SUM(D74:D77)-D78+D79</f>
        <v>3980000</v>
      </c>
      <c r="E80" s="55">
        <f>SUM(E75:E77)-E78</f>
        <v>13638500</v>
      </c>
      <c r="F80" s="55">
        <f>SUM(F74:F77)-F78-F79</f>
        <v>87248190</v>
      </c>
      <c r="G80" s="55">
        <f>SUM(G74:G79)-G78</f>
        <v>739070.72</v>
      </c>
      <c r="H80" s="55">
        <f>SUM(H75:H78)</f>
        <v>2520655</v>
      </c>
    </row>
    <row r="81" spans="2:8" s="1" customFormat="1" ht="25.5" customHeight="1" x14ac:dyDescent="0.2">
      <c r="B81" s="91"/>
      <c r="C81" s="10"/>
      <c r="D81" s="69"/>
      <c r="E81" s="69"/>
      <c r="F81" s="16"/>
      <c r="G81" s="16"/>
    </row>
    <row r="82" spans="2:8" s="1" customFormat="1" ht="8.25" customHeight="1" x14ac:dyDescent="0.2">
      <c r="B82" s="13"/>
      <c r="C82" s="10"/>
      <c r="D82" s="29"/>
      <c r="E82" s="29"/>
      <c r="F82" s="29"/>
      <c r="G82" s="29"/>
      <c r="H82"/>
    </row>
    <row r="83" spans="2:8" s="1" customFormat="1" ht="12" x14ac:dyDescent="0.2">
      <c r="B83" s="155" t="s">
        <v>32</v>
      </c>
      <c r="C83" s="155"/>
      <c r="D83" s="30" t="s">
        <v>29</v>
      </c>
      <c r="E83" s="30" t="s">
        <v>30</v>
      </c>
      <c r="F83" s="30" t="s">
        <v>38</v>
      </c>
      <c r="G83" s="29"/>
      <c r="H83"/>
    </row>
    <row r="84" spans="2:8" s="1" customFormat="1" ht="12" x14ac:dyDescent="0.2">
      <c r="B84" s="36" t="s">
        <v>21</v>
      </c>
      <c r="C84" s="9">
        <f>D48+D52</f>
        <v>6370709.4900000002</v>
      </c>
      <c r="D84" s="16">
        <f>C84/2</f>
        <v>3185354.7450000001</v>
      </c>
      <c r="E84" s="16">
        <f>C84/2</f>
        <v>3185354.7450000001</v>
      </c>
      <c r="F84" s="16"/>
      <c r="G84" s="59"/>
      <c r="H84" s="59"/>
    </row>
    <row r="85" spans="2:8" s="1" customFormat="1" ht="12" x14ac:dyDescent="0.2">
      <c r="B85" s="37" t="s">
        <v>85</v>
      </c>
      <c r="C85" s="9"/>
      <c r="D85" s="16">
        <f>C85/2</f>
        <v>0</v>
      </c>
      <c r="E85" s="16">
        <f>C85/2</f>
        <v>0</v>
      </c>
      <c r="F85" s="61"/>
      <c r="G85" s="16"/>
      <c r="H85" s="16"/>
    </row>
    <row r="86" spans="2:8" s="1" customFormat="1" ht="12" x14ac:dyDescent="0.2">
      <c r="B86" s="36" t="s">
        <v>20</v>
      </c>
      <c r="C86" s="9">
        <f>D56</f>
        <v>12148685.720000001</v>
      </c>
      <c r="D86" s="16">
        <f>C86/2-7800+55191</f>
        <v>6121733.8600000003</v>
      </c>
      <c r="E86" s="16">
        <f>C86/2-55191+7800</f>
        <v>6026951.8600000003</v>
      </c>
      <c r="F86" s="16"/>
      <c r="G86" s="16"/>
    </row>
    <row r="87" spans="2:8" s="1" customFormat="1" ht="12" x14ac:dyDescent="0.2">
      <c r="B87" s="36" t="s">
        <v>94</v>
      </c>
      <c r="C87" s="71">
        <v>1170</v>
      </c>
      <c r="D87" s="16">
        <f>C87/2</f>
        <v>585</v>
      </c>
      <c r="E87" s="16">
        <f>C87/2</f>
        <v>585</v>
      </c>
      <c r="F87" s="16"/>
      <c r="G87" s="16"/>
    </row>
    <row r="88" spans="2:8" s="1" customFormat="1" ht="12" x14ac:dyDescent="0.2">
      <c r="B88" s="38" t="s">
        <v>44</v>
      </c>
      <c r="C88" s="9">
        <f>D65+D67+D66+D64</f>
        <v>399308.17</v>
      </c>
      <c r="D88" s="16">
        <f>C88/2</f>
        <v>199654.08499999999</v>
      </c>
      <c r="E88" s="16">
        <f>C88/2</f>
        <v>199654.08499999999</v>
      </c>
      <c r="F88" s="16"/>
      <c r="G88" s="16"/>
    </row>
    <row r="89" spans="2:8" s="1" customFormat="1" ht="12" x14ac:dyDescent="0.2">
      <c r="B89" s="36" t="s">
        <v>92</v>
      </c>
      <c r="C89" s="9">
        <f>SUM(D89:E89)</f>
        <v>41563.800000000003</v>
      </c>
      <c r="D89" s="16">
        <f>D62</f>
        <v>14072.78</v>
      </c>
      <c r="E89" s="16">
        <f>D63</f>
        <v>27491.02</v>
      </c>
      <c r="F89" s="16"/>
      <c r="G89" s="16"/>
    </row>
    <row r="90" spans="2:8" s="1" customFormat="1" ht="12" x14ac:dyDescent="0.2">
      <c r="B90" s="36" t="s">
        <v>53</v>
      </c>
      <c r="C90" s="9">
        <f>D58</f>
        <v>23201.61</v>
      </c>
      <c r="D90" s="16">
        <f>C90/2</f>
        <v>11600.805</v>
      </c>
      <c r="E90" s="16">
        <f>C90/2</f>
        <v>11600.805</v>
      </c>
      <c r="F90" s="16"/>
      <c r="G90" s="16"/>
    </row>
    <row r="91" spans="2:8" s="1" customFormat="1" ht="12" x14ac:dyDescent="0.2">
      <c r="B91" s="36" t="s">
        <v>114</v>
      </c>
      <c r="C91" s="9">
        <f>D60</f>
        <v>151764.47</v>
      </c>
      <c r="D91" s="16">
        <f>C91/2</f>
        <v>75882.235000000001</v>
      </c>
      <c r="E91" s="16">
        <f>C91/2</f>
        <v>75882.235000000001</v>
      </c>
      <c r="F91" s="16"/>
      <c r="G91" s="16"/>
    </row>
    <row r="92" spans="2:8" s="1" customFormat="1" ht="12" x14ac:dyDescent="0.2">
      <c r="B92" s="14" t="s">
        <v>90</v>
      </c>
      <c r="C92" s="9">
        <f>SUM(D92:E92)</f>
        <v>0</v>
      </c>
      <c r="D92" s="16">
        <f>7215+344250-23515-64200</f>
        <v>263750</v>
      </c>
      <c r="E92" s="16">
        <f>23515-351465+64200</f>
        <v>-263750</v>
      </c>
      <c r="F92" s="16"/>
      <c r="G92" s="16"/>
    </row>
    <row r="93" spans="2:8" s="1" customFormat="1" ht="12" x14ac:dyDescent="0.2">
      <c r="B93" s="36" t="s">
        <v>33</v>
      </c>
      <c r="C93" s="71">
        <f>D93+E93</f>
        <v>53416727.719999999</v>
      </c>
      <c r="D93" s="16">
        <f>SUM(D94:D98)</f>
        <v>25950462.859999999</v>
      </c>
      <c r="E93" s="16">
        <f>SUM(E94:E98)</f>
        <v>27466264.859999999</v>
      </c>
      <c r="F93" s="16"/>
      <c r="G93" s="16"/>
    </row>
    <row r="94" spans="2:8" s="1" customFormat="1" ht="12" x14ac:dyDescent="0.2">
      <c r="B94" s="14" t="s">
        <v>68</v>
      </c>
      <c r="C94" s="71">
        <f>D23</f>
        <v>224103.63</v>
      </c>
      <c r="D94" s="86">
        <f>C94/2</f>
        <v>112051.815</v>
      </c>
      <c r="E94" s="86">
        <f>C94/2</f>
        <v>112051.815</v>
      </c>
      <c r="F94" s="16"/>
      <c r="G94" s="16"/>
    </row>
    <row r="95" spans="2:8" s="1" customFormat="1" ht="12" x14ac:dyDescent="0.2">
      <c r="B95" s="41" t="s">
        <v>120</v>
      </c>
      <c r="C95" s="71">
        <f>D24</f>
        <v>4462500</v>
      </c>
      <c r="D95" s="86">
        <f>C95/2</f>
        <v>2231250</v>
      </c>
      <c r="E95" s="86">
        <f>C95/2</f>
        <v>2231250</v>
      </c>
      <c r="F95" s="94"/>
      <c r="G95" s="16"/>
      <c r="H95" s="16"/>
    </row>
    <row r="96" spans="2:8" s="1" customFormat="1" ht="12" x14ac:dyDescent="0.2">
      <c r="B96" s="41" t="s">
        <v>59</v>
      </c>
      <c r="C96" s="71">
        <f>D28</f>
        <v>0</v>
      </c>
      <c r="D96" s="86">
        <f>D27+D28/2</f>
        <v>0</v>
      </c>
      <c r="E96" s="86">
        <v>0</v>
      </c>
      <c r="F96" s="16"/>
      <c r="G96" s="16"/>
    </row>
    <row r="97" spans="1:12" s="1" customFormat="1" ht="12" x14ac:dyDescent="0.2">
      <c r="B97" s="41" t="s">
        <v>61</v>
      </c>
      <c r="C97" s="71">
        <f>D29</f>
        <v>25223566</v>
      </c>
      <c r="D97" s="86">
        <f>C97/2</f>
        <v>12611783</v>
      </c>
      <c r="E97" s="86">
        <f>C97/2</f>
        <v>12611783</v>
      </c>
      <c r="F97" s="16"/>
      <c r="G97" s="16"/>
    </row>
    <row r="98" spans="1:12" s="1" customFormat="1" ht="12" x14ac:dyDescent="0.2">
      <c r="B98" s="41" t="s">
        <v>43</v>
      </c>
      <c r="C98" s="71">
        <f>D17</f>
        <v>23506558.089999996</v>
      </c>
      <c r="D98" s="87">
        <f>D99+D100</f>
        <v>10995378.044999998</v>
      </c>
      <c r="E98" s="87">
        <f>E99+E100</f>
        <v>12511180.044999998</v>
      </c>
      <c r="F98" s="16" t="s">
        <v>48</v>
      </c>
      <c r="G98" s="16"/>
      <c r="I98" s="128" t="s">
        <v>69</v>
      </c>
      <c r="J98" s="129" t="s">
        <v>65</v>
      </c>
    </row>
    <row r="99" spans="1:12" s="1" customFormat="1" ht="12" x14ac:dyDescent="0.2">
      <c r="B99" s="41" t="s">
        <v>46</v>
      </c>
      <c r="C99" s="9">
        <f>D99+E99</f>
        <v>2254782</v>
      </c>
      <c r="D99" s="66">
        <v>369490</v>
      </c>
      <c r="E99" s="66">
        <v>1885292</v>
      </c>
      <c r="F99" s="29"/>
      <c r="G99" s="16"/>
      <c r="H99" s="1" t="s">
        <v>31</v>
      </c>
      <c r="I99" s="16">
        <f>F80</f>
        <v>87248190</v>
      </c>
      <c r="J99" s="16">
        <f>H80</f>
        <v>2520655</v>
      </c>
    </row>
    <row r="100" spans="1:12" s="1" customFormat="1" ht="33.75" x14ac:dyDescent="0.2">
      <c r="B100" s="41" t="s">
        <v>47</v>
      </c>
      <c r="C100" s="9">
        <f>C98-C99</f>
        <v>21251776.089999996</v>
      </c>
      <c r="D100" s="66">
        <f>C100/2</f>
        <v>10625888.044999998</v>
      </c>
      <c r="E100" s="66">
        <f>C100/2</f>
        <v>10625888.044999998</v>
      </c>
      <c r="F100" s="29"/>
      <c r="G100" s="16"/>
      <c r="H100" s="1" t="s">
        <v>70</v>
      </c>
      <c r="I100" s="132">
        <f>D29</f>
        <v>25223566</v>
      </c>
      <c r="J100" s="127">
        <v>1080628</v>
      </c>
      <c r="K100" s="131" t="s">
        <v>98</v>
      </c>
    </row>
    <row r="101" spans="1:12" s="1" customFormat="1" ht="12" x14ac:dyDescent="0.2">
      <c r="B101" s="89"/>
      <c r="C101" s="9"/>
      <c r="D101" s="16"/>
      <c r="E101" s="16"/>
      <c r="F101" s="16"/>
      <c r="G101" s="16"/>
      <c r="H101" s="1" t="s">
        <v>71</v>
      </c>
      <c r="I101" s="16">
        <v>7557629</v>
      </c>
      <c r="J101" s="148">
        <v>366847.87</v>
      </c>
      <c r="L101" s="16"/>
    </row>
    <row r="102" spans="1:12" s="1" customFormat="1" ht="12" x14ac:dyDescent="0.2">
      <c r="B102" s="31" t="s">
        <v>19</v>
      </c>
      <c r="C102" s="26">
        <f>C84+C85+C86+C88+C89+C93+C87+C90+C101+C92+C91</f>
        <v>72553130.980000004</v>
      </c>
      <c r="D102" s="10">
        <f>D84+D85+D86+D88+D89+D93+D87+D90+D92+D101+D91</f>
        <v>35823096.369999997</v>
      </c>
      <c r="E102" s="10">
        <f>E84+E85+E86+E88+E89+E93+E87+E90+E92+E101+E91</f>
        <v>36730034.609999999</v>
      </c>
      <c r="F102" s="16"/>
      <c r="G102" s="16"/>
      <c r="H102" s="43" t="s">
        <v>72</v>
      </c>
      <c r="I102" s="69">
        <f>I99-I100-I101</f>
        <v>54466995</v>
      </c>
      <c r="J102" s="69">
        <f>J99-J100-J101</f>
        <v>1073179.1299999999</v>
      </c>
    </row>
    <row r="103" spans="1:12" s="1" customFormat="1" ht="12" customHeight="1" x14ac:dyDescent="0.2">
      <c r="B103" s="32" t="s">
        <v>36</v>
      </c>
      <c r="C103" s="9"/>
      <c r="D103" s="16"/>
      <c r="E103" s="16"/>
      <c r="F103" s="16"/>
      <c r="G103" s="16"/>
      <c r="H103" s="1" t="s">
        <v>73</v>
      </c>
      <c r="I103" s="69">
        <f>I102/2</f>
        <v>27233497.5</v>
      </c>
      <c r="J103" s="130">
        <f>J102/2</f>
        <v>536589.56499999994</v>
      </c>
    </row>
    <row r="104" spans="1:12" s="1" customFormat="1" ht="18" hidden="1" customHeight="1" x14ac:dyDescent="0.2">
      <c r="B104" s="12"/>
      <c r="C104" s="9"/>
      <c r="D104" s="16"/>
      <c r="E104" s="16"/>
      <c r="F104" s="16"/>
      <c r="G104" s="16"/>
      <c r="I104" s="2"/>
    </row>
    <row r="105" spans="1:12" s="1" customFormat="1" ht="17.25" hidden="1" customHeight="1" x14ac:dyDescent="0.2">
      <c r="B105" s="14" t="s">
        <v>35</v>
      </c>
      <c r="C105" s="9"/>
      <c r="D105" s="16">
        <f>C105/2</f>
        <v>0</v>
      </c>
      <c r="E105" s="16">
        <f>C105/2</f>
        <v>0</v>
      </c>
      <c r="F105" s="16"/>
      <c r="G105" s="16"/>
      <c r="I105" s="2"/>
    </row>
    <row r="106" spans="1:12" s="1" customFormat="1" ht="8.25" customHeight="1" x14ac:dyDescent="0.2">
      <c r="B106" s="14"/>
      <c r="C106" s="9"/>
      <c r="D106" s="29"/>
      <c r="E106" s="29"/>
      <c r="F106" s="29"/>
      <c r="G106" s="29"/>
      <c r="I106" s="2"/>
    </row>
    <row r="107" spans="1:12" s="1" customFormat="1" ht="12" x14ac:dyDescent="0.2">
      <c r="A107" s="50"/>
      <c r="B107" s="46" t="s">
        <v>19</v>
      </c>
      <c r="C107" s="48">
        <f>C102+C105</f>
        <v>72553130.980000004</v>
      </c>
      <c r="D107" s="55">
        <f>D102+D105</f>
        <v>35823096.369999997</v>
      </c>
      <c r="E107" s="55">
        <f>E102+E105</f>
        <v>36730034.609999999</v>
      </c>
      <c r="F107" s="29"/>
      <c r="G107" s="29"/>
      <c r="H107"/>
      <c r="I107" s="2"/>
    </row>
    <row r="108" spans="1:12" s="1" customFormat="1" ht="12" x14ac:dyDescent="0.2">
      <c r="B108" s="13" t="s">
        <v>45</v>
      </c>
      <c r="C108" s="9"/>
      <c r="D108" s="29"/>
      <c r="E108" s="29"/>
      <c r="F108" s="29"/>
      <c r="G108" s="29"/>
      <c r="H108"/>
    </row>
    <row r="109" spans="1:12" s="1" customFormat="1" ht="0.75" customHeight="1" x14ac:dyDescent="0.2">
      <c r="B109" s="13"/>
      <c r="C109" s="10"/>
      <c r="D109" s="29"/>
      <c r="E109" s="29"/>
      <c r="F109" s="29"/>
      <c r="G109" s="29"/>
      <c r="H109"/>
    </row>
    <row r="110" spans="1:12" s="1" customFormat="1" ht="12" x14ac:dyDescent="0.2">
      <c r="B110" s="60" t="s">
        <v>37</v>
      </c>
      <c r="C110" s="13">
        <f>C80-C107+C81</f>
        <v>35573284.739999995</v>
      </c>
      <c r="D110" s="68">
        <f>D80-D107+D81</f>
        <v>-31843096.369999997</v>
      </c>
      <c r="E110" s="68">
        <f>E80-E107+E81</f>
        <v>-23091534.609999999</v>
      </c>
      <c r="F110" s="29"/>
      <c r="G110" s="29"/>
      <c r="H110"/>
    </row>
    <row r="111" spans="1:12" s="1" customFormat="1" ht="11.25" customHeight="1" x14ac:dyDescent="0.2">
      <c r="B111" s="95" t="s">
        <v>112</v>
      </c>
      <c r="C111" s="65">
        <f>C59</f>
        <v>442883.07</v>
      </c>
      <c r="D111" s="29">
        <f>C111/2</f>
        <v>221441.535</v>
      </c>
      <c r="E111" s="29">
        <f>C111/2</f>
        <v>221441.535</v>
      </c>
      <c r="F111" s="29"/>
      <c r="G111" s="29"/>
      <c r="H111"/>
    </row>
    <row r="112" spans="1:12" ht="12" x14ac:dyDescent="0.2">
      <c r="B112" s="28" t="s">
        <v>49</v>
      </c>
      <c r="C112" s="1"/>
      <c r="D112" s="16">
        <f>F80/2</f>
        <v>43624095</v>
      </c>
      <c r="E112" s="16">
        <f>F80/2</f>
        <v>43624095</v>
      </c>
      <c r="F112" s="1"/>
      <c r="G112" s="1"/>
      <c r="H112" s="1"/>
    </row>
    <row r="113" spans="1:16" s="1" customFormat="1" ht="12" x14ac:dyDescent="0.2">
      <c r="B113" s="67" t="s">
        <v>67</v>
      </c>
      <c r="C113" s="13"/>
      <c r="D113" s="29">
        <f>H80/2</f>
        <v>1260327.5</v>
      </c>
      <c r="E113" s="29">
        <f>H80/2</f>
        <v>1260327.5</v>
      </c>
      <c r="F113" s="29"/>
      <c r="G113" s="29"/>
      <c r="H113"/>
    </row>
    <row r="114" spans="1:16" s="1" customFormat="1" ht="12" x14ac:dyDescent="0.2">
      <c r="B114" s="67" t="s">
        <v>86</v>
      </c>
      <c r="C114" s="13"/>
      <c r="D114" s="29">
        <f>G80/2</f>
        <v>369535.36</v>
      </c>
      <c r="E114" s="29">
        <f>G80/2</f>
        <v>369535.36</v>
      </c>
      <c r="F114" s="29"/>
      <c r="G114" s="29"/>
      <c r="H114"/>
    </row>
    <row r="115" spans="1:16" s="11" customFormat="1" ht="12" x14ac:dyDescent="0.2">
      <c r="A115" s="56"/>
      <c r="B115" s="46" t="s">
        <v>51</v>
      </c>
      <c r="C115" s="47">
        <f>D115+E115</f>
        <v>36016167.810000002</v>
      </c>
      <c r="D115" s="48">
        <f>D110+D112+D113+D114+D111</f>
        <v>13632303.025000002</v>
      </c>
      <c r="E115" s="48">
        <f>E110+E112+E113+E114+E111</f>
        <v>22383864.785</v>
      </c>
      <c r="F115" s="35"/>
      <c r="G115" s="33"/>
      <c r="H115" s="34"/>
    </row>
    <row r="116" spans="1:16" s="11" customFormat="1" ht="12" x14ac:dyDescent="0.2">
      <c r="B116" s="58"/>
      <c r="C116" s="13"/>
      <c r="D116" s="26"/>
      <c r="E116" s="26"/>
      <c r="F116" s="35"/>
      <c r="G116" s="33"/>
      <c r="H116" s="34"/>
    </row>
    <row r="117" spans="1:16" s="11" customFormat="1" ht="12.75" x14ac:dyDescent="0.2">
      <c r="A117" s="157" t="s">
        <v>56</v>
      </c>
      <c r="B117" s="157"/>
      <c r="C117" s="10">
        <f>SUM(D117:E117)</f>
        <v>49770606.410000004</v>
      </c>
      <c r="D117" s="69">
        <v>16070192.99</v>
      </c>
      <c r="E117" s="69">
        <v>33700413.420000002</v>
      </c>
      <c r="F117" s="10"/>
      <c r="G117" s="63"/>
      <c r="H117" s="34"/>
      <c r="L117" s="49"/>
      <c r="M117" s="57"/>
      <c r="N117" s="16"/>
      <c r="O117" s="16"/>
      <c r="P117" s="1"/>
    </row>
    <row r="118" spans="1:16" s="11" customFormat="1" ht="13.5" thickBot="1" x14ac:dyDescent="0.25">
      <c r="A118" s="137"/>
      <c r="B118" s="137" t="s">
        <v>117</v>
      </c>
      <c r="C118" s="10"/>
      <c r="D118" s="69"/>
      <c r="E118" s="69">
        <f>D41+D45</f>
        <v>11764706</v>
      </c>
      <c r="F118" s="10"/>
      <c r="G118" s="63"/>
      <c r="H118" s="34"/>
      <c r="L118" s="137"/>
      <c r="M118" s="57"/>
      <c r="N118" s="16"/>
      <c r="O118" s="16"/>
      <c r="P118" s="1"/>
    </row>
    <row r="119" spans="1:16" s="11" customFormat="1" ht="12.75" x14ac:dyDescent="0.2">
      <c r="A119" s="1"/>
      <c r="B119" s="160" t="s">
        <v>111</v>
      </c>
      <c r="C119" s="161">
        <v>23000000</v>
      </c>
      <c r="D119" s="162"/>
      <c r="E119" s="163"/>
      <c r="F119" s="16"/>
      <c r="G119" s="16"/>
      <c r="H119"/>
      <c r="I119" s="1"/>
      <c r="L119" s="49"/>
      <c r="M119" s="57"/>
      <c r="N119" s="16"/>
      <c r="O119" s="16"/>
      <c r="P119" s="1"/>
    </row>
    <row r="120" spans="1:16" s="11" customFormat="1" ht="24" x14ac:dyDescent="0.2">
      <c r="B120" s="164" t="s">
        <v>118</v>
      </c>
      <c r="C120" s="143">
        <f>D22</f>
        <v>21087200</v>
      </c>
      <c r="D120" s="115"/>
      <c r="E120" s="165"/>
      <c r="F120" s="10"/>
      <c r="G120" s="63"/>
      <c r="H120" s="34"/>
      <c r="L120" s="49"/>
      <c r="M120" s="57"/>
      <c r="N120" s="16"/>
      <c r="O120" s="16"/>
      <c r="P120" s="1"/>
    </row>
    <row r="121" spans="1:16" s="11" customFormat="1" ht="15.75" customHeight="1" thickBot="1" x14ac:dyDescent="0.25">
      <c r="B121" s="166" t="s">
        <v>119</v>
      </c>
      <c r="C121" s="167">
        <f>C119-C120</f>
        <v>1912800</v>
      </c>
      <c r="D121" s="167">
        <f>C121/2</f>
        <v>956400</v>
      </c>
      <c r="E121" s="168">
        <v>956400</v>
      </c>
      <c r="F121" s="10"/>
      <c r="G121" s="63"/>
      <c r="H121" s="34"/>
      <c r="L121" s="90"/>
      <c r="M121" s="57"/>
      <c r="N121" s="16"/>
      <c r="O121" s="16"/>
      <c r="P121" s="1"/>
    </row>
    <row r="122" spans="1:16" s="11" customFormat="1" ht="23.25" hidden="1" customHeight="1" x14ac:dyDescent="0.2">
      <c r="A122" s="96"/>
      <c r="B122" s="100" t="s">
        <v>63</v>
      </c>
      <c r="C122" s="101"/>
      <c r="D122" s="98">
        <f>F122-G95</f>
        <v>0</v>
      </c>
      <c r="E122" s="102">
        <f>F122-H95</f>
        <v>0</v>
      </c>
      <c r="F122" s="66">
        <v>0</v>
      </c>
      <c r="G122" s="64" t="s">
        <v>64</v>
      </c>
      <c r="H122" s="34"/>
      <c r="L122" s="58"/>
      <c r="M122" s="10"/>
      <c r="N122" s="16"/>
      <c r="O122" s="16"/>
      <c r="P122" s="1"/>
    </row>
    <row r="123" spans="1:16" s="11" customFormat="1" ht="20.25" customHeight="1" x14ac:dyDescent="0.2">
      <c r="A123" s="96"/>
      <c r="B123" s="100"/>
      <c r="C123" s="101"/>
      <c r="D123" s="103"/>
      <c r="E123" s="104"/>
      <c r="F123" s="35"/>
      <c r="G123" s="33"/>
      <c r="H123" s="34"/>
      <c r="L123" s="49"/>
      <c r="M123" s="10"/>
      <c r="N123" s="16"/>
      <c r="O123" s="16"/>
      <c r="P123" s="1"/>
    </row>
    <row r="124" spans="1:16" s="1" customFormat="1" ht="12" customHeight="1" x14ac:dyDescent="0.2">
      <c r="A124" s="54"/>
      <c r="B124" s="51" t="s">
        <v>52</v>
      </c>
      <c r="C124" s="52">
        <f>SUM(D124:E124)</f>
        <v>75934868.219999999</v>
      </c>
      <c r="D124" s="45">
        <f>D115+D117+D122-D119-D120+D121</f>
        <v>30658896.015000001</v>
      </c>
      <c r="E124" s="45">
        <f>E115+E117+E122-E118+E121</f>
        <v>45275972.204999998</v>
      </c>
      <c r="G124" s="39"/>
      <c r="M124" s="39"/>
    </row>
    <row r="125" spans="1:16" s="1" customFormat="1" ht="12" customHeight="1" x14ac:dyDescent="0.2">
      <c r="A125" s="54"/>
      <c r="B125" s="44" t="s">
        <v>54</v>
      </c>
      <c r="C125" s="52"/>
      <c r="D125" s="53"/>
      <c r="E125" s="53"/>
    </row>
    <row r="126" spans="1:16" ht="11.25" customHeight="1" x14ac:dyDescent="0.2">
      <c r="A126" s="54"/>
      <c r="B126" s="44" t="s">
        <v>55</v>
      </c>
      <c r="C126" s="54"/>
      <c r="D126" s="54"/>
      <c r="E126" s="54"/>
      <c r="G126" s="40"/>
      <c r="M126" s="40"/>
    </row>
    <row r="127" spans="1:16" ht="6.75" hidden="1" customHeight="1" x14ac:dyDescent="0.2">
      <c r="C127" s="35"/>
    </row>
    <row r="128" spans="1:16" ht="23.25" customHeight="1" x14ac:dyDescent="0.2">
      <c r="C128" s="35"/>
    </row>
    <row r="129" spans="1:9" ht="8.25" hidden="1" customHeight="1" x14ac:dyDescent="0.2">
      <c r="C129" s="35"/>
    </row>
    <row r="130" spans="1:9" ht="39.75" customHeight="1" x14ac:dyDescent="0.2">
      <c r="B130" s="135" t="s">
        <v>113</v>
      </c>
      <c r="C130" s="35">
        <v>19545367</v>
      </c>
      <c r="D130">
        <v>9772684</v>
      </c>
      <c r="E130">
        <v>9772684</v>
      </c>
    </row>
    <row r="131" spans="1:9" ht="39.75" customHeight="1" x14ac:dyDescent="0.2">
      <c r="B131" s="135"/>
      <c r="C131" s="35"/>
    </row>
    <row r="132" spans="1:9" ht="24" customHeight="1" x14ac:dyDescent="0.2">
      <c r="B132" s="62" t="s">
        <v>115</v>
      </c>
      <c r="C132" s="10">
        <v>5036955</v>
      </c>
    </row>
    <row r="133" spans="1:9" ht="8.25" customHeight="1" x14ac:dyDescent="0.2">
      <c r="B133" s="31"/>
      <c r="C133" s="16"/>
    </row>
    <row r="134" spans="1:9" s="1" customFormat="1" ht="12.75" x14ac:dyDescent="0.2">
      <c r="B134" s="27"/>
      <c r="C134" s="16"/>
    </row>
    <row r="135" spans="1:9" s="1" customFormat="1" x14ac:dyDescent="0.2">
      <c r="B135" s="106"/>
      <c r="C135" s="98"/>
      <c r="I135" s="43"/>
    </row>
    <row r="136" spans="1:9" s="1" customFormat="1" x14ac:dyDescent="0.2">
      <c r="B136" s="97"/>
      <c r="C136" s="99"/>
    </row>
    <row r="137" spans="1:9" s="1" customFormat="1" x14ac:dyDescent="0.2">
      <c r="A137" s="119"/>
      <c r="B137" s="110"/>
      <c r="C137" s="107"/>
      <c r="D137" s="98"/>
      <c r="E137" s="98"/>
      <c r="F137" s="119"/>
    </row>
    <row r="138" spans="1:9" s="1" customFormat="1" x14ac:dyDescent="0.2">
      <c r="A138" s="119"/>
      <c r="B138" s="106"/>
      <c r="C138" s="101"/>
      <c r="D138" s="99"/>
      <c r="E138" s="99"/>
      <c r="F138" s="119"/>
    </row>
    <row r="139" spans="1:9" s="1" customFormat="1" ht="30" customHeight="1" x14ac:dyDescent="0.2">
      <c r="A139" s="119"/>
      <c r="B139" s="113"/>
      <c r="C139" s="114"/>
      <c r="D139" s="99"/>
      <c r="E139" s="99"/>
      <c r="F139" s="125"/>
    </row>
    <row r="140" spans="1:9" s="1" customFormat="1" ht="36" customHeight="1" x14ac:dyDescent="0.2">
      <c r="A140" s="119"/>
      <c r="B140" s="116"/>
      <c r="C140" s="116"/>
      <c r="D140" s="108"/>
      <c r="E140" s="108"/>
      <c r="F140" s="125"/>
    </row>
    <row r="141" spans="1:9" s="42" customFormat="1" ht="12" x14ac:dyDescent="0.2">
      <c r="A141" s="113"/>
      <c r="B141" s="117"/>
      <c r="C141" s="118"/>
      <c r="D141" s="115"/>
      <c r="E141" s="115"/>
      <c r="F141" s="119"/>
    </row>
    <row r="142" spans="1:9" s="1" customFormat="1" ht="12" x14ac:dyDescent="0.2">
      <c r="A142" s="119"/>
      <c r="B142" s="120"/>
      <c r="C142" s="121"/>
      <c r="D142" s="114"/>
      <c r="E142" s="114"/>
      <c r="F142" s="113"/>
    </row>
    <row r="143" spans="1:9" s="1" customFormat="1" x14ac:dyDescent="0.2">
      <c r="A143" s="119"/>
      <c r="B143" s="122"/>
      <c r="C143" s="123"/>
      <c r="D143" s="119"/>
      <c r="E143" s="119"/>
      <c r="F143" s="119"/>
      <c r="G143" s="43"/>
    </row>
    <row r="144" spans="1:9" x14ac:dyDescent="0.2">
      <c r="A144" s="126"/>
      <c r="B144" s="126"/>
      <c r="C144" s="126"/>
      <c r="D144" s="119"/>
      <c r="E144" s="119"/>
      <c r="F144" s="116"/>
    </row>
    <row r="145" spans="1:6" ht="18" customHeight="1" x14ac:dyDescent="0.2">
      <c r="A145" s="126"/>
      <c r="D145" s="119"/>
      <c r="E145" s="119"/>
      <c r="F145" s="126"/>
    </row>
    <row r="146" spans="1:6" x14ac:dyDescent="0.2">
      <c r="A146" s="126"/>
      <c r="D146" s="126"/>
      <c r="E146" s="126"/>
      <c r="F146" s="126"/>
    </row>
  </sheetData>
  <mergeCells count="8">
    <mergeCell ref="A117:B117"/>
    <mergeCell ref="D69:E69"/>
    <mergeCell ref="A4:E4"/>
    <mergeCell ref="A1:E1"/>
    <mergeCell ref="A2:F2"/>
    <mergeCell ref="I74:K74"/>
    <mergeCell ref="B83:C83"/>
    <mergeCell ref="G68:H68"/>
  </mergeCells>
  <pageMargins left="0" right="0.19685039370078741" top="0" bottom="0.19685039370078741" header="0" footer="0"/>
  <pageSetup paperSize="9" scale="59" fitToWidth="0" pageOrder="overThenDown" orientation="portrait" r:id="rId1"/>
  <headerFooter alignWithMargins="0"/>
  <ignoredErrors>
    <ignoredError sqref="E89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Admin</cp:lastModifiedBy>
  <cp:revision>1</cp:revision>
  <cp:lastPrinted>2026-05-07T12:40:49Z</cp:lastPrinted>
  <dcterms:created xsi:type="dcterms:W3CDTF">2019-12-02T13:34:07Z</dcterms:created>
  <dcterms:modified xsi:type="dcterms:W3CDTF">2026-08-07T11:49:40Z</dcterms:modified>
</cp:coreProperties>
</file>