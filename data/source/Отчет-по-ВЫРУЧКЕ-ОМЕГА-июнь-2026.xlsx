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ОТЧЕТ УЧРЕДИТЕЛЯМ\2026\ИЮНЬ\"/>
    </mc:Choice>
  </mc:AlternateContent>
  <xr:revisionPtr revIDLastSave="0" documentId="13_ncr:1_{50F7AA9A-C08C-4927-8452-AF2E7CDDB54F}" xr6:coauthVersionLast="45" xr6:coauthVersionMax="45" xr10:uidLastSave="{00000000-0000-0000-0000-000000000000}"/>
  <bookViews>
    <workbookView xWindow="-120" yWindow="-120" windowWidth="29040" windowHeight="15840" firstSheet="37" activeTab="45" xr2:uid="{00000000-000D-0000-FFFF-FFFF00000000}"/>
  </bookViews>
  <sheets>
    <sheet name="ОКТЯБРЬ 2022" sheetId="69" r:id="rId1"/>
    <sheet name="НОЯБРЬ 2022" sheetId="66" r:id="rId2"/>
    <sheet name="ДЕКАБРЬ 2022 по 19.12.22 вкл" sheetId="67" r:id="rId3"/>
    <sheet name="ДЕКАБРЬ 2022" sheetId="68" r:id="rId4"/>
    <sheet name="Январь 2023" sheetId="70" r:id="rId5"/>
    <sheet name="Февраль 2023" sheetId="71" r:id="rId6"/>
    <sheet name="Март 2023" sheetId="72" r:id="rId7"/>
    <sheet name="Март 2023 (2)" sheetId="73" r:id="rId8"/>
    <sheet name="Апрель 2023" sheetId="74" r:id="rId9"/>
    <sheet name="Май 2023" sheetId="75" r:id="rId10"/>
    <sheet name="Июнь 2023" sheetId="76" r:id="rId11"/>
    <sheet name="Июль 2023" sheetId="77" r:id="rId12"/>
    <sheet name="Август 2023" sheetId="78" r:id="rId13"/>
    <sheet name="Сентябрь 2023" sheetId="79" r:id="rId14"/>
    <sheet name="Октябрь 2023" sheetId="80" r:id="rId15"/>
    <sheet name="Ноябрь 2023" sheetId="81" r:id="rId16"/>
    <sheet name="Декабрь 2023" sheetId="82" r:id="rId17"/>
    <sheet name="Январь 2024" sheetId="83" r:id="rId18"/>
    <sheet name="Февраль 2024" sheetId="84" r:id="rId19"/>
    <sheet name="Март 2024 " sheetId="85" r:id="rId20"/>
    <sheet name="Апрель 2024 " sheetId="86" r:id="rId21"/>
    <sheet name="Май 2024" sheetId="87" r:id="rId22"/>
    <sheet name="Июнь 2024" sheetId="88" r:id="rId23"/>
    <sheet name="Июль 2024" sheetId="89" r:id="rId24"/>
    <sheet name="Август 2024" sheetId="90" r:id="rId25"/>
    <sheet name="Сентябрь 2024" sheetId="91" r:id="rId26"/>
    <sheet name="Октябрь 2024" sheetId="93" r:id="rId27"/>
    <sheet name="Ноябрь 2024" sheetId="94" r:id="rId28"/>
    <sheet name="Декабрь 2024" sheetId="95" r:id="rId29"/>
    <sheet name="Январь 2025 " sheetId="96" r:id="rId30"/>
    <sheet name="Февраль 2025" sheetId="97" r:id="rId31"/>
    <sheet name="Март 2025 " sheetId="98" r:id="rId32"/>
    <sheet name="Апрель 2025" sheetId="99" r:id="rId33"/>
    <sheet name="Май 2025" sheetId="100" r:id="rId34"/>
    <sheet name="Июнь 2025" sheetId="101" r:id="rId35"/>
    <sheet name="Июль 2025" sheetId="102" r:id="rId36"/>
    <sheet name="Сентябрь 2025 " sheetId="103" r:id="rId37"/>
    <sheet name="Октябрь 2025" sheetId="108" r:id="rId38"/>
    <sheet name="Ноябрь 2025" sheetId="109" r:id="rId39"/>
    <sheet name="Декабрь 2025" sheetId="110" r:id="rId40"/>
    <sheet name="Январь 2026 " sheetId="111" r:id="rId41"/>
    <sheet name="Февраль 2026" sheetId="112" r:id="rId42"/>
    <sheet name="Март 2026" sheetId="113" r:id="rId43"/>
    <sheet name="Апрель 2026" sheetId="114" r:id="rId44"/>
    <sheet name="Май 2026 " sheetId="115" r:id="rId45"/>
    <sheet name="Июнь 2026" sheetId="116" r:id="rId46"/>
    <sheet name="Лист2" sheetId="2" r:id="rId47"/>
    <sheet name="Лист1" sheetId="104" r:id="rId48"/>
    <sheet name="Лист4" sheetId="105" r:id="rId49"/>
    <sheet name="Лист5" sheetId="106" r:id="rId50"/>
    <sheet name="Лист6" sheetId="107" r:id="rId51"/>
    <sheet name="Лист3" sheetId="3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9" i="116" l="1"/>
  <c r="N27" i="116" l="1"/>
  <c r="H27" i="116"/>
  <c r="N21" i="116"/>
  <c r="H21" i="116"/>
  <c r="N16" i="116"/>
  <c r="H16" i="116"/>
  <c r="N36" i="116" l="1"/>
  <c r="L36" i="116"/>
  <c r="J36" i="116"/>
  <c r="I36" i="116"/>
  <c r="H36" i="116"/>
  <c r="G36" i="116"/>
  <c r="M36" i="116" s="1"/>
  <c r="C36" i="116"/>
  <c r="N35" i="116"/>
  <c r="L35" i="116"/>
  <c r="J35" i="116"/>
  <c r="H35" i="116"/>
  <c r="G35" i="116"/>
  <c r="M35" i="116" s="1"/>
  <c r="F35" i="116"/>
  <c r="D35" i="116"/>
  <c r="C35" i="116"/>
  <c r="N34" i="116"/>
  <c r="J34" i="116"/>
  <c r="H34" i="116"/>
  <c r="M34" i="116" s="1"/>
  <c r="O34" i="116" s="1"/>
  <c r="G34" i="116"/>
  <c r="N33" i="116"/>
  <c r="L33" i="116"/>
  <c r="J33" i="116"/>
  <c r="H33" i="116"/>
  <c r="G33" i="116"/>
  <c r="M33" i="116" s="1"/>
  <c r="N32" i="116"/>
  <c r="L32" i="116"/>
  <c r="H32" i="116"/>
  <c r="G32" i="116"/>
  <c r="F32" i="116"/>
  <c r="E32" i="116"/>
  <c r="M32" i="116" s="1"/>
  <c r="D32" i="116"/>
  <c r="C32" i="116"/>
  <c r="N31" i="116"/>
  <c r="L31" i="116"/>
  <c r="J31" i="116"/>
  <c r="H31" i="116"/>
  <c r="G31" i="116"/>
  <c r="C31" i="116"/>
  <c r="M31" i="116" s="1"/>
  <c r="N30" i="116"/>
  <c r="L30" i="116"/>
  <c r="K30" i="116"/>
  <c r="J30" i="116"/>
  <c r="H30" i="116"/>
  <c r="G30" i="116"/>
  <c r="F30" i="116"/>
  <c r="E30" i="116"/>
  <c r="D30" i="116"/>
  <c r="C30" i="116"/>
  <c r="M30" i="116" s="1"/>
  <c r="N29" i="116"/>
  <c r="L29" i="116"/>
  <c r="J29" i="116"/>
  <c r="H29" i="116"/>
  <c r="F29" i="116"/>
  <c r="M29" i="116" s="1"/>
  <c r="N28" i="116"/>
  <c r="L28" i="116"/>
  <c r="K28" i="116"/>
  <c r="I28" i="116"/>
  <c r="H28" i="116"/>
  <c r="G28" i="116"/>
  <c r="D28" i="116"/>
  <c r="C28" i="116"/>
  <c r="M28" i="116" s="1"/>
  <c r="I27" i="116"/>
  <c r="M27" i="116" s="1"/>
  <c r="G27" i="116"/>
  <c r="N26" i="116"/>
  <c r="O26" i="116" s="1"/>
  <c r="L26" i="116"/>
  <c r="K26" i="116"/>
  <c r="I26" i="116"/>
  <c r="H26" i="116"/>
  <c r="G26" i="116"/>
  <c r="E26" i="116"/>
  <c r="M26" i="116" s="1"/>
  <c r="N25" i="116"/>
  <c r="L25" i="116"/>
  <c r="K25" i="116"/>
  <c r="J25" i="116"/>
  <c r="H25" i="116"/>
  <c r="G25" i="116"/>
  <c r="F25" i="116"/>
  <c r="M25" i="116" s="1"/>
  <c r="O25" i="116" s="1"/>
  <c r="N24" i="116"/>
  <c r="L24" i="116"/>
  <c r="H24" i="116"/>
  <c r="G24" i="116"/>
  <c r="F24" i="116"/>
  <c r="C24" i="116"/>
  <c r="M24" i="116" s="1"/>
  <c r="N23" i="116"/>
  <c r="L23" i="116"/>
  <c r="K23" i="116"/>
  <c r="J23" i="116"/>
  <c r="I23" i="116"/>
  <c r="H23" i="116"/>
  <c r="G23" i="116"/>
  <c r="F23" i="116"/>
  <c r="D23" i="116"/>
  <c r="C23" i="116"/>
  <c r="M23" i="116" s="1"/>
  <c r="N22" i="116"/>
  <c r="L22" i="116"/>
  <c r="I22" i="116"/>
  <c r="H22" i="116"/>
  <c r="G22" i="116"/>
  <c r="F22" i="116"/>
  <c r="M22" i="116" s="1"/>
  <c r="L21" i="116"/>
  <c r="K21" i="116"/>
  <c r="J21" i="116"/>
  <c r="I21" i="116"/>
  <c r="M21" i="116"/>
  <c r="G21" i="116"/>
  <c r="N20" i="116"/>
  <c r="J20" i="116"/>
  <c r="I20" i="116"/>
  <c r="H20" i="116"/>
  <c r="G20" i="116"/>
  <c r="M20" i="116" s="1"/>
  <c r="N19" i="116"/>
  <c r="L19" i="116"/>
  <c r="K19" i="116"/>
  <c r="J19" i="116"/>
  <c r="I19" i="116"/>
  <c r="H19" i="116"/>
  <c r="M19" i="116" s="1"/>
  <c r="G19" i="116"/>
  <c r="F19" i="116"/>
  <c r="N18" i="116"/>
  <c r="L18" i="116"/>
  <c r="K18" i="116"/>
  <c r="I18" i="116"/>
  <c r="H18" i="116"/>
  <c r="G18" i="116"/>
  <c r="F18" i="116"/>
  <c r="E18" i="116"/>
  <c r="M18" i="116" s="1"/>
  <c r="N17" i="116"/>
  <c r="L17" i="116"/>
  <c r="K17" i="116"/>
  <c r="J17" i="116"/>
  <c r="I17" i="116"/>
  <c r="H17" i="116"/>
  <c r="M17" i="116" s="1"/>
  <c r="G17" i="116"/>
  <c r="F17" i="116"/>
  <c r="L16" i="116"/>
  <c r="K16" i="116"/>
  <c r="I16" i="116"/>
  <c r="G16" i="116"/>
  <c r="F16" i="116"/>
  <c r="E16" i="116"/>
  <c r="M16" i="116" s="1"/>
  <c r="N15" i="116"/>
  <c r="L15" i="116"/>
  <c r="J15" i="116"/>
  <c r="I15" i="116"/>
  <c r="H15" i="116"/>
  <c r="G15" i="116"/>
  <c r="M15" i="116" s="1"/>
  <c r="F15" i="116"/>
  <c r="N14" i="116"/>
  <c r="L14" i="116"/>
  <c r="K14" i="116"/>
  <c r="J14" i="116"/>
  <c r="H14" i="116"/>
  <c r="M14" i="116" s="1"/>
  <c r="G14" i="116"/>
  <c r="D14" i="116"/>
  <c r="N13" i="116"/>
  <c r="L13" i="116"/>
  <c r="K13" i="116"/>
  <c r="J13" i="116"/>
  <c r="I13" i="116"/>
  <c r="H13" i="116"/>
  <c r="G13" i="116"/>
  <c r="C13" i="116"/>
  <c r="M13" i="116" s="1"/>
  <c r="N12" i="116"/>
  <c r="L12" i="116"/>
  <c r="K12" i="116"/>
  <c r="J12" i="116"/>
  <c r="H12" i="116"/>
  <c r="G12" i="116"/>
  <c r="M12" i="116" s="1"/>
  <c r="N11" i="116"/>
  <c r="L11" i="116"/>
  <c r="L39" i="116" s="1"/>
  <c r="K11" i="116"/>
  <c r="I11" i="116"/>
  <c r="H11" i="116"/>
  <c r="G11" i="116"/>
  <c r="F11" i="116"/>
  <c r="E11" i="116"/>
  <c r="C11" i="116"/>
  <c r="M11" i="116" s="1"/>
  <c r="L10" i="116"/>
  <c r="K10" i="116"/>
  <c r="J10" i="116"/>
  <c r="I10" i="116"/>
  <c r="H10" i="116"/>
  <c r="G10" i="116"/>
  <c r="E10" i="116"/>
  <c r="E39" i="116" s="1"/>
  <c r="D10" i="116"/>
  <c r="M10" i="116" s="1"/>
  <c r="O10" i="116" s="1"/>
  <c r="N9" i="116"/>
  <c r="L9" i="116"/>
  <c r="K9" i="116"/>
  <c r="I9" i="116"/>
  <c r="I39" i="116" s="1"/>
  <c r="I40" i="116" s="1"/>
  <c r="H9" i="116"/>
  <c r="M9" i="116" s="1"/>
  <c r="G9" i="116"/>
  <c r="F9" i="116"/>
  <c r="N8" i="116"/>
  <c r="O8" i="116" s="1"/>
  <c r="L8" i="116"/>
  <c r="K8" i="116"/>
  <c r="J8" i="116"/>
  <c r="J39" i="116" s="1"/>
  <c r="I51" i="116" s="1"/>
  <c r="I8" i="116"/>
  <c r="H8" i="116"/>
  <c r="G8" i="116"/>
  <c r="G39" i="116" s="1"/>
  <c r="F8" i="116"/>
  <c r="E8" i="116"/>
  <c r="D8" i="116"/>
  <c r="C8" i="116"/>
  <c r="M8" i="116" s="1"/>
  <c r="N7" i="116"/>
  <c r="L7" i="116"/>
  <c r="K7" i="116"/>
  <c r="K39" i="116" s="1"/>
  <c r="H7" i="116"/>
  <c r="G7" i="116"/>
  <c r="D7" i="116"/>
  <c r="C7" i="116"/>
  <c r="C39" i="116" s="1"/>
  <c r="D39" i="116"/>
  <c r="S59" i="116"/>
  <c r="N58" i="116"/>
  <c r="N57" i="116"/>
  <c r="N56" i="116"/>
  <c r="N55" i="116"/>
  <c r="N54" i="116"/>
  <c r="K50" i="116"/>
  <c r="I50" i="116"/>
  <c r="G50" i="116"/>
  <c r="E50" i="116"/>
  <c r="D50" i="116"/>
  <c r="N48" i="116"/>
  <c r="O48" i="116" s="1"/>
  <c r="O47" i="116"/>
  <c r="M47" i="116"/>
  <c r="O46" i="116"/>
  <c r="M46" i="116"/>
  <c r="N45" i="116"/>
  <c r="O45" i="116" s="1"/>
  <c r="F39" i="116"/>
  <c r="E51" i="116" s="1"/>
  <c r="H39" i="116"/>
  <c r="G40" i="116" l="1"/>
  <c r="G51" i="116"/>
  <c r="K51" i="116"/>
  <c r="O9" i="116"/>
  <c r="O11" i="116"/>
  <c r="O15" i="116"/>
  <c r="O16" i="116"/>
  <c r="O17" i="116"/>
  <c r="O18" i="116"/>
  <c r="O19" i="116"/>
  <c r="O21" i="116"/>
  <c r="O23" i="116"/>
  <c r="O27" i="116"/>
  <c r="O28" i="116"/>
  <c r="O30" i="116"/>
  <c r="O33" i="116"/>
  <c r="O14" i="116"/>
  <c r="O20" i="116"/>
  <c r="O35" i="116"/>
  <c r="O12" i="116"/>
  <c r="O13" i="116"/>
  <c r="O22" i="116"/>
  <c r="O24" i="116"/>
  <c r="O29" i="116"/>
  <c r="O31" i="116"/>
  <c r="O32" i="116"/>
  <c r="O36" i="116"/>
  <c r="M7" i="116"/>
  <c r="O7" i="116" s="1"/>
  <c r="K40" i="116"/>
  <c r="C55" i="116"/>
  <c r="C40" i="116"/>
  <c r="E40" i="116"/>
  <c r="D55" i="116"/>
  <c r="D51" i="116"/>
  <c r="N39" i="116"/>
  <c r="I37" i="115"/>
  <c r="D52" i="116" l="1"/>
  <c r="C60" i="116" s="1"/>
  <c r="C56" i="116"/>
  <c r="M39" i="116"/>
  <c r="O39" i="116" s="1"/>
  <c r="L33" i="115"/>
  <c r="H33" i="115"/>
  <c r="N23" i="115" l="1"/>
  <c r="H23" i="115"/>
  <c r="N18" i="115"/>
  <c r="H18" i="115"/>
  <c r="L19" i="115"/>
  <c r="H19" i="115"/>
  <c r="K19" i="115" l="1"/>
  <c r="N19" i="115"/>
  <c r="H15" i="115"/>
  <c r="L10" i="115"/>
  <c r="N37" i="115" l="1"/>
  <c r="L37" i="115"/>
  <c r="K37" i="115"/>
  <c r="H37" i="115"/>
  <c r="M37" i="115" s="1"/>
  <c r="N36" i="115"/>
  <c r="O36" i="115" s="1"/>
  <c r="M36" i="115"/>
  <c r="L36" i="115"/>
  <c r="H36" i="115"/>
  <c r="G36" i="115"/>
  <c r="N35" i="115"/>
  <c r="L35" i="115"/>
  <c r="K35" i="115"/>
  <c r="J35" i="115"/>
  <c r="H35" i="115"/>
  <c r="G35" i="115"/>
  <c r="M35" i="115" s="1"/>
  <c r="O35" i="115" s="1"/>
  <c r="N34" i="115"/>
  <c r="H34" i="115"/>
  <c r="G34" i="115"/>
  <c r="M34" i="115" s="1"/>
  <c r="O34" i="115" s="1"/>
  <c r="N33" i="115"/>
  <c r="K33" i="115"/>
  <c r="J33" i="115"/>
  <c r="G33" i="115"/>
  <c r="M33" i="115" s="1"/>
  <c r="N32" i="115"/>
  <c r="L32" i="115"/>
  <c r="K32" i="115"/>
  <c r="J32" i="115"/>
  <c r="I32" i="115"/>
  <c r="H32" i="115"/>
  <c r="G32" i="115"/>
  <c r="C32" i="115"/>
  <c r="M32" i="115" s="1"/>
  <c r="O32" i="115" s="1"/>
  <c r="N31" i="115"/>
  <c r="L31" i="115"/>
  <c r="K31" i="115"/>
  <c r="I31" i="115"/>
  <c r="H31" i="115"/>
  <c r="D31" i="115"/>
  <c r="C31" i="115"/>
  <c r="M31" i="115" s="1"/>
  <c r="N30" i="115"/>
  <c r="L30" i="115"/>
  <c r="K30" i="115"/>
  <c r="H30" i="115"/>
  <c r="M30" i="115" s="1"/>
  <c r="O30" i="115" s="1"/>
  <c r="L29" i="115"/>
  <c r="K29" i="115"/>
  <c r="J29" i="115"/>
  <c r="H29" i="115"/>
  <c r="G29" i="115"/>
  <c r="M29" i="115" s="1"/>
  <c r="O29" i="115" s="1"/>
  <c r="N28" i="115"/>
  <c r="L28" i="115"/>
  <c r="K28" i="115"/>
  <c r="H28" i="115"/>
  <c r="G28" i="115"/>
  <c r="M28" i="115" s="1"/>
  <c r="O28" i="115" s="1"/>
  <c r="N27" i="115"/>
  <c r="L27" i="115"/>
  <c r="K27" i="115"/>
  <c r="J27" i="115"/>
  <c r="I27" i="115"/>
  <c r="H27" i="115"/>
  <c r="G27" i="115"/>
  <c r="D27" i="115"/>
  <c r="M27" i="115" s="1"/>
  <c r="O27" i="115" s="1"/>
  <c r="N26" i="115"/>
  <c r="L26" i="115"/>
  <c r="K26" i="115"/>
  <c r="J26" i="115"/>
  <c r="I26" i="115"/>
  <c r="H26" i="115"/>
  <c r="G26" i="115"/>
  <c r="F26" i="115"/>
  <c r="D26" i="115"/>
  <c r="M26" i="115" s="1"/>
  <c r="C26" i="115"/>
  <c r="L25" i="115"/>
  <c r="J25" i="115"/>
  <c r="H25" i="115"/>
  <c r="G25" i="115"/>
  <c r="F25" i="115"/>
  <c r="D25" i="115"/>
  <c r="C25" i="115"/>
  <c r="M25" i="115" s="1"/>
  <c r="O25" i="115" s="1"/>
  <c r="N24" i="115"/>
  <c r="O24" i="115" s="1"/>
  <c r="L24" i="115"/>
  <c r="K24" i="115"/>
  <c r="I24" i="115"/>
  <c r="I39" i="115" s="1"/>
  <c r="H24" i="115"/>
  <c r="G24" i="115"/>
  <c r="D24" i="115"/>
  <c r="C24" i="115"/>
  <c r="M24" i="115" s="1"/>
  <c r="L23" i="115"/>
  <c r="K23" i="115"/>
  <c r="J23" i="115"/>
  <c r="G23" i="115"/>
  <c r="M23" i="115" s="1"/>
  <c r="O23" i="115" s="1"/>
  <c r="N22" i="115"/>
  <c r="L22" i="115"/>
  <c r="K22" i="115"/>
  <c r="J22" i="115"/>
  <c r="I22" i="115"/>
  <c r="H22" i="115"/>
  <c r="G22" i="115"/>
  <c r="M22" i="115" s="1"/>
  <c r="O22" i="115" s="1"/>
  <c r="N21" i="115"/>
  <c r="L21" i="115"/>
  <c r="K21" i="115"/>
  <c r="J21" i="115"/>
  <c r="H21" i="115"/>
  <c r="G21" i="115"/>
  <c r="F21" i="115"/>
  <c r="E21" i="115"/>
  <c r="D21" i="115"/>
  <c r="M21" i="115" s="1"/>
  <c r="N20" i="115"/>
  <c r="L20" i="115"/>
  <c r="K20" i="115"/>
  <c r="J20" i="115"/>
  <c r="H20" i="115"/>
  <c r="G20" i="115"/>
  <c r="F20" i="115"/>
  <c r="M20" i="115" s="1"/>
  <c r="G19" i="115"/>
  <c r="F19" i="115"/>
  <c r="E19" i="115"/>
  <c r="D19" i="115"/>
  <c r="C19" i="115"/>
  <c r="M19" i="115" s="1"/>
  <c r="L18" i="115"/>
  <c r="K18" i="115"/>
  <c r="J18" i="115"/>
  <c r="G18" i="115"/>
  <c r="M18" i="115" s="1"/>
  <c r="O18" i="115" s="1"/>
  <c r="F18" i="115"/>
  <c r="C18" i="115"/>
  <c r="N17" i="115"/>
  <c r="L17" i="115"/>
  <c r="J17" i="115"/>
  <c r="H17" i="115"/>
  <c r="G17" i="115"/>
  <c r="F17" i="115"/>
  <c r="D17" i="115"/>
  <c r="M17" i="115" s="1"/>
  <c r="N16" i="115"/>
  <c r="L16" i="115"/>
  <c r="H16" i="115"/>
  <c r="G16" i="115"/>
  <c r="M16" i="115" s="1"/>
  <c r="O16" i="115" s="1"/>
  <c r="N15" i="115"/>
  <c r="M15" i="115"/>
  <c r="J15" i="115"/>
  <c r="G15" i="115"/>
  <c r="N14" i="115"/>
  <c r="L14" i="115"/>
  <c r="K14" i="115"/>
  <c r="J14" i="115"/>
  <c r="H14" i="115"/>
  <c r="G14" i="115"/>
  <c r="F14" i="115"/>
  <c r="F39" i="115" s="1"/>
  <c r="E51" i="115" s="1"/>
  <c r="E14" i="115"/>
  <c r="D14" i="115"/>
  <c r="M14" i="115" s="1"/>
  <c r="O14" i="115" s="1"/>
  <c r="N13" i="115"/>
  <c r="O13" i="115" s="1"/>
  <c r="L13" i="115"/>
  <c r="K13" i="115"/>
  <c r="J13" i="115"/>
  <c r="H13" i="115"/>
  <c r="G13" i="115"/>
  <c r="F13" i="115"/>
  <c r="M13" i="115" s="1"/>
  <c r="N12" i="115"/>
  <c r="L12" i="115"/>
  <c r="J12" i="115"/>
  <c r="J39" i="115" s="1"/>
  <c r="H12" i="115"/>
  <c r="G12" i="115"/>
  <c r="F12" i="115"/>
  <c r="E12" i="115"/>
  <c r="E39" i="115" s="1"/>
  <c r="E40" i="115" s="1"/>
  <c r="D12" i="115"/>
  <c r="M12" i="115" s="1"/>
  <c r="O12" i="115" s="1"/>
  <c r="N11" i="115"/>
  <c r="L11" i="115"/>
  <c r="K11" i="115"/>
  <c r="J11" i="115"/>
  <c r="H11" i="115"/>
  <c r="G11" i="115"/>
  <c r="F11" i="115"/>
  <c r="E11" i="115"/>
  <c r="D11" i="115"/>
  <c r="D39" i="115" s="1"/>
  <c r="N10" i="115"/>
  <c r="K10" i="115"/>
  <c r="J10" i="115"/>
  <c r="H10" i="115"/>
  <c r="G10" i="115"/>
  <c r="D10" i="115"/>
  <c r="C10" i="115"/>
  <c r="M10" i="115" s="1"/>
  <c r="O10" i="115" s="1"/>
  <c r="N9" i="115"/>
  <c r="L9" i="115"/>
  <c r="J9" i="115"/>
  <c r="H9" i="115"/>
  <c r="G9" i="115"/>
  <c r="M9" i="115" s="1"/>
  <c r="N8" i="115"/>
  <c r="J8" i="115"/>
  <c r="I8" i="115"/>
  <c r="H8" i="115"/>
  <c r="G8" i="115"/>
  <c r="M8" i="115" s="1"/>
  <c r="O8" i="115" s="1"/>
  <c r="N7" i="115"/>
  <c r="L7" i="115"/>
  <c r="L39" i="115" s="1"/>
  <c r="K7" i="115"/>
  <c r="J7" i="115"/>
  <c r="I7" i="115"/>
  <c r="H7" i="115"/>
  <c r="H39" i="115" s="1"/>
  <c r="G7" i="115"/>
  <c r="F7" i="115"/>
  <c r="E7" i="115"/>
  <c r="M7" i="115" s="1"/>
  <c r="O7" i="115" s="1"/>
  <c r="S59" i="115"/>
  <c r="N58" i="115"/>
  <c r="N57" i="115"/>
  <c r="N56" i="115"/>
  <c r="N55" i="115"/>
  <c r="N54" i="115"/>
  <c r="K50" i="115"/>
  <c r="I50" i="115"/>
  <c r="G50" i="115"/>
  <c r="E50" i="115"/>
  <c r="D50" i="115"/>
  <c r="N48" i="115"/>
  <c r="O48" i="115" s="1"/>
  <c r="O47" i="115"/>
  <c r="M47" i="115"/>
  <c r="O46" i="115"/>
  <c r="M46" i="115"/>
  <c r="N45" i="115"/>
  <c r="O45" i="115" s="1"/>
  <c r="K39" i="115"/>
  <c r="G39" i="115"/>
  <c r="O33" i="115" l="1"/>
  <c r="O15" i="115"/>
  <c r="K51" i="115"/>
  <c r="I51" i="115"/>
  <c r="G51" i="115"/>
  <c r="I40" i="115"/>
  <c r="O26" i="115"/>
  <c r="O9" i="115"/>
  <c r="O17" i="115"/>
  <c r="O20" i="115"/>
  <c r="O31" i="115"/>
  <c r="O19" i="115"/>
  <c r="O21" i="115"/>
  <c r="O37" i="115"/>
  <c r="N39" i="115"/>
  <c r="M11" i="115"/>
  <c r="O11" i="115" s="1"/>
  <c r="D55" i="115"/>
  <c r="D51" i="115"/>
  <c r="G40" i="115"/>
  <c r="K40" i="115"/>
  <c r="C39" i="115"/>
  <c r="G32" i="114"/>
  <c r="C19" i="114"/>
  <c r="G19" i="114"/>
  <c r="H12" i="114"/>
  <c r="H32" i="114"/>
  <c r="J25" i="114"/>
  <c r="H25" i="114"/>
  <c r="D52" i="115" l="1"/>
  <c r="C60" i="115" s="1"/>
  <c r="C55" i="115"/>
  <c r="C56" i="115" s="1"/>
  <c r="C40" i="115"/>
  <c r="M39" i="115"/>
  <c r="O39" i="115" s="1"/>
  <c r="N23" i="114"/>
  <c r="J23" i="114"/>
  <c r="J36" i="114"/>
  <c r="H34" i="114"/>
  <c r="N27" i="114"/>
  <c r="H27" i="114"/>
  <c r="H29" i="114"/>
  <c r="L36" i="114"/>
  <c r="K36" i="114"/>
  <c r="H36" i="114"/>
  <c r="M36" i="114" s="1"/>
  <c r="O36" i="114" s="1"/>
  <c r="G36" i="114"/>
  <c r="E36" i="114"/>
  <c r="C36" i="114"/>
  <c r="L35" i="114"/>
  <c r="J35" i="114"/>
  <c r="I35" i="114"/>
  <c r="H35" i="114"/>
  <c r="F35" i="114"/>
  <c r="D35" i="114"/>
  <c r="C35" i="114"/>
  <c r="M35" i="114" s="1"/>
  <c r="O35" i="114" s="1"/>
  <c r="L34" i="114"/>
  <c r="K34" i="114"/>
  <c r="J34" i="114"/>
  <c r="I34" i="114"/>
  <c r="G34" i="114"/>
  <c r="F34" i="114"/>
  <c r="E34" i="114"/>
  <c r="M34" i="114" s="1"/>
  <c r="O34" i="114" s="1"/>
  <c r="L33" i="114"/>
  <c r="K33" i="114"/>
  <c r="J33" i="114"/>
  <c r="H33" i="114"/>
  <c r="M33" i="114" s="1"/>
  <c r="O33" i="114" s="1"/>
  <c r="G33" i="114"/>
  <c r="L32" i="114"/>
  <c r="J32" i="114"/>
  <c r="M32" i="114"/>
  <c r="O32" i="114" s="1"/>
  <c r="L31" i="114"/>
  <c r="K31" i="114"/>
  <c r="J31" i="114"/>
  <c r="I31" i="114"/>
  <c r="H31" i="114"/>
  <c r="G31" i="114"/>
  <c r="M31" i="114" s="1"/>
  <c r="O31" i="114" s="1"/>
  <c r="L30" i="114"/>
  <c r="K30" i="114"/>
  <c r="J30" i="114"/>
  <c r="I30" i="114"/>
  <c r="H30" i="114"/>
  <c r="G30" i="114"/>
  <c r="F30" i="114"/>
  <c r="E30" i="114"/>
  <c r="D30" i="114"/>
  <c r="M30" i="114" s="1"/>
  <c r="O30" i="114" s="1"/>
  <c r="L29" i="114"/>
  <c r="J29" i="114"/>
  <c r="G29" i="114"/>
  <c r="M29" i="114" s="1"/>
  <c r="O29" i="114" s="1"/>
  <c r="F29" i="114"/>
  <c r="E29" i="114"/>
  <c r="L28" i="114"/>
  <c r="J28" i="114"/>
  <c r="H28" i="114"/>
  <c r="G28" i="114"/>
  <c r="M28" i="114" s="1"/>
  <c r="O28" i="114" s="1"/>
  <c r="F28" i="114"/>
  <c r="E28" i="114"/>
  <c r="L27" i="114"/>
  <c r="K27" i="114"/>
  <c r="J27" i="114"/>
  <c r="I27" i="114"/>
  <c r="G27" i="114"/>
  <c r="F27" i="114"/>
  <c r="H26" i="114"/>
  <c r="G26" i="114"/>
  <c r="M26" i="114" s="1"/>
  <c r="O26" i="114" s="1"/>
  <c r="L25" i="114"/>
  <c r="K25" i="114"/>
  <c r="G25" i="114"/>
  <c r="M25" i="114" s="1"/>
  <c r="O25" i="114" s="1"/>
  <c r="M24" i="114"/>
  <c r="O24" i="114" s="1"/>
  <c r="L24" i="114"/>
  <c r="H24" i="114"/>
  <c r="G24" i="114"/>
  <c r="L23" i="114"/>
  <c r="K23" i="114"/>
  <c r="I23" i="114"/>
  <c r="H23" i="114"/>
  <c r="G23" i="114"/>
  <c r="D23" i="114"/>
  <c r="M23" i="114" s="1"/>
  <c r="O23" i="114" s="1"/>
  <c r="L22" i="114"/>
  <c r="K22" i="114"/>
  <c r="H22" i="114"/>
  <c r="G22" i="114"/>
  <c r="F22" i="114"/>
  <c r="D22" i="114"/>
  <c r="M22" i="114" s="1"/>
  <c r="O22" i="114" s="1"/>
  <c r="L21" i="114"/>
  <c r="K21" i="114"/>
  <c r="J21" i="114"/>
  <c r="I21" i="114"/>
  <c r="H21" i="114"/>
  <c r="G21" i="114"/>
  <c r="F21" i="114"/>
  <c r="E21" i="114"/>
  <c r="D21" i="114"/>
  <c r="C21" i="114"/>
  <c r="M21" i="114" s="1"/>
  <c r="O21" i="114" s="1"/>
  <c r="L20" i="114"/>
  <c r="J20" i="114"/>
  <c r="I20" i="114"/>
  <c r="H20" i="114"/>
  <c r="G20" i="114"/>
  <c r="F20" i="114"/>
  <c r="M20" i="114" s="1"/>
  <c r="O20" i="114" s="1"/>
  <c r="E20" i="114"/>
  <c r="L19" i="114"/>
  <c r="K19" i="114"/>
  <c r="J19" i="114"/>
  <c r="I19" i="114"/>
  <c r="H19" i="114"/>
  <c r="D19" i="114"/>
  <c r="M19" i="114"/>
  <c r="O19" i="114" s="1"/>
  <c r="L18" i="114"/>
  <c r="J18" i="114"/>
  <c r="I18" i="114"/>
  <c r="H18" i="114"/>
  <c r="G18" i="114"/>
  <c r="M18" i="114" s="1"/>
  <c r="O18" i="114" s="1"/>
  <c r="L17" i="114"/>
  <c r="K17" i="114"/>
  <c r="J17" i="114"/>
  <c r="I17" i="114"/>
  <c r="M17" i="114" s="1"/>
  <c r="O17" i="114" s="1"/>
  <c r="H17" i="114"/>
  <c r="G17" i="114"/>
  <c r="L16" i="114"/>
  <c r="K16" i="114"/>
  <c r="J16" i="114"/>
  <c r="H16" i="114"/>
  <c r="M16" i="114" s="1"/>
  <c r="O16" i="114" s="1"/>
  <c r="G16" i="114"/>
  <c r="F16" i="114"/>
  <c r="E16" i="114"/>
  <c r="L15" i="114"/>
  <c r="J15" i="114"/>
  <c r="I15" i="114"/>
  <c r="H15" i="114"/>
  <c r="G15" i="114"/>
  <c r="F15" i="114"/>
  <c r="D15" i="114"/>
  <c r="C15" i="114"/>
  <c r="M15" i="114" s="1"/>
  <c r="O15" i="114" s="1"/>
  <c r="L14" i="114"/>
  <c r="J14" i="114"/>
  <c r="I14" i="114"/>
  <c r="H14" i="114"/>
  <c r="G14" i="114"/>
  <c r="F14" i="114"/>
  <c r="E14" i="114"/>
  <c r="C14" i="114"/>
  <c r="M14" i="114" s="1"/>
  <c r="O14" i="114" s="1"/>
  <c r="L13" i="114"/>
  <c r="K13" i="114"/>
  <c r="J13" i="114"/>
  <c r="I13" i="114"/>
  <c r="H13" i="114"/>
  <c r="F13" i="114"/>
  <c r="E13" i="114"/>
  <c r="M13" i="114" s="1"/>
  <c r="O13" i="114" s="1"/>
  <c r="L12" i="114"/>
  <c r="K12" i="114"/>
  <c r="J12" i="114"/>
  <c r="I12" i="114"/>
  <c r="G12" i="114"/>
  <c r="D12" i="114"/>
  <c r="M12" i="114" s="1"/>
  <c r="O12" i="114" s="1"/>
  <c r="L11" i="114"/>
  <c r="J11" i="114"/>
  <c r="H11" i="114"/>
  <c r="G11" i="114"/>
  <c r="M11" i="114" s="1"/>
  <c r="O11" i="114" s="1"/>
  <c r="L10" i="114"/>
  <c r="K10" i="114"/>
  <c r="J10" i="114"/>
  <c r="H10" i="114"/>
  <c r="G10" i="114"/>
  <c r="M10" i="114" s="1"/>
  <c r="O10" i="114" s="1"/>
  <c r="N9" i="114"/>
  <c r="L9" i="114"/>
  <c r="K9" i="114"/>
  <c r="J9" i="114"/>
  <c r="H9" i="114"/>
  <c r="G9" i="114"/>
  <c r="F9" i="114"/>
  <c r="E9" i="114"/>
  <c r="D9" i="114"/>
  <c r="M9" i="114" s="1"/>
  <c r="L8" i="114"/>
  <c r="K8" i="114"/>
  <c r="J8" i="114"/>
  <c r="H8" i="114"/>
  <c r="G8" i="114"/>
  <c r="M8" i="114" s="1"/>
  <c r="O8" i="114" s="1"/>
  <c r="L7" i="114"/>
  <c r="K7" i="114"/>
  <c r="J7" i="114"/>
  <c r="I7" i="114"/>
  <c r="H7" i="114"/>
  <c r="G7" i="114"/>
  <c r="F7" i="114"/>
  <c r="E7" i="114"/>
  <c r="D7" i="114"/>
  <c r="M7" i="114" s="1"/>
  <c r="O7" i="114" s="1"/>
  <c r="M27" i="114" l="1"/>
  <c r="O27" i="114" s="1"/>
  <c r="O9" i="114"/>
  <c r="S59" i="114" l="1"/>
  <c r="N58" i="114"/>
  <c r="N57" i="114"/>
  <c r="N56" i="114"/>
  <c r="N55" i="114"/>
  <c r="N54" i="114"/>
  <c r="K50" i="114"/>
  <c r="I50" i="114"/>
  <c r="E50" i="114"/>
  <c r="D50" i="114"/>
  <c r="G50" i="114"/>
  <c r="O47" i="114"/>
  <c r="M47" i="114"/>
  <c r="M46" i="114"/>
  <c r="O46" i="114" s="1"/>
  <c r="N45" i="114"/>
  <c r="O45" i="114" s="1"/>
  <c r="N39" i="114"/>
  <c r="J39" i="114"/>
  <c r="E39" i="114"/>
  <c r="D39" i="114"/>
  <c r="L39" i="114"/>
  <c r="K39" i="114"/>
  <c r="I39" i="114"/>
  <c r="H39" i="114"/>
  <c r="G39" i="114"/>
  <c r="K51" i="114" l="1"/>
  <c r="I51" i="114"/>
  <c r="I40" i="114"/>
  <c r="G40" i="114"/>
  <c r="K40" i="114"/>
  <c r="D51" i="114"/>
  <c r="M39" i="114"/>
  <c r="O39" i="114" s="1"/>
  <c r="G51" i="114"/>
  <c r="C39" i="114"/>
  <c r="F39" i="114"/>
  <c r="E51" i="114" s="1"/>
  <c r="N48" i="114"/>
  <c r="O48" i="114" s="1"/>
  <c r="J11" i="113"/>
  <c r="H37" i="113"/>
  <c r="H48" i="113"/>
  <c r="L37" i="113"/>
  <c r="K37" i="113"/>
  <c r="G37" i="113"/>
  <c r="F37" i="113"/>
  <c r="E37" i="113"/>
  <c r="M37" i="113" s="1"/>
  <c r="O37" i="113" s="1"/>
  <c r="L36" i="113"/>
  <c r="K36" i="113"/>
  <c r="J36" i="113"/>
  <c r="I36" i="113"/>
  <c r="H36" i="113"/>
  <c r="G36" i="113"/>
  <c r="D36" i="113"/>
  <c r="M36" i="113" s="1"/>
  <c r="O36" i="113" s="1"/>
  <c r="L35" i="113"/>
  <c r="K35" i="113"/>
  <c r="J35" i="113"/>
  <c r="H35" i="113"/>
  <c r="G35" i="113"/>
  <c r="M35" i="113" s="1"/>
  <c r="O35" i="113" s="1"/>
  <c r="L34" i="113"/>
  <c r="K34" i="113"/>
  <c r="J34" i="113"/>
  <c r="I34" i="113"/>
  <c r="H34" i="113"/>
  <c r="G34" i="113"/>
  <c r="M34" i="113" s="1"/>
  <c r="O34" i="113" s="1"/>
  <c r="L33" i="113"/>
  <c r="K33" i="113"/>
  <c r="J33" i="113"/>
  <c r="H33" i="113"/>
  <c r="G33" i="113"/>
  <c r="F33" i="113"/>
  <c r="E33" i="113"/>
  <c r="C33" i="113"/>
  <c r="M33" i="113" s="1"/>
  <c r="O33" i="113" s="1"/>
  <c r="L32" i="113"/>
  <c r="K32" i="113"/>
  <c r="J32" i="113"/>
  <c r="I32" i="113"/>
  <c r="H32" i="113"/>
  <c r="G32" i="113"/>
  <c r="F32" i="113"/>
  <c r="E32" i="113"/>
  <c r="M32" i="113" s="1"/>
  <c r="O32" i="113" s="1"/>
  <c r="C32" i="113"/>
  <c r="L31" i="113"/>
  <c r="J31" i="113"/>
  <c r="H31" i="113"/>
  <c r="G31" i="113"/>
  <c r="F31" i="113"/>
  <c r="D31" i="113"/>
  <c r="M31" i="113" s="1"/>
  <c r="O31" i="113" s="1"/>
  <c r="L30" i="113"/>
  <c r="J30" i="113"/>
  <c r="H30" i="113"/>
  <c r="G30" i="113"/>
  <c r="F30" i="113"/>
  <c r="D30" i="113"/>
  <c r="M30" i="113" s="1"/>
  <c r="O30" i="113" s="1"/>
  <c r="L29" i="113"/>
  <c r="J29" i="113"/>
  <c r="I29" i="113"/>
  <c r="H29" i="113"/>
  <c r="G29" i="113"/>
  <c r="D29" i="113"/>
  <c r="C29" i="113"/>
  <c r="M29" i="113" s="1"/>
  <c r="O29" i="113" s="1"/>
  <c r="N28" i="113"/>
  <c r="L28" i="113"/>
  <c r="K28" i="113"/>
  <c r="J28" i="113"/>
  <c r="I28" i="113"/>
  <c r="H28" i="113"/>
  <c r="M28" i="113" s="1"/>
  <c r="G28" i="113"/>
  <c r="J27" i="113"/>
  <c r="I27" i="113"/>
  <c r="H27" i="113"/>
  <c r="G27" i="113"/>
  <c r="M27" i="113" s="1"/>
  <c r="O27" i="113" s="1"/>
  <c r="L26" i="113"/>
  <c r="K26" i="113"/>
  <c r="J26" i="113"/>
  <c r="H26" i="113"/>
  <c r="G26" i="113"/>
  <c r="F26" i="113"/>
  <c r="M26" i="113" s="1"/>
  <c r="O26" i="113" s="1"/>
  <c r="L25" i="113"/>
  <c r="K25" i="113"/>
  <c r="J25" i="113"/>
  <c r="H25" i="113"/>
  <c r="G25" i="113"/>
  <c r="F25" i="113"/>
  <c r="M25" i="113" s="1"/>
  <c r="O25" i="113" s="1"/>
  <c r="L24" i="113"/>
  <c r="J24" i="113"/>
  <c r="H24" i="113"/>
  <c r="G24" i="113"/>
  <c r="E24" i="113"/>
  <c r="D24" i="113"/>
  <c r="C24" i="113"/>
  <c r="M24" i="113" s="1"/>
  <c r="O24" i="113" s="1"/>
  <c r="L23" i="113"/>
  <c r="K23" i="113"/>
  <c r="J23" i="113"/>
  <c r="H23" i="113"/>
  <c r="G23" i="113"/>
  <c r="F23" i="113"/>
  <c r="E23" i="113"/>
  <c r="C23" i="113"/>
  <c r="M23" i="113" s="1"/>
  <c r="O23" i="113" s="1"/>
  <c r="L22" i="113"/>
  <c r="K22" i="113"/>
  <c r="J22" i="113"/>
  <c r="I22" i="113"/>
  <c r="H22" i="113"/>
  <c r="G22" i="113"/>
  <c r="D22" i="113"/>
  <c r="C22" i="113"/>
  <c r="M22" i="113" s="1"/>
  <c r="O22" i="113" s="1"/>
  <c r="L21" i="113"/>
  <c r="K21" i="113"/>
  <c r="I21" i="113"/>
  <c r="H21" i="113"/>
  <c r="M21" i="113" s="1"/>
  <c r="O21" i="113" s="1"/>
  <c r="G21" i="113"/>
  <c r="D21" i="113"/>
  <c r="L20" i="113"/>
  <c r="K20" i="113"/>
  <c r="J20" i="113"/>
  <c r="H20" i="113"/>
  <c r="M20" i="113" s="1"/>
  <c r="O20" i="113" s="1"/>
  <c r="G20" i="113"/>
  <c r="L19" i="113"/>
  <c r="J19" i="113"/>
  <c r="I19" i="113"/>
  <c r="H19" i="113"/>
  <c r="G19" i="113"/>
  <c r="C19" i="113"/>
  <c r="M19" i="113" s="1"/>
  <c r="O19" i="113" s="1"/>
  <c r="L18" i="113"/>
  <c r="K18" i="113"/>
  <c r="J18" i="113"/>
  <c r="H18" i="113"/>
  <c r="G18" i="113"/>
  <c r="D18" i="113"/>
  <c r="C18" i="113"/>
  <c r="M18" i="113" s="1"/>
  <c r="O18" i="113" s="1"/>
  <c r="L17" i="113"/>
  <c r="K17" i="113"/>
  <c r="J17" i="113"/>
  <c r="I17" i="113"/>
  <c r="H17" i="113"/>
  <c r="G17" i="113"/>
  <c r="F17" i="113"/>
  <c r="E17" i="113"/>
  <c r="M17" i="113" s="1"/>
  <c r="O17" i="113" s="1"/>
  <c r="D17" i="113"/>
  <c r="K16" i="113"/>
  <c r="J16" i="113"/>
  <c r="H16" i="113"/>
  <c r="G16" i="113"/>
  <c r="F16" i="113"/>
  <c r="E16" i="113"/>
  <c r="M16" i="113" s="1"/>
  <c r="O16" i="113" s="1"/>
  <c r="L15" i="113"/>
  <c r="K15" i="113"/>
  <c r="J15" i="113"/>
  <c r="H15" i="113"/>
  <c r="G15" i="113"/>
  <c r="D15" i="113"/>
  <c r="M15" i="113" s="1"/>
  <c r="O15" i="113" s="1"/>
  <c r="J14" i="113"/>
  <c r="H14" i="113"/>
  <c r="M14" i="113" s="1"/>
  <c r="O14" i="113" s="1"/>
  <c r="L13" i="113"/>
  <c r="L39" i="113" s="1"/>
  <c r="J13" i="113"/>
  <c r="H13" i="113"/>
  <c r="G13" i="113"/>
  <c r="M13" i="113" s="1"/>
  <c r="O13" i="113" s="1"/>
  <c r="L12" i="113"/>
  <c r="K12" i="113"/>
  <c r="J12" i="113"/>
  <c r="I12" i="113"/>
  <c r="H12" i="113"/>
  <c r="G12" i="113"/>
  <c r="E12" i="113"/>
  <c r="M12" i="113" s="1"/>
  <c r="O12" i="113" s="1"/>
  <c r="L11" i="113"/>
  <c r="I11" i="113"/>
  <c r="H11" i="113"/>
  <c r="G11" i="113"/>
  <c r="F11" i="113"/>
  <c r="E11" i="113"/>
  <c r="D11" i="113"/>
  <c r="M11" i="113" s="1"/>
  <c r="O11" i="113" s="1"/>
  <c r="L10" i="113"/>
  <c r="K10" i="113"/>
  <c r="K39" i="113" s="1"/>
  <c r="K40" i="113" s="1"/>
  <c r="J10" i="113"/>
  <c r="I10" i="113"/>
  <c r="M10" i="113" s="1"/>
  <c r="O10" i="113" s="1"/>
  <c r="H10" i="113"/>
  <c r="F10" i="113"/>
  <c r="D10" i="113"/>
  <c r="L9" i="113"/>
  <c r="J9" i="113"/>
  <c r="I9" i="113"/>
  <c r="H9" i="113"/>
  <c r="G9" i="113"/>
  <c r="M9" i="113" s="1"/>
  <c r="O9" i="113" s="1"/>
  <c r="F9" i="113"/>
  <c r="L8" i="113"/>
  <c r="K8" i="113"/>
  <c r="I8" i="113"/>
  <c r="I39" i="113" s="1"/>
  <c r="H8" i="113"/>
  <c r="G8" i="113"/>
  <c r="M8" i="113" s="1"/>
  <c r="O8" i="113" s="1"/>
  <c r="F8" i="113"/>
  <c r="J7" i="113"/>
  <c r="J39" i="113" s="1"/>
  <c r="H7" i="113"/>
  <c r="G7" i="113"/>
  <c r="M7" i="113" s="1"/>
  <c r="O7" i="113" s="1"/>
  <c r="H39" i="113"/>
  <c r="F39" i="113"/>
  <c r="C39" i="113"/>
  <c r="N39" i="113"/>
  <c r="E50" i="113"/>
  <c r="S59" i="113"/>
  <c r="N58" i="113"/>
  <c r="N57" i="113"/>
  <c r="N56" i="113"/>
  <c r="N55" i="113"/>
  <c r="N54" i="113"/>
  <c r="K50" i="113"/>
  <c r="I50" i="113"/>
  <c r="G50" i="113"/>
  <c r="D50" i="113"/>
  <c r="N48" i="113"/>
  <c r="O48" i="113" s="1"/>
  <c r="O47" i="113"/>
  <c r="M47" i="113"/>
  <c r="O46" i="113"/>
  <c r="M46" i="113"/>
  <c r="N45" i="113"/>
  <c r="O45" i="113" s="1"/>
  <c r="G7" i="112"/>
  <c r="H7" i="112"/>
  <c r="K7" i="112"/>
  <c r="L7" i="112"/>
  <c r="M7" i="112" s="1"/>
  <c r="C8" i="112"/>
  <c r="D8" i="112"/>
  <c r="D39" i="112" s="1"/>
  <c r="F8" i="112"/>
  <c r="G8" i="112"/>
  <c r="H8" i="112"/>
  <c r="I8" i="112"/>
  <c r="M8" i="112" s="1"/>
  <c r="O8" i="112" s="1"/>
  <c r="J8" i="112"/>
  <c r="K8" i="112"/>
  <c r="L8" i="112"/>
  <c r="C9" i="112"/>
  <c r="M9" i="112" s="1"/>
  <c r="O9" i="112" s="1"/>
  <c r="D9" i="112"/>
  <c r="E9" i="112"/>
  <c r="E39" i="112" s="1"/>
  <c r="F9" i="112"/>
  <c r="G9" i="112"/>
  <c r="H9" i="112"/>
  <c r="I9" i="112"/>
  <c r="J9" i="112"/>
  <c r="L9" i="112"/>
  <c r="G10" i="112"/>
  <c r="M10" i="112" s="1"/>
  <c r="O10" i="112" s="1"/>
  <c r="H10" i="112"/>
  <c r="J10" i="112"/>
  <c r="K10" i="112"/>
  <c r="L10" i="112"/>
  <c r="C11" i="112"/>
  <c r="M11" i="112" s="1"/>
  <c r="E11" i="112"/>
  <c r="F11" i="112"/>
  <c r="G11" i="112"/>
  <c r="H11" i="112"/>
  <c r="H39" i="112" s="1"/>
  <c r="J11" i="112"/>
  <c r="K11" i="112"/>
  <c r="L11" i="112"/>
  <c r="N11" i="112"/>
  <c r="O11" i="112" s="1"/>
  <c r="C12" i="112"/>
  <c r="E12" i="112"/>
  <c r="M12" i="112" s="1"/>
  <c r="O12" i="112" s="1"/>
  <c r="F12" i="112"/>
  <c r="G12" i="112"/>
  <c r="H12" i="112"/>
  <c r="J12" i="112"/>
  <c r="J39" i="112" s="1"/>
  <c r="L12" i="112"/>
  <c r="G13" i="112"/>
  <c r="M13" i="112" s="1"/>
  <c r="O13" i="112" s="1"/>
  <c r="H13" i="112"/>
  <c r="I13" i="112"/>
  <c r="J13" i="112"/>
  <c r="L13" i="112"/>
  <c r="G14" i="112"/>
  <c r="H14" i="112"/>
  <c r="M14" i="112" s="1"/>
  <c r="O14" i="112" s="1"/>
  <c r="J14" i="112"/>
  <c r="L14" i="112"/>
  <c r="C15" i="112"/>
  <c r="D15" i="112"/>
  <c r="E15" i="112"/>
  <c r="F15" i="112"/>
  <c r="M15" i="112" s="1"/>
  <c r="O15" i="112" s="1"/>
  <c r="G15" i="112"/>
  <c r="H15" i="112"/>
  <c r="J15" i="112"/>
  <c r="K15" i="112"/>
  <c r="L15" i="112"/>
  <c r="N15" i="112"/>
  <c r="D16" i="112"/>
  <c r="E16" i="112"/>
  <c r="F16" i="112"/>
  <c r="G16" i="112"/>
  <c r="H16" i="112"/>
  <c r="J16" i="112"/>
  <c r="L16" i="112"/>
  <c r="M16" i="112"/>
  <c r="O16" i="112" s="1"/>
  <c r="N16" i="112"/>
  <c r="C17" i="112"/>
  <c r="G17" i="112"/>
  <c r="M17" i="112" s="1"/>
  <c r="O17" i="112" s="1"/>
  <c r="H17" i="112"/>
  <c r="J17" i="112"/>
  <c r="K17" i="112"/>
  <c r="L17" i="112"/>
  <c r="G18" i="112"/>
  <c r="H18" i="112"/>
  <c r="M18" i="112" s="1"/>
  <c r="O18" i="112" s="1"/>
  <c r="J18" i="112"/>
  <c r="L18" i="112"/>
  <c r="F19" i="112"/>
  <c r="G19" i="112"/>
  <c r="H19" i="112"/>
  <c r="I19" i="112"/>
  <c r="J19" i="112"/>
  <c r="K19" i="112"/>
  <c r="L19" i="112"/>
  <c r="M19" i="112"/>
  <c r="O19" i="112" s="1"/>
  <c r="H20" i="112"/>
  <c r="J20" i="112"/>
  <c r="K20" i="112"/>
  <c r="M20" i="112" s="1"/>
  <c r="O20" i="112" s="1"/>
  <c r="L20" i="112"/>
  <c r="N20" i="112"/>
  <c r="H21" i="112"/>
  <c r="I21" i="112"/>
  <c r="M21" i="112" s="1"/>
  <c r="O21" i="112" s="1"/>
  <c r="J21" i="112"/>
  <c r="L21" i="112"/>
  <c r="F22" i="112"/>
  <c r="H22" i="112"/>
  <c r="M22" i="112" s="1"/>
  <c r="O22" i="112" s="1"/>
  <c r="L22" i="112"/>
  <c r="N22" i="112"/>
  <c r="E23" i="112"/>
  <c r="F23" i="112"/>
  <c r="G23" i="112"/>
  <c r="H23" i="112"/>
  <c r="J23" i="112"/>
  <c r="K23" i="112"/>
  <c r="L23" i="112"/>
  <c r="M23" i="112"/>
  <c r="O23" i="112" s="1"/>
  <c r="E24" i="112"/>
  <c r="F24" i="112"/>
  <c r="G24" i="112"/>
  <c r="M24" i="112" s="1"/>
  <c r="O24" i="112" s="1"/>
  <c r="H24" i="112"/>
  <c r="I24" i="112"/>
  <c r="J24" i="112"/>
  <c r="K24" i="112"/>
  <c r="L24" i="112"/>
  <c r="F25" i="112"/>
  <c r="M25" i="112" s="1"/>
  <c r="O25" i="112" s="1"/>
  <c r="G25" i="112"/>
  <c r="H25" i="112"/>
  <c r="J25" i="112"/>
  <c r="K25" i="112"/>
  <c r="L25" i="112"/>
  <c r="N25" i="112"/>
  <c r="E26" i="112"/>
  <c r="F26" i="112"/>
  <c r="G26" i="112"/>
  <c r="H26" i="112"/>
  <c r="J26" i="112"/>
  <c r="K26" i="112"/>
  <c r="L26" i="112"/>
  <c r="M26" i="112"/>
  <c r="O26" i="112" s="1"/>
  <c r="H27" i="112"/>
  <c r="M27" i="112" s="1"/>
  <c r="I27" i="112"/>
  <c r="L27" i="112"/>
  <c r="N27" i="112"/>
  <c r="G28" i="112"/>
  <c r="M28" i="112" s="1"/>
  <c r="O28" i="112" s="1"/>
  <c r="H28" i="112"/>
  <c r="I28" i="112"/>
  <c r="J28" i="112"/>
  <c r="K28" i="112"/>
  <c r="L28" i="112"/>
  <c r="D29" i="112"/>
  <c r="M29" i="112" s="1"/>
  <c r="O29" i="112" s="1"/>
  <c r="E29" i="112"/>
  <c r="G29" i="112"/>
  <c r="H29" i="112"/>
  <c r="J29" i="112"/>
  <c r="L29" i="112"/>
  <c r="D30" i="112"/>
  <c r="M30" i="112" s="1"/>
  <c r="H30" i="112"/>
  <c r="I30" i="112"/>
  <c r="J30" i="112"/>
  <c r="L30" i="112"/>
  <c r="N30" i="112"/>
  <c r="O30" i="112" s="1"/>
  <c r="D31" i="112"/>
  <c r="E31" i="112"/>
  <c r="F31" i="112"/>
  <c r="G31" i="112"/>
  <c r="H31" i="112"/>
  <c r="I31" i="112"/>
  <c r="J31" i="112"/>
  <c r="L31" i="112"/>
  <c r="M31" i="112"/>
  <c r="O31" i="112" s="1"/>
  <c r="C32" i="112"/>
  <c r="E32" i="112"/>
  <c r="G32" i="112"/>
  <c r="M32" i="112" s="1"/>
  <c r="O32" i="112" s="1"/>
  <c r="H32" i="112"/>
  <c r="I32" i="112"/>
  <c r="J32" i="112"/>
  <c r="K32" i="112"/>
  <c r="L32" i="112"/>
  <c r="N32" i="112"/>
  <c r="D33" i="112"/>
  <c r="E33" i="112"/>
  <c r="F33" i="112"/>
  <c r="G33" i="112"/>
  <c r="M33" i="112" s="1"/>
  <c r="O33" i="112" s="1"/>
  <c r="H33" i="112"/>
  <c r="J33" i="112"/>
  <c r="K33" i="112"/>
  <c r="L33" i="112"/>
  <c r="N33" i="112"/>
  <c r="F34" i="112"/>
  <c r="M34" i="112" s="1"/>
  <c r="O34" i="112" s="1"/>
  <c r="G34" i="112"/>
  <c r="H34" i="112"/>
  <c r="I34" i="112"/>
  <c r="J34" i="112"/>
  <c r="L34" i="112"/>
  <c r="C39" i="112"/>
  <c r="C40" i="112" s="1"/>
  <c r="G39" i="112"/>
  <c r="K39" i="112"/>
  <c r="N39" i="112"/>
  <c r="D52" i="114" l="1"/>
  <c r="C60" i="114" s="1"/>
  <c r="D55" i="114"/>
  <c r="C55" i="114"/>
  <c r="C40" i="114"/>
  <c r="E40" i="114"/>
  <c r="E51" i="113"/>
  <c r="O28" i="113"/>
  <c r="D39" i="113"/>
  <c r="G39" i="113"/>
  <c r="G40" i="113" s="1"/>
  <c r="E39" i="113"/>
  <c r="E40" i="113" s="1"/>
  <c r="C40" i="113"/>
  <c r="I40" i="113"/>
  <c r="G51" i="113"/>
  <c r="I51" i="113"/>
  <c r="K51" i="113"/>
  <c r="D55" i="113"/>
  <c r="D51" i="113"/>
  <c r="O7" i="112"/>
  <c r="M39" i="112"/>
  <c r="O39" i="112" s="1"/>
  <c r="K40" i="112"/>
  <c r="G40" i="112"/>
  <c r="O27" i="112"/>
  <c r="F39" i="112"/>
  <c r="E40" i="112" s="1"/>
  <c r="I39" i="112"/>
  <c r="I40" i="112" s="1"/>
  <c r="L39" i="112"/>
  <c r="C56" i="114" l="1"/>
  <c r="M39" i="113"/>
  <c r="O39" i="113" s="1"/>
  <c r="D52" i="113"/>
  <c r="C60" i="113" s="1"/>
  <c r="C55" i="113"/>
  <c r="C56" i="113" s="1"/>
  <c r="S59" i="112" l="1"/>
  <c r="N58" i="112"/>
  <c r="N57" i="112"/>
  <c r="N56" i="112"/>
  <c r="N55" i="112"/>
  <c r="N54" i="112"/>
  <c r="K50" i="112"/>
  <c r="I50" i="112"/>
  <c r="G50" i="112"/>
  <c r="E50" i="112"/>
  <c r="D50" i="112"/>
  <c r="N48" i="112"/>
  <c r="O48" i="112" s="1"/>
  <c r="M47" i="112"/>
  <c r="O47" i="112" s="1"/>
  <c r="M46" i="112"/>
  <c r="O46" i="112" s="1"/>
  <c r="N45" i="112"/>
  <c r="O45" i="112" s="1"/>
  <c r="E51" i="112" l="1"/>
  <c r="K51" i="112"/>
  <c r="I51" i="112"/>
  <c r="G51" i="112"/>
  <c r="D55" i="112"/>
  <c r="D51" i="112"/>
  <c r="H37" i="111"/>
  <c r="L37" i="111"/>
  <c r="K37" i="111"/>
  <c r="J37" i="111"/>
  <c r="G37" i="111"/>
  <c r="N36" i="111"/>
  <c r="L36" i="111"/>
  <c r="K36" i="111"/>
  <c r="J36" i="111"/>
  <c r="H36" i="111"/>
  <c r="G36" i="111"/>
  <c r="F36" i="111"/>
  <c r="E36" i="111"/>
  <c r="D36" i="111"/>
  <c r="M36" i="111" s="1"/>
  <c r="L35" i="111"/>
  <c r="K35" i="111"/>
  <c r="J35" i="111"/>
  <c r="H35" i="111"/>
  <c r="G35" i="111"/>
  <c r="F35" i="111"/>
  <c r="E35" i="111"/>
  <c r="C35" i="111"/>
  <c r="M35" i="111" s="1"/>
  <c r="O35" i="111" s="1"/>
  <c r="L34" i="111"/>
  <c r="K34" i="111"/>
  <c r="J34" i="111"/>
  <c r="I34" i="111"/>
  <c r="H34" i="111"/>
  <c r="G34" i="111"/>
  <c r="E34" i="111"/>
  <c r="D34" i="111"/>
  <c r="C34" i="111"/>
  <c r="M34" i="111" s="1"/>
  <c r="O34" i="111" s="1"/>
  <c r="J33" i="111"/>
  <c r="H33" i="111"/>
  <c r="G33" i="111"/>
  <c r="E33" i="111"/>
  <c r="M33" i="111" s="1"/>
  <c r="O33" i="111" s="1"/>
  <c r="L32" i="111"/>
  <c r="K32" i="111"/>
  <c r="J32" i="111"/>
  <c r="H32" i="111"/>
  <c r="G32" i="111"/>
  <c r="C32" i="111"/>
  <c r="M32" i="111" s="1"/>
  <c r="O32" i="111" s="1"/>
  <c r="H31" i="111"/>
  <c r="G31" i="111"/>
  <c r="M31" i="111" s="1"/>
  <c r="O31" i="111" s="1"/>
  <c r="K30" i="111"/>
  <c r="J30" i="111"/>
  <c r="H30" i="111"/>
  <c r="G30" i="111"/>
  <c r="M30" i="111" s="1"/>
  <c r="O30" i="111" s="1"/>
  <c r="L29" i="111"/>
  <c r="J29" i="111"/>
  <c r="H29" i="111"/>
  <c r="G29" i="111"/>
  <c r="F29" i="111"/>
  <c r="E29" i="111"/>
  <c r="M29" i="111" s="1"/>
  <c r="O29" i="111" s="1"/>
  <c r="D29" i="111"/>
  <c r="L28" i="111"/>
  <c r="K28" i="111"/>
  <c r="J28" i="111"/>
  <c r="H28" i="111"/>
  <c r="M28" i="111" s="1"/>
  <c r="O28" i="111" s="1"/>
  <c r="G28" i="111"/>
  <c r="F28" i="111"/>
  <c r="D28" i="111"/>
  <c r="L27" i="111"/>
  <c r="K27" i="111"/>
  <c r="J27" i="111"/>
  <c r="I27" i="111"/>
  <c r="H27" i="111"/>
  <c r="F27" i="111"/>
  <c r="D27" i="111"/>
  <c r="C27" i="111"/>
  <c r="M27" i="111" s="1"/>
  <c r="O27" i="111" s="1"/>
  <c r="L26" i="111"/>
  <c r="J26" i="111"/>
  <c r="H26" i="111"/>
  <c r="G26" i="111"/>
  <c r="F26" i="111"/>
  <c r="C26" i="111"/>
  <c r="M26" i="111" s="1"/>
  <c r="O26" i="111" s="1"/>
  <c r="L25" i="111"/>
  <c r="J25" i="111"/>
  <c r="I25" i="111"/>
  <c r="H25" i="111"/>
  <c r="D25" i="111"/>
  <c r="M25" i="111" s="1"/>
  <c r="O25" i="111" s="1"/>
  <c r="L24" i="111"/>
  <c r="J24" i="111"/>
  <c r="I24" i="111"/>
  <c r="H24" i="111"/>
  <c r="G24" i="111"/>
  <c r="M24" i="111" s="1"/>
  <c r="O24" i="111" s="1"/>
  <c r="L23" i="111"/>
  <c r="J23" i="111"/>
  <c r="H23" i="111"/>
  <c r="G23" i="111"/>
  <c r="D23" i="111"/>
  <c r="M23" i="111" s="1"/>
  <c r="O23" i="111" s="1"/>
  <c r="J22" i="111"/>
  <c r="H22" i="111"/>
  <c r="G22" i="111"/>
  <c r="F22" i="111"/>
  <c r="E22" i="111"/>
  <c r="M22" i="111" s="1"/>
  <c r="O22" i="111" s="1"/>
  <c r="L21" i="111"/>
  <c r="J21" i="111"/>
  <c r="H21" i="111"/>
  <c r="F21" i="111"/>
  <c r="E21" i="111"/>
  <c r="M21" i="111" s="1"/>
  <c r="O21" i="111" s="1"/>
  <c r="L20" i="111"/>
  <c r="H20" i="111"/>
  <c r="G20" i="111"/>
  <c r="F20" i="111"/>
  <c r="E20" i="111"/>
  <c r="M20" i="111" s="1"/>
  <c r="O20" i="111" s="1"/>
  <c r="D20" i="111"/>
  <c r="N19" i="111"/>
  <c r="N39" i="111" s="1"/>
  <c r="L19" i="111"/>
  <c r="K19" i="111"/>
  <c r="H19" i="111"/>
  <c r="G19" i="111"/>
  <c r="F19" i="111"/>
  <c r="C19" i="111"/>
  <c r="M19" i="111" s="1"/>
  <c r="L18" i="111"/>
  <c r="K18" i="111"/>
  <c r="K39" i="111" s="1"/>
  <c r="K40" i="111" s="1"/>
  <c r="J18" i="111"/>
  <c r="H18" i="111"/>
  <c r="G18" i="111"/>
  <c r="C18" i="111"/>
  <c r="M18" i="111" s="1"/>
  <c r="O18" i="111" s="1"/>
  <c r="L17" i="111"/>
  <c r="M17" i="111" s="1"/>
  <c r="O17" i="111" s="1"/>
  <c r="J17" i="111"/>
  <c r="H17" i="111"/>
  <c r="K16" i="111"/>
  <c r="J16" i="111"/>
  <c r="H16" i="111"/>
  <c r="G16" i="111"/>
  <c r="C16" i="111"/>
  <c r="M16" i="111" s="1"/>
  <c r="O16" i="111" s="1"/>
  <c r="L15" i="111"/>
  <c r="J15" i="111"/>
  <c r="H15" i="111"/>
  <c r="M15" i="111" s="1"/>
  <c r="O15" i="111" s="1"/>
  <c r="L14" i="111"/>
  <c r="J14" i="111"/>
  <c r="H14" i="111"/>
  <c r="G14" i="111"/>
  <c r="F14" i="111"/>
  <c r="M14" i="111" s="1"/>
  <c r="O14" i="111" s="1"/>
  <c r="E14" i="111"/>
  <c r="L13" i="111"/>
  <c r="K13" i="111"/>
  <c r="J13" i="111"/>
  <c r="H13" i="111"/>
  <c r="M13" i="111" s="1"/>
  <c r="O13" i="111" s="1"/>
  <c r="G13" i="111"/>
  <c r="L12" i="111"/>
  <c r="K12" i="111"/>
  <c r="J12" i="111"/>
  <c r="I12" i="111"/>
  <c r="I39" i="111" s="1"/>
  <c r="H12" i="111"/>
  <c r="G12" i="111"/>
  <c r="F12" i="111"/>
  <c r="E12" i="111"/>
  <c r="E39" i="111" s="1"/>
  <c r="D12" i="111"/>
  <c r="C12" i="111"/>
  <c r="J11" i="111"/>
  <c r="H11" i="111"/>
  <c r="G11" i="111"/>
  <c r="G39" i="111" s="1"/>
  <c r="F11" i="111"/>
  <c r="E11" i="111"/>
  <c r="D11" i="111"/>
  <c r="M11" i="111" s="1"/>
  <c r="O11" i="111" s="1"/>
  <c r="L10" i="111"/>
  <c r="J10" i="111"/>
  <c r="H10" i="111"/>
  <c r="E10" i="111"/>
  <c r="M10" i="111"/>
  <c r="O10" i="111" s="1"/>
  <c r="B10" i="111"/>
  <c r="B11" i="111" s="1"/>
  <c r="B12" i="111" s="1"/>
  <c r="B13" i="111" s="1"/>
  <c r="B14" i="111" s="1"/>
  <c r="B15" i="111" s="1"/>
  <c r="B16" i="111" s="1"/>
  <c r="B17" i="111" s="1"/>
  <c r="B18" i="111" s="1"/>
  <c r="B19" i="111" s="1"/>
  <c r="B20" i="111" s="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B31" i="111" s="1"/>
  <c r="B32" i="111" s="1"/>
  <c r="B33" i="111" s="1"/>
  <c r="B34" i="111" s="1"/>
  <c r="B35" i="111" s="1"/>
  <c r="B36" i="111" s="1"/>
  <c r="B37" i="111" s="1"/>
  <c r="L9" i="111"/>
  <c r="J9" i="111"/>
  <c r="J39" i="111" s="1"/>
  <c r="I51" i="111" s="1"/>
  <c r="H9" i="111"/>
  <c r="G9" i="111"/>
  <c r="M9" i="111" s="1"/>
  <c r="O9" i="111" s="1"/>
  <c r="B9" i="111"/>
  <c r="O8" i="111"/>
  <c r="M8" i="111"/>
  <c r="B8" i="111"/>
  <c r="M7" i="111"/>
  <c r="O7" i="111" s="1"/>
  <c r="S59" i="111"/>
  <c r="N58" i="111"/>
  <c r="N57" i="111"/>
  <c r="N56" i="111"/>
  <c r="N55" i="111"/>
  <c r="N54" i="111"/>
  <c r="K50" i="111"/>
  <c r="I50" i="111"/>
  <c r="G50" i="111"/>
  <c r="E50" i="111"/>
  <c r="D50" i="111"/>
  <c r="N48" i="111"/>
  <c r="O48" i="111" s="1"/>
  <c r="M47" i="111"/>
  <c r="O47" i="111" s="1"/>
  <c r="O46" i="111"/>
  <c r="M46" i="111"/>
  <c r="N45" i="111"/>
  <c r="O45" i="111" s="1"/>
  <c r="C39" i="111"/>
  <c r="L39" i="111"/>
  <c r="D39" i="111"/>
  <c r="D52" i="112" l="1"/>
  <c r="C60" i="112" s="1"/>
  <c r="C55" i="112"/>
  <c r="C56" i="112" s="1"/>
  <c r="H39" i="111"/>
  <c r="G40" i="111" s="1"/>
  <c r="M37" i="111"/>
  <c r="O37" i="111" s="1"/>
  <c r="K51" i="111"/>
  <c r="I40" i="111"/>
  <c r="O36" i="111"/>
  <c r="M12" i="111"/>
  <c r="O12" i="111" s="1"/>
  <c r="F39" i="111"/>
  <c r="E51" i="111" s="1"/>
  <c r="O19" i="111"/>
  <c r="D51" i="111"/>
  <c r="C55" i="111"/>
  <c r="C40" i="111"/>
  <c r="E40" i="111"/>
  <c r="J34" i="110"/>
  <c r="G51" i="111" l="1"/>
  <c r="D52" i="111" s="1"/>
  <c r="C60" i="111" s="1"/>
  <c r="D55" i="111"/>
  <c r="C56" i="111" s="1"/>
  <c r="M39" i="111"/>
  <c r="O39" i="111" s="1"/>
  <c r="H17" i="110"/>
  <c r="H32" i="110"/>
  <c r="H31" i="110"/>
  <c r="M32" i="110"/>
  <c r="O32" i="110" s="1"/>
  <c r="M37" i="110"/>
  <c r="O37" i="110" s="1"/>
  <c r="N36" i="110"/>
  <c r="N39" i="110" s="1"/>
  <c r="L36" i="110"/>
  <c r="J36" i="110"/>
  <c r="H36" i="110"/>
  <c r="G36" i="110"/>
  <c r="M36" i="110" s="1"/>
  <c r="L35" i="110"/>
  <c r="J35" i="110"/>
  <c r="H35" i="110"/>
  <c r="G35" i="110"/>
  <c r="M35" i="110" s="1"/>
  <c r="O35" i="110" s="1"/>
  <c r="L34" i="110"/>
  <c r="I34" i="110"/>
  <c r="H34" i="110"/>
  <c r="M34" i="110" s="1"/>
  <c r="O34" i="110" s="1"/>
  <c r="L33" i="110"/>
  <c r="K33" i="110"/>
  <c r="J33" i="110"/>
  <c r="I33" i="110"/>
  <c r="H33" i="110"/>
  <c r="M33" i="110" s="1"/>
  <c r="O33" i="110" s="1"/>
  <c r="G33" i="110"/>
  <c r="L32" i="110"/>
  <c r="K32" i="110"/>
  <c r="J32" i="110"/>
  <c r="I32" i="110"/>
  <c r="G32" i="110"/>
  <c r="L31" i="110"/>
  <c r="K31" i="110"/>
  <c r="G31" i="110"/>
  <c r="L30" i="110"/>
  <c r="K30" i="110"/>
  <c r="J30" i="110"/>
  <c r="M30" i="110" s="1"/>
  <c r="O30" i="110" s="1"/>
  <c r="L29" i="110"/>
  <c r="J29" i="110"/>
  <c r="H29" i="110"/>
  <c r="G29" i="110"/>
  <c r="M29" i="110" s="1"/>
  <c r="O29" i="110" s="1"/>
  <c r="L28" i="110"/>
  <c r="J28" i="110"/>
  <c r="H28" i="110"/>
  <c r="G28" i="110"/>
  <c r="M28" i="110" s="1"/>
  <c r="O28" i="110" s="1"/>
  <c r="L27" i="110"/>
  <c r="K27" i="110"/>
  <c r="H27" i="110"/>
  <c r="G27" i="110"/>
  <c r="M27" i="110" s="1"/>
  <c r="O27" i="110" s="1"/>
  <c r="L26" i="110"/>
  <c r="K26" i="110"/>
  <c r="J26" i="110"/>
  <c r="H26" i="110"/>
  <c r="M26" i="110" s="1"/>
  <c r="O26" i="110" s="1"/>
  <c r="G26" i="110"/>
  <c r="L25" i="110"/>
  <c r="M25" i="110" s="1"/>
  <c r="O25" i="110" s="1"/>
  <c r="J25" i="110"/>
  <c r="H25" i="110"/>
  <c r="G25" i="110"/>
  <c r="L24" i="110"/>
  <c r="J24" i="110"/>
  <c r="H24" i="110"/>
  <c r="G24" i="110"/>
  <c r="M24" i="110" s="1"/>
  <c r="O24" i="110" s="1"/>
  <c r="L23" i="110"/>
  <c r="K23" i="110"/>
  <c r="J23" i="110"/>
  <c r="I23" i="110"/>
  <c r="H23" i="110"/>
  <c r="M23" i="110" s="1"/>
  <c r="O23" i="110" s="1"/>
  <c r="G23" i="110"/>
  <c r="D23" i="110"/>
  <c r="L22" i="110"/>
  <c r="K22" i="110"/>
  <c r="J22" i="110"/>
  <c r="H22" i="110"/>
  <c r="M22" i="110" s="1"/>
  <c r="O22" i="110" s="1"/>
  <c r="G22" i="110"/>
  <c r="L21" i="110"/>
  <c r="J21" i="110"/>
  <c r="I21" i="110"/>
  <c r="H21" i="110"/>
  <c r="G21" i="110"/>
  <c r="M21" i="110" s="1"/>
  <c r="O21" i="110" s="1"/>
  <c r="D21" i="110"/>
  <c r="C21" i="110"/>
  <c r="M20" i="110"/>
  <c r="O20" i="110" s="1"/>
  <c r="L20" i="110"/>
  <c r="H20" i="110"/>
  <c r="G20" i="110"/>
  <c r="L19" i="110"/>
  <c r="K19" i="110"/>
  <c r="K39" i="110" s="1"/>
  <c r="K40" i="110" s="1"/>
  <c r="H19" i="110"/>
  <c r="G19" i="110"/>
  <c r="M19" i="110" s="1"/>
  <c r="O19" i="110" s="1"/>
  <c r="L18" i="110"/>
  <c r="J18" i="110"/>
  <c r="H18" i="110"/>
  <c r="G18" i="110"/>
  <c r="F18" i="110"/>
  <c r="M18" i="110" s="1"/>
  <c r="O18" i="110" s="1"/>
  <c r="E18" i="110"/>
  <c r="L17" i="110"/>
  <c r="J17" i="110"/>
  <c r="G17" i="110"/>
  <c r="F17" i="110"/>
  <c r="M17" i="110" s="1"/>
  <c r="O17" i="110" s="1"/>
  <c r="D17" i="110"/>
  <c r="L16" i="110"/>
  <c r="J16" i="110"/>
  <c r="H16" i="110"/>
  <c r="G16" i="110"/>
  <c r="F16" i="110"/>
  <c r="F39" i="110" s="1"/>
  <c r="E51" i="110" s="1"/>
  <c r="E16" i="110"/>
  <c r="D16" i="110"/>
  <c r="L15" i="110"/>
  <c r="J15" i="110"/>
  <c r="H15" i="110"/>
  <c r="G15" i="110"/>
  <c r="M15" i="110" s="1"/>
  <c r="O15" i="110" s="1"/>
  <c r="F15" i="110"/>
  <c r="D15" i="110"/>
  <c r="C15" i="110"/>
  <c r="L14" i="110"/>
  <c r="J14" i="110"/>
  <c r="H14" i="110"/>
  <c r="G14" i="110"/>
  <c r="D14" i="110"/>
  <c r="C14" i="110"/>
  <c r="M14" i="110" s="1"/>
  <c r="O14" i="110" s="1"/>
  <c r="J13" i="110"/>
  <c r="H13" i="110"/>
  <c r="G13" i="110"/>
  <c r="M13" i="110" s="1"/>
  <c r="O13" i="110" s="1"/>
  <c r="L12" i="110"/>
  <c r="J12" i="110"/>
  <c r="H12" i="110"/>
  <c r="G12" i="110"/>
  <c r="M12" i="110" s="1"/>
  <c r="O12" i="110" s="1"/>
  <c r="L11" i="110"/>
  <c r="J11" i="110"/>
  <c r="I11" i="110"/>
  <c r="H11" i="110"/>
  <c r="M11" i="110" s="1"/>
  <c r="O11" i="110" s="1"/>
  <c r="G11" i="110"/>
  <c r="F11" i="110"/>
  <c r="E11" i="110"/>
  <c r="L10" i="110"/>
  <c r="H10" i="110"/>
  <c r="G10" i="110"/>
  <c r="G39" i="110" s="1"/>
  <c r="F10" i="110"/>
  <c r="E10" i="110"/>
  <c r="M10" i="110" s="1"/>
  <c r="O10" i="110" s="1"/>
  <c r="L9" i="110"/>
  <c r="K9" i="110"/>
  <c r="J9" i="110"/>
  <c r="I9" i="110"/>
  <c r="H9" i="110"/>
  <c r="G9" i="110"/>
  <c r="F9" i="110"/>
  <c r="E9" i="110"/>
  <c r="M9" i="110" s="1"/>
  <c r="O9" i="110" s="1"/>
  <c r="D9" i="110"/>
  <c r="C9" i="110"/>
  <c r="L8" i="110"/>
  <c r="J8" i="110"/>
  <c r="I8" i="110"/>
  <c r="I39" i="110" s="1"/>
  <c r="H8" i="110"/>
  <c r="M8" i="110" s="1"/>
  <c r="O8" i="110" s="1"/>
  <c r="G8" i="110"/>
  <c r="E8" i="110"/>
  <c r="E39" i="110" s="1"/>
  <c r="E40" i="110" s="1"/>
  <c r="L7" i="110"/>
  <c r="K7" i="110"/>
  <c r="J7" i="110"/>
  <c r="J39" i="110" s="1"/>
  <c r="H7" i="110"/>
  <c r="M7" i="110" s="1"/>
  <c r="O7" i="110" s="1"/>
  <c r="G7" i="110"/>
  <c r="D7" i="110"/>
  <c r="S59" i="110"/>
  <c r="N58" i="110"/>
  <c r="N57" i="110"/>
  <c r="N56" i="110"/>
  <c r="N55" i="110"/>
  <c r="N54" i="110"/>
  <c r="K50" i="110"/>
  <c r="I50" i="110"/>
  <c r="G50" i="110"/>
  <c r="E50" i="110"/>
  <c r="D50" i="110"/>
  <c r="N48" i="110"/>
  <c r="O48" i="110" s="1"/>
  <c r="O47" i="110"/>
  <c r="M47" i="110"/>
  <c r="O46" i="110"/>
  <c r="M46" i="110"/>
  <c r="N45" i="110"/>
  <c r="O45" i="110" s="1"/>
  <c r="H39" i="110"/>
  <c r="G51" i="110" s="1"/>
  <c r="B8" i="110"/>
  <c r="B9" i="110" s="1"/>
  <c r="B10" i="110" s="1"/>
  <c r="B11" i="110" s="1"/>
  <c r="B12" i="110" s="1"/>
  <c r="B13" i="110" s="1"/>
  <c r="B14" i="110" s="1"/>
  <c r="B15" i="110" s="1"/>
  <c r="B16" i="110" s="1"/>
  <c r="B17" i="110" s="1"/>
  <c r="B18" i="110" s="1"/>
  <c r="B19" i="110" s="1"/>
  <c r="B20" i="110" s="1"/>
  <c r="B21" i="110" s="1"/>
  <c r="B22" i="110" s="1"/>
  <c r="B23" i="110" s="1"/>
  <c r="B24" i="110" s="1"/>
  <c r="B25" i="110" s="1"/>
  <c r="B26" i="110" s="1"/>
  <c r="B27" i="110" s="1"/>
  <c r="B28" i="110" s="1"/>
  <c r="B29" i="110" s="1"/>
  <c r="B30" i="110" s="1"/>
  <c r="B31" i="110" s="1"/>
  <c r="B32" i="110" s="1"/>
  <c r="B33" i="110" s="1"/>
  <c r="B34" i="110" s="1"/>
  <c r="B35" i="110" s="1"/>
  <c r="B36" i="110" s="1"/>
  <c r="L39" i="110"/>
  <c r="K51" i="110" s="1"/>
  <c r="M31" i="110" l="1"/>
  <c r="O31" i="110" s="1"/>
  <c r="I51" i="110"/>
  <c r="I40" i="110"/>
  <c r="M16" i="110"/>
  <c r="O16" i="110" s="1"/>
  <c r="O36" i="110"/>
  <c r="G40" i="110"/>
  <c r="C39" i="110"/>
  <c r="D39" i="110"/>
  <c r="G24" i="109"/>
  <c r="G19" i="109"/>
  <c r="C55" i="110" l="1"/>
  <c r="C40" i="110"/>
  <c r="M39" i="110"/>
  <c r="O39" i="110" s="1"/>
  <c r="D55" i="110"/>
  <c r="D51" i="110"/>
  <c r="D52" i="110" s="1"/>
  <c r="C60" i="110" s="1"/>
  <c r="H33" i="109"/>
  <c r="H13" i="109"/>
  <c r="H12" i="109"/>
  <c r="L36" i="109"/>
  <c r="J36" i="109"/>
  <c r="I36" i="109"/>
  <c r="H36" i="109"/>
  <c r="G36" i="109"/>
  <c r="L35" i="109"/>
  <c r="J35" i="109"/>
  <c r="H35" i="109"/>
  <c r="G35" i="109"/>
  <c r="L34" i="109"/>
  <c r="K34" i="109"/>
  <c r="J34" i="109"/>
  <c r="I34" i="109"/>
  <c r="H34" i="109"/>
  <c r="G34" i="109"/>
  <c r="F34" i="109"/>
  <c r="D34" i="109"/>
  <c r="C34" i="109"/>
  <c r="K33" i="109"/>
  <c r="F33" i="109"/>
  <c r="E33" i="109"/>
  <c r="D33" i="109"/>
  <c r="C33" i="109"/>
  <c r="L32" i="109"/>
  <c r="J32" i="109"/>
  <c r="I32" i="109"/>
  <c r="H32" i="109"/>
  <c r="F32" i="109"/>
  <c r="E32" i="109"/>
  <c r="C32" i="109"/>
  <c r="L31" i="109"/>
  <c r="K31" i="109"/>
  <c r="J31" i="109"/>
  <c r="H31" i="109"/>
  <c r="G31" i="109"/>
  <c r="F31" i="109"/>
  <c r="D31" i="109"/>
  <c r="C31" i="109"/>
  <c r="L30" i="109"/>
  <c r="K30" i="109"/>
  <c r="J30" i="109"/>
  <c r="H30" i="109"/>
  <c r="G30" i="109"/>
  <c r="D30" i="109"/>
  <c r="C30" i="109"/>
  <c r="L29" i="109"/>
  <c r="J29" i="109"/>
  <c r="H29" i="109"/>
  <c r="G29" i="109"/>
  <c r="L28" i="109"/>
  <c r="J28" i="109"/>
  <c r="I28" i="109"/>
  <c r="H28" i="109"/>
  <c r="G28" i="109"/>
  <c r="L27" i="109"/>
  <c r="K27" i="109"/>
  <c r="J27" i="109"/>
  <c r="H27" i="109"/>
  <c r="G27" i="109"/>
  <c r="F27" i="109"/>
  <c r="E27" i="109"/>
  <c r="D27" i="109"/>
  <c r="L26" i="109"/>
  <c r="H26" i="109"/>
  <c r="G26" i="109"/>
  <c r="F26" i="109"/>
  <c r="D26" i="109"/>
  <c r="L25" i="109"/>
  <c r="K25" i="109"/>
  <c r="J25" i="109"/>
  <c r="H25" i="109"/>
  <c r="F25" i="109"/>
  <c r="E25" i="109"/>
  <c r="C25" i="109"/>
  <c r="L24" i="109"/>
  <c r="K24" i="109"/>
  <c r="I24" i="109"/>
  <c r="H24" i="109"/>
  <c r="F24" i="109"/>
  <c r="L23" i="109"/>
  <c r="K23" i="109"/>
  <c r="J23" i="109"/>
  <c r="H23" i="109"/>
  <c r="G23" i="109"/>
  <c r="J22" i="109"/>
  <c r="H22" i="109"/>
  <c r="G22" i="109"/>
  <c r="C22" i="109"/>
  <c r="L21" i="109"/>
  <c r="K21" i="109"/>
  <c r="J21" i="109"/>
  <c r="H21" i="109"/>
  <c r="G21" i="109"/>
  <c r="K20" i="109"/>
  <c r="J20" i="109"/>
  <c r="I20" i="109"/>
  <c r="H20" i="109"/>
  <c r="G20" i="109"/>
  <c r="F20" i="109"/>
  <c r="E20" i="109"/>
  <c r="L19" i="109"/>
  <c r="K19" i="109"/>
  <c r="J19" i="109"/>
  <c r="H19" i="109"/>
  <c r="D19" i="109"/>
  <c r="L18" i="109"/>
  <c r="K18" i="109"/>
  <c r="J18" i="109"/>
  <c r="I18" i="109"/>
  <c r="H18" i="109"/>
  <c r="D18" i="109"/>
  <c r="C18" i="109"/>
  <c r="L17" i="109"/>
  <c r="J17" i="109"/>
  <c r="I17" i="109"/>
  <c r="H17" i="109"/>
  <c r="G17" i="109"/>
  <c r="F17" i="109"/>
  <c r="D17" i="109"/>
  <c r="C17" i="109"/>
  <c r="L16" i="109"/>
  <c r="K16" i="109"/>
  <c r="J16" i="109"/>
  <c r="I16" i="109"/>
  <c r="H16" i="109"/>
  <c r="G16" i="109"/>
  <c r="D16" i="109"/>
  <c r="L15" i="109"/>
  <c r="J15" i="109"/>
  <c r="I15" i="109"/>
  <c r="H15" i="109"/>
  <c r="G15" i="109"/>
  <c r="E15" i="109"/>
  <c r="L14" i="109"/>
  <c r="J14" i="109"/>
  <c r="H14" i="109"/>
  <c r="E14" i="109"/>
  <c r="D14" i="109"/>
  <c r="L13" i="109"/>
  <c r="K13" i="109"/>
  <c r="J13" i="109"/>
  <c r="I13" i="109"/>
  <c r="G13" i="109"/>
  <c r="F13" i="109"/>
  <c r="E13" i="109"/>
  <c r="C13" i="109"/>
  <c r="L12" i="109"/>
  <c r="K12" i="109"/>
  <c r="J12" i="109"/>
  <c r="I12" i="109"/>
  <c r="G12" i="109"/>
  <c r="F12" i="109"/>
  <c r="E12" i="109"/>
  <c r="D12" i="109"/>
  <c r="L11" i="109"/>
  <c r="J11" i="109"/>
  <c r="H11" i="109"/>
  <c r="F11" i="109"/>
  <c r="D11" i="109"/>
  <c r="L10" i="109"/>
  <c r="J10" i="109"/>
  <c r="I10" i="109"/>
  <c r="H10" i="109"/>
  <c r="G10" i="109"/>
  <c r="F10" i="109"/>
  <c r="E10" i="109"/>
  <c r="D10" i="109"/>
  <c r="L9" i="109"/>
  <c r="J9" i="109"/>
  <c r="H9" i="109"/>
  <c r="G9" i="109"/>
  <c r="K8" i="109"/>
  <c r="J8" i="109"/>
  <c r="I8" i="109"/>
  <c r="H8" i="109"/>
  <c r="G8" i="109"/>
  <c r="L7" i="109"/>
  <c r="J7" i="109"/>
  <c r="I7" i="109"/>
  <c r="H7" i="109"/>
  <c r="G7" i="109"/>
  <c r="C56" i="110" l="1"/>
  <c r="S59" i="109"/>
  <c r="N58" i="109"/>
  <c r="N57" i="109"/>
  <c r="N56" i="109"/>
  <c r="N55" i="109"/>
  <c r="N54" i="109"/>
  <c r="K50" i="109"/>
  <c r="I50" i="109"/>
  <c r="G50" i="109"/>
  <c r="E50" i="109"/>
  <c r="D50" i="109"/>
  <c r="N48" i="109"/>
  <c r="O48" i="109" s="1"/>
  <c r="O47" i="109"/>
  <c r="M47" i="109"/>
  <c r="M46" i="109"/>
  <c r="O46" i="109" s="1"/>
  <c r="N45" i="109"/>
  <c r="O45" i="109" s="1"/>
  <c r="N39" i="109"/>
  <c r="M37" i="109"/>
  <c r="O37" i="109" s="1"/>
  <c r="M36" i="109"/>
  <c r="O36" i="109" s="1"/>
  <c r="M35" i="109"/>
  <c r="O35" i="109" s="1"/>
  <c r="M34" i="109"/>
  <c r="O34" i="109" s="1"/>
  <c r="M33" i="109"/>
  <c r="O33" i="109" s="1"/>
  <c r="M32" i="109"/>
  <c r="O32" i="109" s="1"/>
  <c r="M31" i="109"/>
  <c r="O31" i="109" s="1"/>
  <c r="M30" i="109"/>
  <c r="O30" i="109" s="1"/>
  <c r="M29" i="109"/>
  <c r="O29" i="109" s="1"/>
  <c r="M28" i="109"/>
  <c r="O28" i="109" s="1"/>
  <c r="M27" i="109"/>
  <c r="O27" i="109" s="1"/>
  <c r="M26" i="109"/>
  <c r="O26" i="109" s="1"/>
  <c r="M25" i="109"/>
  <c r="O25" i="109" s="1"/>
  <c r="M24" i="109"/>
  <c r="O24" i="109" s="1"/>
  <c r="M23" i="109"/>
  <c r="O23" i="109" s="1"/>
  <c r="M22" i="109"/>
  <c r="O22" i="109" s="1"/>
  <c r="M21" i="109"/>
  <c r="O21" i="109" s="1"/>
  <c r="M20" i="109"/>
  <c r="O20" i="109" s="1"/>
  <c r="M19" i="109"/>
  <c r="O19" i="109" s="1"/>
  <c r="M18" i="109"/>
  <c r="O18" i="109" s="1"/>
  <c r="M17" i="109"/>
  <c r="O17" i="109" s="1"/>
  <c r="M16" i="109"/>
  <c r="O16" i="109" s="1"/>
  <c r="E39" i="109"/>
  <c r="M14" i="109"/>
  <c r="O14" i="109" s="1"/>
  <c r="M13" i="109"/>
  <c r="O13" i="109" s="1"/>
  <c r="J39" i="109"/>
  <c r="M12" i="109"/>
  <c r="O12" i="109" s="1"/>
  <c r="M11" i="109"/>
  <c r="O11" i="109" s="1"/>
  <c r="K39" i="109"/>
  <c r="M10" i="109"/>
  <c r="O10" i="109" s="1"/>
  <c r="M9" i="109"/>
  <c r="O9" i="109" s="1"/>
  <c r="M8" i="109"/>
  <c r="O8" i="109" s="1"/>
  <c r="B8" i="109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L39" i="109"/>
  <c r="K51" i="109" s="1"/>
  <c r="I39" i="109"/>
  <c r="H39" i="109"/>
  <c r="G51" i="109" s="1"/>
  <c r="M7" i="109"/>
  <c r="I51" i="109" l="1"/>
  <c r="I40" i="109"/>
  <c r="O7" i="109"/>
  <c r="K40" i="109"/>
  <c r="M15" i="109"/>
  <c r="O15" i="109" s="1"/>
  <c r="F39" i="109"/>
  <c r="E51" i="109" s="1"/>
  <c r="C39" i="109"/>
  <c r="G39" i="109"/>
  <c r="G40" i="109" s="1"/>
  <c r="D39" i="109"/>
  <c r="D27" i="108"/>
  <c r="H27" i="108"/>
  <c r="G10" i="108"/>
  <c r="G9" i="108"/>
  <c r="M39" i="109" l="1"/>
  <c r="O39" i="109" s="1"/>
  <c r="E40" i="109"/>
  <c r="C55" i="109"/>
  <c r="C40" i="109"/>
  <c r="D55" i="109"/>
  <c r="D51" i="109"/>
  <c r="D52" i="109" s="1"/>
  <c r="C60" i="109" s="1"/>
  <c r="H28" i="108"/>
  <c r="F20" i="108"/>
  <c r="N48" i="108"/>
  <c r="O48" i="108" s="1"/>
  <c r="N39" i="108"/>
  <c r="K37" i="108"/>
  <c r="J37" i="108"/>
  <c r="I37" i="108"/>
  <c r="H37" i="108"/>
  <c r="M37" i="108" s="1"/>
  <c r="O37" i="108" s="1"/>
  <c r="G37" i="108"/>
  <c r="D37" i="108"/>
  <c r="L36" i="108"/>
  <c r="H36" i="108"/>
  <c r="G36" i="108"/>
  <c r="F36" i="108"/>
  <c r="M36" i="108" s="1"/>
  <c r="O36" i="108" s="1"/>
  <c r="D36" i="108"/>
  <c r="L35" i="108"/>
  <c r="J35" i="108"/>
  <c r="I35" i="108"/>
  <c r="H35" i="108"/>
  <c r="G35" i="108"/>
  <c r="F35" i="108"/>
  <c r="E35" i="108"/>
  <c r="D35" i="108"/>
  <c r="M35" i="108" s="1"/>
  <c r="O35" i="108" s="1"/>
  <c r="L34" i="108"/>
  <c r="J34" i="108"/>
  <c r="I34" i="108"/>
  <c r="H34" i="108"/>
  <c r="G34" i="108"/>
  <c r="E34" i="108"/>
  <c r="C34" i="108"/>
  <c r="M34" i="108" s="1"/>
  <c r="O34" i="108" s="1"/>
  <c r="L33" i="108"/>
  <c r="J33" i="108"/>
  <c r="I33" i="108"/>
  <c r="H33" i="108"/>
  <c r="C33" i="108"/>
  <c r="M33" i="108" s="1"/>
  <c r="O33" i="108" s="1"/>
  <c r="L32" i="108"/>
  <c r="J32" i="108"/>
  <c r="H32" i="108"/>
  <c r="G32" i="108"/>
  <c r="D32" i="108"/>
  <c r="M32" i="108" s="1"/>
  <c r="O32" i="108" s="1"/>
  <c r="L31" i="108"/>
  <c r="K31" i="108"/>
  <c r="J31" i="108"/>
  <c r="H31" i="108"/>
  <c r="G31" i="108"/>
  <c r="M31" i="108" s="1"/>
  <c r="O31" i="108" s="1"/>
  <c r="L30" i="108"/>
  <c r="J30" i="108"/>
  <c r="H30" i="108"/>
  <c r="G30" i="108"/>
  <c r="M30" i="108" s="1"/>
  <c r="O30" i="108" s="1"/>
  <c r="M29" i="108"/>
  <c r="O29" i="108" s="1"/>
  <c r="L29" i="108"/>
  <c r="K29" i="108"/>
  <c r="J29" i="108"/>
  <c r="H29" i="108"/>
  <c r="G29" i="108"/>
  <c r="F29" i="108"/>
  <c r="E29" i="108"/>
  <c r="L28" i="108"/>
  <c r="J28" i="108"/>
  <c r="I28" i="108"/>
  <c r="G28" i="108"/>
  <c r="F28" i="108"/>
  <c r="E28" i="108"/>
  <c r="D28" i="108"/>
  <c r="L27" i="108"/>
  <c r="J27" i="108"/>
  <c r="I27" i="108"/>
  <c r="G27" i="108"/>
  <c r="E27" i="108"/>
  <c r="M27" i="108"/>
  <c r="O27" i="108" s="1"/>
  <c r="L26" i="108"/>
  <c r="K26" i="108"/>
  <c r="J26" i="108"/>
  <c r="H26" i="108"/>
  <c r="G26" i="108"/>
  <c r="F26" i="108"/>
  <c r="D26" i="108"/>
  <c r="M26" i="108" s="1"/>
  <c r="O26" i="108" s="1"/>
  <c r="J25" i="108"/>
  <c r="H25" i="108"/>
  <c r="G25" i="108"/>
  <c r="M25" i="108" s="1"/>
  <c r="O25" i="108" s="1"/>
  <c r="L24" i="108"/>
  <c r="J24" i="108"/>
  <c r="I24" i="108"/>
  <c r="H24" i="108"/>
  <c r="G24" i="108"/>
  <c r="M24" i="108" s="1"/>
  <c r="O24" i="108" s="1"/>
  <c r="L23" i="108"/>
  <c r="H23" i="108"/>
  <c r="G23" i="108"/>
  <c r="F23" i="108"/>
  <c r="M23" i="108" s="1"/>
  <c r="O23" i="108" s="1"/>
  <c r="L22" i="108"/>
  <c r="J22" i="108"/>
  <c r="H22" i="108"/>
  <c r="G22" i="108"/>
  <c r="F22" i="108"/>
  <c r="D22" i="108"/>
  <c r="M22" i="108" s="1"/>
  <c r="O22" i="108" s="1"/>
  <c r="L21" i="108"/>
  <c r="J21" i="108"/>
  <c r="H21" i="108"/>
  <c r="G21" i="108"/>
  <c r="F21" i="108"/>
  <c r="D21" i="108"/>
  <c r="C21" i="108"/>
  <c r="M21" i="108" s="1"/>
  <c r="O21" i="108" s="1"/>
  <c r="L20" i="108"/>
  <c r="J20" i="108"/>
  <c r="H20" i="108"/>
  <c r="G20" i="108"/>
  <c r="D20" i="108"/>
  <c r="C20" i="108"/>
  <c r="M20" i="108" s="1"/>
  <c r="O20" i="108" s="1"/>
  <c r="L19" i="108"/>
  <c r="J19" i="108"/>
  <c r="I19" i="108"/>
  <c r="H19" i="108"/>
  <c r="G19" i="108"/>
  <c r="D19" i="108"/>
  <c r="C19" i="108"/>
  <c r="M19" i="108" s="1"/>
  <c r="O19" i="108" s="1"/>
  <c r="L18" i="108"/>
  <c r="J18" i="108"/>
  <c r="H18" i="108"/>
  <c r="G18" i="108"/>
  <c r="F18" i="108"/>
  <c r="M18" i="108" s="1"/>
  <c r="O18" i="108" s="1"/>
  <c r="C18" i="108"/>
  <c r="L17" i="108"/>
  <c r="K17" i="108"/>
  <c r="H17" i="108"/>
  <c r="G17" i="108"/>
  <c r="M17" i="108" s="1"/>
  <c r="O17" i="108" s="1"/>
  <c r="F17" i="108"/>
  <c r="K16" i="108"/>
  <c r="I16" i="108"/>
  <c r="I39" i="108" s="1"/>
  <c r="H16" i="108"/>
  <c r="G16" i="108"/>
  <c r="F16" i="108"/>
  <c r="E16" i="108"/>
  <c r="M16" i="108" s="1"/>
  <c r="O16" i="108" s="1"/>
  <c r="L15" i="108"/>
  <c r="K15" i="108"/>
  <c r="J15" i="108"/>
  <c r="I15" i="108"/>
  <c r="H15" i="108"/>
  <c r="G15" i="108"/>
  <c r="F15" i="108"/>
  <c r="E15" i="108"/>
  <c r="M15" i="108" s="1"/>
  <c r="O15" i="108" s="1"/>
  <c r="L14" i="108"/>
  <c r="K14" i="108"/>
  <c r="J14" i="108"/>
  <c r="H14" i="108"/>
  <c r="G14" i="108"/>
  <c r="F14" i="108"/>
  <c r="M14" i="108" s="1"/>
  <c r="O14" i="108" s="1"/>
  <c r="D14" i="108"/>
  <c r="L13" i="108"/>
  <c r="J13" i="108"/>
  <c r="H13" i="108"/>
  <c r="G13" i="108"/>
  <c r="M13" i="108" s="1"/>
  <c r="O13" i="108" s="1"/>
  <c r="F13" i="108"/>
  <c r="L12" i="108"/>
  <c r="K12" i="108"/>
  <c r="J12" i="108"/>
  <c r="H12" i="108"/>
  <c r="M12" i="108" s="1"/>
  <c r="O12" i="108" s="1"/>
  <c r="G12" i="108"/>
  <c r="D12" i="108"/>
  <c r="C12" i="108"/>
  <c r="L11" i="108"/>
  <c r="K11" i="108"/>
  <c r="H11" i="108"/>
  <c r="G11" i="108"/>
  <c r="M11" i="108" s="1"/>
  <c r="O11" i="108" s="1"/>
  <c r="L10" i="108"/>
  <c r="K10" i="108"/>
  <c r="H10" i="108"/>
  <c r="M10" i="108"/>
  <c r="O10" i="108" s="1"/>
  <c r="J9" i="108"/>
  <c r="H9" i="108"/>
  <c r="F9" i="108"/>
  <c r="M9" i="108" s="1"/>
  <c r="O9" i="108" s="1"/>
  <c r="L8" i="108"/>
  <c r="K8" i="108"/>
  <c r="K39" i="108" s="1"/>
  <c r="H8" i="108"/>
  <c r="G8" i="108"/>
  <c r="F8" i="108"/>
  <c r="C8" i="108"/>
  <c r="C39" i="108" s="1"/>
  <c r="B8" i="108"/>
  <c r="B9" i="108" s="1"/>
  <c r="B10" i="108" s="1"/>
  <c r="B11" i="108" s="1"/>
  <c r="B12" i="108" s="1"/>
  <c r="B13" i="108" s="1"/>
  <c r="B14" i="108" s="1"/>
  <c r="B15" i="108" s="1"/>
  <c r="B16" i="108" s="1"/>
  <c r="B17" i="108" s="1"/>
  <c r="B18" i="108" s="1"/>
  <c r="B19" i="108" s="1"/>
  <c r="B20" i="108" s="1"/>
  <c r="B21" i="108" s="1"/>
  <c r="B22" i="108" s="1"/>
  <c r="B23" i="108" s="1"/>
  <c r="B24" i="108" s="1"/>
  <c r="B25" i="108" s="1"/>
  <c r="B26" i="108" s="1"/>
  <c r="B27" i="108" s="1"/>
  <c r="B28" i="108" s="1"/>
  <c r="B29" i="108" s="1"/>
  <c r="B30" i="108" s="1"/>
  <c r="B31" i="108" s="1"/>
  <c r="B32" i="108" s="1"/>
  <c r="B33" i="108" s="1"/>
  <c r="B34" i="108" s="1"/>
  <c r="B35" i="108" s="1"/>
  <c r="B36" i="108" s="1"/>
  <c r="L7" i="108"/>
  <c r="L39" i="108" s="1"/>
  <c r="J7" i="108"/>
  <c r="J39" i="108" s="1"/>
  <c r="I7" i="108"/>
  <c r="H7" i="108"/>
  <c r="H39" i="108" s="1"/>
  <c r="G7" i="108"/>
  <c r="G39" i="108" s="1"/>
  <c r="G40" i="108" s="1"/>
  <c r="F7" i="108"/>
  <c r="F39" i="108" s="1"/>
  <c r="D7" i="108"/>
  <c r="D39" i="108" s="1"/>
  <c r="S59" i="108"/>
  <c r="N58" i="108"/>
  <c r="N57" i="108"/>
  <c r="N56" i="108"/>
  <c r="N55" i="108"/>
  <c r="N54" i="108"/>
  <c r="K50" i="108"/>
  <c r="I50" i="108"/>
  <c r="G50" i="108"/>
  <c r="E50" i="108"/>
  <c r="D50" i="108"/>
  <c r="M47" i="108"/>
  <c r="O47" i="108" s="1"/>
  <c r="O46" i="108"/>
  <c r="M46" i="108"/>
  <c r="N45" i="108"/>
  <c r="O45" i="108" s="1"/>
  <c r="C56" i="109" l="1"/>
  <c r="M28" i="108"/>
  <c r="O28" i="108" s="1"/>
  <c r="K51" i="108"/>
  <c r="I51" i="108"/>
  <c r="G51" i="108"/>
  <c r="E51" i="108"/>
  <c r="I40" i="108"/>
  <c r="C40" i="108"/>
  <c r="K40" i="108"/>
  <c r="E39" i="108"/>
  <c r="E40" i="108" s="1"/>
  <c r="M8" i="108"/>
  <c r="O8" i="108" s="1"/>
  <c r="M7" i="108"/>
  <c r="D55" i="108"/>
  <c r="D51" i="108"/>
  <c r="J18" i="103"/>
  <c r="L18" i="103"/>
  <c r="J11" i="103"/>
  <c r="H11" i="103"/>
  <c r="J30" i="103"/>
  <c r="H30" i="103"/>
  <c r="M30" i="103" s="1"/>
  <c r="O30" i="103" s="1"/>
  <c r="J14" i="103"/>
  <c r="H14" i="103"/>
  <c r="H7" i="103"/>
  <c r="H22" i="103"/>
  <c r="H34" i="103"/>
  <c r="H33" i="103"/>
  <c r="H16" i="103"/>
  <c r="H35" i="103"/>
  <c r="H36" i="103"/>
  <c r="L36" i="103"/>
  <c r="M37" i="103"/>
  <c r="M38" i="103"/>
  <c r="C39" i="103"/>
  <c r="D39" i="103"/>
  <c r="E39" i="103"/>
  <c r="F39" i="103"/>
  <c r="G39" i="103"/>
  <c r="K39" i="103"/>
  <c r="N39" i="103"/>
  <c r="C40" i="103"/>
  <c r="N45" i="103"/>
  <c r="O45" i="103" s="1"/>
  <c r="M46" i="103"/>
  <c r="O46" i="103" s="1"/>
  <c r="M47" i="103"/>
  <c r="O47" i="103"/>
  <c r="N48" i="103"/>
  <c r="O48" i="103" s="1"/>
  <c r="D50" i="103"/>
  <c r="E50" i="103"/>
  <c r="G50" i="103"/>
  <c r="I50" i="103"/>
  <c r="K50" i="103"/>
  <c r="D51" i="103"/>
  <c r="N54" i="103"/>
  <c r="N55" i="103"/>
  <c r="N56" i="103"/>
  <c r="N57" i="103"/>
  <c r="N58" i="103"/>
  <c r="K36" i="103"/>
  <c r="G36" i="103"/>
  <c r="F36" i="103"/>
  <c r="E36" i="103"/>
  <c r="M36" i="103" s="1"/>
  <c r="O36" i="103" s="1"/>
  <c r="L35" i="103"/>
  <c r="I35" i="103"/>
  <c r="G35" i="103"/>
  <c r="M35" i="103" s="1"/>
  <c r="O35" i="103" s="1"/>
  <c r="L34" i="103"/>
  <c r="J34" i="103"/>
  <c r="G34" i="103"/>
  <c r="F34" i="103"/>
  <c r="M34" i="103" s="1"/>
  <c r="O34" i="103" s="1"/>
  <c r="L33" i="103"/>
  <c r="J33" i="103"/>
  <c r="I33" i="103"/>
  <c r="G33" i="103"/>
  <c r="M33" i="103" s="1"/>
  <c r="O33" i="103" s="1"/>
  <c r="L32" i="103"/>
  <c r="J32" i="103"/>
  <c r="I32" i="103"/>
  <c r="H32" i="103"/>
  <c r="G32" i="103"/>
  <c r="M32" i="103" s="1"/>
  <c r="O32" i="103" s="1"/>
  <c r="L31" i="103"/>
  <c r="J31" i="103"/>
  <c r="I31" i="103"/>
  <c r="H31" i="103"/>
  <c r="G31" i="103"/>
  <c r="M31" i="103" s="1"/>
  <c r="O31" i="103" s="1"/>
  <c r="F31" i="103"/>
  <c r="L30" i="103"/>
  <c r="K30" i="103"/>
  <c r="G30" i="103"/>
  <c r="L29" i="103"/>
  <c r="K29" i="103"/>
  <c r="H29" i="103"/>
  <c r="G29" i="103"/>
  <c r="M29" i="103" s="1"/>
  <c r="O29" i="103" s="1"/>
  <c r="F29" i="103"/>
  <c r="L28" i="103"/>
  <c r="H28" i="103"/>
  <c r="G28" i="103"/>
  <c r="E28" i="103"/>
  <c r="M28" i="103" s="1"/>
  <c r="O28" i="103" s="1"/>
  <c r="J27" i="103"/>
  <c r="M27" i="103" s="1"/>
  <c r="O27" i="103" s="1"/>
  <c r="H27" i="103"/>
  <c r="G27" i="103"/>
  <c r="F27" i="103"/>
  <c r="L26" i="103"/>
  <c r="K26" i="103"/>
  <c r="J26" i="103"/>
  <c r="H26" i="103"/>
  <c r="G26" i="103"/>
  <c r="M26" i="103" s="1"/>
  <c r="O26" i="103" s="1"/>
  <c r="L25" i="103"/>
  <c r="K25" i="103"/>
  <c r="H25" i="103"/>
  <c r="G25" i="103"/>
  <c r="F25" i="103"/>
  <c r="M25" i="103" s="1"/>
  <c r="O25" i="103" s="1"/>
  <c r="L24" i="103"/>
  <c r="J24" i="103"/>
  <c r="H24" i="103"/>
  <c r="G24" i="103"/>
  <c r="M24" i="103" s="1"/>
  <c r="O24" i="103" s="1"/>
  <c r="L23" i="103"/>
  <c r="J23" i="103"/>
  <c r="H23" i="103"/>
  <c r="G23" i="103"/>
  <c r="F23" i="103"/>
  <c r="D23" i="103"/>
  <c r="M23" i="103" s="1"/>
  <c r="O23" i="103" s="1"/>
  <c r="L22" i="103"/>
  <c r="K22" i="103"/>
  <c r="J22" i="103"/>
  <c r="G22" i="103"/>
  <c r="D22" i="103"/>
  <c r="C22" i="103"/>
  <c r="L21" i="103"/>
  <c r="K21" i="103"/>
  <c r="J21" i="103"/>
  <c r="H21" i="103"/>
  <c r="M21" i="103" s="1"/>
  <c r="O21" i="103" s="1"/>
  <c r="G21" i="103"/>
  <c r="F21" i="103"/>
  <c r="D21" i="103"/>
  <c r="L20" i="103"/>
  <c r="H20" i="103"/>
  <c r="M20" i="103" s="1"/>
  <c r="O20" i="103" s="1"/>
  <c r="D20" i="103"/>
  <c r="L19" i="103"/>
  <c r="J19" i="103"/>
  <c r="H19" i="103"/>
  <c r="G19" i="103"/>
  <c r="M19" i="103" s="1"/>
  <c r="O19" i="103" s="1"/>
  <c r="F19" i="103"/>
  <c r="K18" i="103"/>
  <c r="H18" i="103"/>
  <c r="G18" i="103"/>
  <c r="F18" i="103"/>
  <c r="L17" i="103"/>
  <c r="K17" i="103"/>
  <c r="J17" i="103"/>
  <c r="H17" i="103"/>
  <c r="G17" i="103"/>
  <c r="F17" i="103"/>
  <c r="E17" i="103"/>
  <c r="D17" i="103"/>
  <c r="C17" i="103"/>
  <c r="M17" i="103" s="1"/>
  <c r="O17" i="103" s="1"/>
  <c r="L16" i="103"/>
  <c r="J16" i="103"/>
  <c r="I16" i="103"/>
  <c r="F16" i="103"/>
  <c r="E16" i="103"/>
  <c r="D16" i="103"/>
  <c r="M16" i="103" s="1"/>
  <c r="O16" i="103" s="1"/>
  <c r="L15" i="103"/>
  <c r="K15" i="103"/>
  <c r="J15" i="103"/>
  <c r="H15" i="103"/>
  <c r="G15" i="103"/>
  <c r="M15" i="103" s="1"/>
  <c r="O15" i="103" s="1"/>
  <c r="F15" i="103"/>
  <c r="E15" i="103"/>
  <c r="L14" i="103"/>
  <c r="K14" i="103"/>
  <c r="I14" i="103"/>
  <c r="G14" i="103"/>
  <c r="D14" i="103"/>
  <c r="L13" i="103"/>
  <c r="I13" i="103"/>
  <c r="H13" i="103"/>
  <c r="G13" i="103"/>
  <c r="M13" i="103" s="1"/>
  <c r="O13" i="103" s="1"/>
  <c r="L12" i="103"/>
  <c r="H12" i="103"/>
  <c r="M12" i="103" s="1"/>
  <c r="O12" i="103" s="1"/>
  <c r="G12" i="103"/>
  <c r="L11" i="103"/>
  <c r="K11" i="103"/>
  <c r="I11" i="103"/>
  <c r="G11" i="103"/>
  <c r="F11" i="103"/>
  <c r="E11" i="103"/>
  <c r="M11" i="103" s="1"/>
  <c r="O11" i="103" s="1"/>
  <c r="L10" i="103"/>
  <c r="J10" i="103"/>
  <c r="H10" i="103"/>
  <c r="G10" i="103"/>
  <c r="F10" i="103"/>
  <c r="M10" i="103" s="1"/>
  <c r="O10" i="103" s="1"/>
  <c r="L9" i="103"/>
  <c r="K9" i="103"/>
  <c r="J9" i="103"/>
  <c r="H9" i="103"/>
  <c r="G9" i="103"/>
  <c r="M9" i="103" s="1"/>
  <c r="O9" i="103" s="1"/>
  <c r="F9" i="103"/>
  <c r="E9" i="103"/>
  <c r="B9" i="103"/>
  <c r="B10" i="103" s="1"/>
  <c r="B11" i="103" s="1"/>
  <c r="B12" i="103" s="1"/>
  <c r="B13" i="103" s="1"/>
  <c r="B14" i="103" s="1"/>
  <c r="B15" i="103" s="1"/>
  <c r="B16" i="103" s="1"/>
  <c r="B17" i="103" s="1"/>
  <c r="B18" i="103" s="1"/>
  <c r="B19" i="103" s="1"/>
  <c r="B20" i="103" s="1"/>
  <c r="B21" i="103" s="1"/>
  <c r="B22" i="103" s="1"/>
  <c r="B23" i="103" s="1"/>
  <c r="B24" i="103" s="1"/>
  <c r="B25" i="103" s="1"/>
  <c r="B26" i="103" s="1"/>
  <c r="B27" i="103" s="1"/>
  <c r="B28" i="103" s="1"/>
  <c r="B29" i="103" s="1"/>
  <c r="B30" i="103" s="1"/>
  <c r="B31" i="103" s="1"/>
  <c r="B32" i="103" s="1"/>
  <c r="B33" i="103" s="1"/>
  <c r="B34" i="103" s="1"/>
  <c r="B35" i="103" s="1"/>
  <c r="B36" i="103" s="1"/>
  <c r="L8" i="103"/>
  <c r="K8" i="103"/>
  <c r="J8" i="103"/>
  <c r="H8" i="103"/>
  <c r="G8" i="103"/>
  <c r="F8" i="103"/>
  <c r="E8" i="103"/>
  <c r="M8" i="103" s="1"/>
  <c r="O8" i="103" s="1"/>
  <c r="B8" i="103"/>
  <c r="L7" i="103"/>
  <c r="K7" i="103"/>
  <c r="I7" i="103"/>
  <c r="G7" i="103"/>
  <c r="S59" i="103"/>
  <c r="J34" i="102"/>
  <c r="H36" i="102"/>
  <c r="H37" i="102"/>
  <c r="H25" i="102"/>
  <c r="H31" i="102"/>
  <c r="H29" i="102"/>
  <c r="D52" i="108" l="1"/>
  <c r="C60" i="108" s="1"/>
  <c r="O7" i="108"/>
  <c r="M39" i="108"/>
  <c r="O39" i="108" s="1"/>
  <c r="C55" i="108"/>
  <c r="C56" i="108" s="1"/>
  <c r="M18" i="103"/>
  <c r="O18" i="103" s="1"/>
  <c r="L39" i="103"/>
  <c r="K40" i="103" s="1"/>
  <c r="J39" i="103"/>
  <c r="I51" i="103" s="1"/>
  <c r="M14" i="103"/>
  <c r="O14" i="103" s="1"/>
  <c r="H39" i="103"/>
  <c r="G51" i="103" s="1"/>
  <c r="M22" i="103"/>
  <c r="O22" i="103" s="1"/>
  <c r="E51" i="103"/>
  <c r="O37" i="103"/>
  <c r="E40" i="103"/>
  <c r="I39" i="103"/>
  <c r="M7" i="103"/>
  <c r="O7" i="103" s="1"/>
  <c r="N32" i="102"/>
  <c r="N22" i="102"/>
  <c r="N17" i="102"/>
  <c r="L37" i="102"/>
  <c r="K37" i="102"/>
  <c r="J37" i="102"/>
  <c r="I37" i="102"/>
  <c r="I39" i="102" s="1"/>
  <c r="G37" i="102"/>
  <c r="F37" i="102"/>
  <c r="E37" i="102"/>
  <c r="D37" i="102"/>
  <c r="C37" i="102"/>
  <c r="L36" i="102"/>
  <c r="J36" i="102"/>
  <c r="G36" i="102"/>
  <c r="F36" i="102"/>
  <c r="E36" i="102"/>
  <c r="L35" i="102"/>
  <c r="J35" i="102"/>
  <c r="I35" i="102"/>
  <c r="H35" i="102"/>
  <c r="G35" i="102"/>
  <c r="F35" i="102"/>
  <c r="M35" i="102" s="1"/>
  <c r="O35" i="102" s="1"/>
  <c r="E35" i="102"/>
  <c r="C35" i="102"/>
  <c r="L34" i="102"/>
  <c r="H34" i="102"/>
  <c r="G34" i="102"/>
  <c r="D34" i="102"/>
  <c r="C34" i="102"/>
  <c r="J33" i="102"/>
  <c r="H33" i="102"/>
  <c r="G33" i="102"/>
  <c r="J32" i="102"/>
  <c r="H32" i="102"/>
  <c r="M32" i="102" s="1"/>
  <c r="G32" i="102"/>
  <c r="L31" i="102"/>
  <c r="J31" i="102"/>
  <c r="G31" i="102"/>
  <c r="F31" i="102"/>
  <c r="E31" i="102"/>
  <c r="L30" i="102"/>
  <c r="K30" i="102"/>
  <c r="J30" i="102"/>
  <c r="I30" i="102"/>
  <c r="H30" i="102"/>
  <c r="G30" i="102"/>
  <c r="F30" i="102"/>
  <c r="E30" i="102"/>
  <c r="D30" i="102"/>
  <c r="M30" i="102" s="1"/>
  <c r="L29" i="102"/>
  <c r="J29" i="102"/>
  <c r="E29" i="102"/>
  <c r="D29" i="102"/>
  <c r="C29" i="102"/>
  <c r="M29" i="102" s="1"/>
  <c r="O29" i="102" s="1"/>
  <c r="L28" i="102"/>
  <c r="K28" i="102"/>
  <c r="J28" i="102"/>
  <c r="H28" i="102"/>
  <c r="G28" i="102"/>
  <c r="F28" i="102"/>
  <c r="E28" i="102"/>
  <c r="C28" i="102"/>
  <c r="L27" i="102"/>
  <c r="K27" i="102"/>
  <c r="J27" i="102"/>
  <c r="H27" i="102"/>
  <c r="G27" i="102"/>
  <c r="D27" i="102"/>
  <c r="H26" i="102"/>
  <c r="G26" i="102"/>
  <c r="M26" i="102" s="1"/>
  <c r="O26" i="102" s="1"/>
  <c r="F26" i="102"/>
  <c r="D26" i="102"/>
  <c r="L25" i="102"/>
  <c r="K25" i="102"/>
  <c r="J25" i="102"/>
  <c r="G25" i="102"/>
  <c r="L24" i="102"/>
  <c r="J24" i="102"/>
  <c r="H24" i="102"/>
  <c r="G24" i="102"/>
  <c r="F24" i="102"/>
  <c r="M24" i="102" s="1"/>
  <c r="O24" i="102" s="1"/>
  <c r="L23" i="102"/>
  <c r="J23" i="102"/>
  <c r="H23" i="102"/>
  <c r="G23" i="102"/>
  <c r="F23" i="102"/>
  <c r="M23" i="102" s="1"/>
  <c r="O23" i="102" s="1"/>
  <c r="E23" i="102"/>
  <c r="D23" i="102"/>
  <c r="L22" i="102"/>
  <c r="H22" i="102"/>
  <c r="G22" i="102"/>
  <c r="F22" i="102"/>
  <c r="E22" i="102"/>
  <c r="D22" i="102"/>
  <c r="D39" i="102" s="1"/>
  <c r="L21" i="102"/>
  <c r="J21" i="102"/>
  <c r="I21" i="102"/>
  <c r="H21" i="102"/>
  <c r="G21" i="102"/>
  <c r="F21" i="102"/>
  <c r="D21" i="102"/>
  <c r="L20" i="102"/>
  <c r="K20" i="102"/>
  <c r="H20" i="102"/>
  <c r="G20" i="102"/>
  <c r="F20" i="102"/>
  <c r="D20" i="102"/>
  <c r="C20" i="102"/>
  <c r="J19" i="102"/>
  <c r="H19" i="102"/>
  <c r="M19" i="102" s="1"/>
  <c r="O19" i="102" s="1"/>
  <c r="G19" i="102"/>
  <c r="L18" i="102"/>
  <c r="H18" i="102"/>
  <c r="G18" i="102"/>
  <c r="L17" i="102"/>
  <c r="H17" i="102"/>
  <c r="G17" i="102"/>
  <c r="L16" i="102"/>
  <c r="M16" i="102" s="1"/>
  <c r="O16" i="102" s="1"/>
  <c r="H16" i="102"/>
  <c r="L15" i="102"/>
  <c r="H15" i="102"/>
  <c r="M15" i="102" s="1"/>
  <c r="O15" i="102" s="1"/>
  <c r="J14" i="102"/>
  <c r="M14" i="102" s="1"/>
  <c r="O14" i="102" s="1"/>
  <c r="H14" i="102"/>
  <c r="G14" i="102"/>
  <c r="L13" i="102"/>
  <c r="H13" i="102"/>
  <c r="H12" i="102"/>
  <c r="M12" i="102" s="1"/>
  <c r="O12" i="102" s="1"/>
  <c r="H10" i="102"/>
  <c r="H9" i="102"/>
  <c r="M9" i="102" s="1"/>
  <c r="O9" i="102" s="1"/>
  <c r="H8" i="102"/>
  <c r="B8" i="102"/>
  <c r="B9" i="102" s="1"/>
  <c r="B10" i="102" s="1"/>
  <c r="B11" i="102" s="1"/>
  <c r="B12" i="102" s="1"/>
  <c r="B13" i="102" s="1"/>
  <c r="B14" i="102" s="1"/>
  <c r="B15" i="102" s="1"/>
  <c r="B16" i="102" s="1"/>
  <c r="B17" i="102" s="1"/>
  <c r="B18" i="102" s="1"/>
  <c r="B19" i="102" s="1"/>
  <c r="B20" i="102" s="1"/>
  <c r="B21" i="102" s="1"/>
  <c r="B22" i="102" s="1"/>
  <c r="B23" i="102" s="1"/>
  <c r="B24" i="102" s="1"/>
  <c r="B25" i="102" s="1"/>
  <c r="B26" i="102" s="1"/>
  <c r="B27" i="102" s="1"/>
  <c r="B28" i="102" s="1"/>
  <c r="B29" i="102" s="1"/>
  <c r="B30" i="102" s="1"/>
  <c r="B31" i="102" s="1"/>
  <c r="B32" i="102" s="1"/>
  <c r="B33" i="102" s="1"/>
  <c r="B34" i="102" s="1"/>
  <c r="B35" i="102" s="1"/>
  <c r="B36" i="102" s="1"/>
  <c r="B37" i="102" s="1"/>
  <c r="H7" i="102"/>
  <c r="C39" i="102"/>
  <c r="M11" i="102"/>
  <c r="O11" i="102" s="1"/>
  <c r="M21" i="102"/>
  <c r="O21" i="102" s="1"/>
  <c r="M20" i="102"/>
  <c r="O20" i="102" s="1"/>
  <c r="G7" i="101"/>
  <c r="H7" i="101"/>
  <c r="J7" i="101"/>
  <c r="L7" i="101"/>
  <c r="B8" i="101"/>
  <c r="G8" i="101"/>
  <c r="H8" i="101"/>
  <c r="M8" i="101" s="1"/>
  <c r="I8" i="101"/>
  <c r="J8" i="101"/>
  <c r="K8" i="101"/>
  <c r="L8" i="101"/>
  <c r="B9" i="101"/>
  <c r="B10" i="101" s="1"/>
  <c r="B11" i="101" s="1"/>
  <c r="B12" i="101" s="1"/>
  <c r="B13" i="101" s="1"/>
  <c r="B14" i="101" s="1"/>
  <c r="B15" i="101" s="1"/>
  <c r="B16" i="101" s="1"/>
  <c r="B17" i="101" s="1"/>
  <c r="B18" i="101" s="1"/>
  <c r="B19" i="101" s="1"/>
  <c r="B20" i="101" s="1"/>
  <c r="B21" i="101" s="1"/>
  <c r="B22" i="101" s="1"/>
  <c r="B23" i="101" s="1"/>
  <c r="B24" i="101" s="1"/>
  <c r="B25" i="101" s="1"/>
  <c r="B26" i="101" s="1"/>
  <c r="B27" i="101" s="1"/>
  <c r="B28" i="101" s="1"/>
  <c r="B29" i="101" s="1"/>
  <c r="B30" i="101" s="1"/>
  <c r="B31" i="101" s="1"/>
  <c r="B32" i="101" s="1"/>
  <c r="B33" i="101" s="1"/>
  <c r="B34" i="101" s="1"/>
  <c r="B35" i="101" s="1"/>
  <c r="B36" i="101" s="1"/>
  <c r="E9" i="101"/>
  <c r="G9" i="101"/>
  <c r="H9" i="101"/>
  <c r="J9" i="101"/>
  <c r="M9" i="101" s="1"/>
  <c r="L9" i="101"/>
  <c r="C10" i="101"/>
  <c r="D10" i="101"/>
  <c r="M10" i="101" s="1"/>
  <c r="E10" i="101"/>
  <c r="F10" i="101"/>
  <c r="G10" i="101"/>
  <c r="H10" i="101"/>
  <c r="I10" i="101"/>
  <c r="J10" i="101"/>
  <c r="K10" i="101"/>
  <c r="L10" i="101"/>
  <c r="D11" i="101"/>
  <c r="F11" i="101"/>
  <c r="G11" i="101"/>
  <c r="H11" i="101"/>
  <c r="J11" i="101"/>
  <c r="L11" i="101"/>
  <c r="E12" i="101"/>
  <c r="F12" i="101"/>
  <c r="M12" i="101" s="1"/>
  <c r="G12" i="101"/>
  <c r="H12" i="101"/>
  <c r="I12" i="101"/>
  <c r="J12" i="101"/>
  <c r="G13" i="101"/>
  <c r="H13" i="101"/>
  <c r="J13" i="101"/>
  <c r="K13" i="101"/>
  <c r="L13" i="101"/>
  <c r="G14" i="101"/>
  <c r="H14" i="101"/>
  <c r="I14" i="101"/>
  <c r="J14" i="101"/>
  <c r="K14" i="101"/>
  <c r="L14" i="101"/>
  <c r="G15" i="101"/>
  <c r="H15" i="101"/>
  <c r="M15" i="101" s="1"/>
  <c r="I15" i="101"/>
  <c r="J15" i="101"/>
  <c r="L15" i="101"/>
  <c r="F16" i="101"/>
  <c r="G16" i="101"/>
  <c r="H16" i="101"/>
  <c r="J16" i="101"/>
  <c r="K16" i="101"/>
  <c r="L16" i="101"/>
  <c r="E17" i="101"/>
  <c r="G17" i="101"/>
  <c r="H17" i="101"/>
  <c r="I17" i="101"/>
  <c r="L17" i="101"/>
  <c r="F18" i="101"/>
  <c r="G18" i="101"/>
  <c r="H18" i="101"/>
  <c r="J18" i="101"/>
  <c r="L18" i="101"/>
  <c r="F19" i="101"/>
  <c r="G19" i="101"/>
  <c r="H19" i="101"/>
  <c r="L19" i="101"/>
  <c r="G20" i="101"/>
  <c r="H20" i="101"/>
  <c r="J20" i="101"/>
  <c r="G21" i="101"/>
  <c r="H21" i="101"/>
  <c r="J21" i="101"/>
  <c r="G22" i="101"/>
  <c r="H22" i="101"/>
  <c r="J22" i="101"/>
  <c r="K22" i="101"/>
  <c r="L22" i="101"/>
  <c r="F23" i="101"/>
  <c r="G23" i="101"/>
  <c r="H23" i="101"/>
  <c r="J23" i="101"/>
  <c r="L23" i="101"/>
  <c r="E24" i="101"/>
  <c r="F24" i="101"/>
  <c r="G24" i="101"/>
  <c r="H24" i="101"/>
  <c r="J24" i="101"/>
  <c r="L24" i="101"/>
  <c r="E25" i="101"/>
  <c r="F25" i="101"/>
  <c r="G25" i="101"/>
  <c r="H25" i="101"/>
  <c r="I25" i="101"/>
  <c r="J25" i="101"/>
  <c r="K25" i="101"/>
  <c r="L25" i="101"/>
  <c r="F26" i="101"/>
  <c r="G26" i="101"/>
  <c r="H26" i="101"/>
  <c r="M26" i="101" s="1"/>
  <c r="I26" i="101"/>
  <c r="J26" i="101"/>
  <c r="K26" i="101"/>
  <c r="L26" i="101"/>
  <c r="G27" i="101"/>
  <c r="H27" i="101"/>
  <c r="L27" i="101"/>
  <c r="G28" i="101"/>
  <c r="M28" i="101" s="1"/>
  <c r="H28" i="101"/>
  <c r="I28" i="101"/>
  <c r="L28" i="101"/>
  <c r="F29" i="101"/>
  <c r="G29" i="101"/>
  <c r="H29" i="101"/>
  <c r="I29" i="101"/>
  <c r="J29" i="101"/>
  <c r="L29" i="101"/>
  <c r="F30" i="101"/>
  <c r="G30" i="101"/>
  <c r="H30" i="101"/>
  <c r="J30" i="101"/>
  <c r="L30" i="101"/>
  <c r="F31" i="101"/>
  <c r="M31" i="101" s="1"/>
  <c r="G31" i="101"/>
  <c r="H31" i="101"/>
  <c r="J31" i="101"/>
  <c r="L31" i="101"/>
  <c r="F32" i="101"/>
  <c r="G32" i="101"/>
  <c r="H32" i="101"/>
  <c r="J32" i="101"/>
  <c r="K32" i="101"/>
  <c r="L32" i="101"/>
  <c r="F33" i="101"/>
  <c r="G33" i="101"/>
  <c r="H33" i="101"/>
  <c r="I33" i="101"/>
  <c r="J33" i="101"/>
  <c r="L33" i="101"/>
  <c r="G34" i="101"/>
  <c r="H34" i="101"/>
  <c r="J34" i="101"/>
  <c r="L34" i="101"/>
  <c r="G35" i="101"/>
  <c r="H35" i="101"/>
  <c r="J35" i="101"/>
  <c r="L35" i="101"/>
  <c r="G36" i="101"/>
  <c r="M36" i="101" s="1"/>
  <c r="H36" i="101"/>
  <c r="J36" i="101"/>
  <c r="K36" i="101"/>
  <c r="L36" i="101"/>
  <c r="M20" i="101"/>
  <c r="M29" i="101"/>
  <c r="M37" i="101"/>
  <c r="M38" i="101"/>
  <c r="S59" i="102"/>
  <c r="N58" i="102"/>
  <c r="N57" i="102"/>
  <c r="N56" i="102"/>
  <c r="N55" i="102"/>
  <c r="N54" i="102"/>
  <c r="K50" i="102"/>
  <c r="I50" i="102"/>
  <c r="G50" i="102"/>
  <c r="E50" i="102"/>
  <c r="D50" i="102"/>
  <c r="N48" i="102"/>
  <c r="O48" i="102" s="1"/>
  <c r="M47" i="102"/>
  <c r="O47" i="102" s="1"/>
  <c r="M46" i="102"/>
  <c r="O46" i="102" s="1"/>
  <c r="N45" i="102"/>
  <c r="O45" i="102" s="1"/>
  <c r="M38" i="102"/>
  <c r="K51" i="103" l="1"/>
  <c r="M39" i="103"/>
  <c r="O39" i="103" s="1"/>
  <c r="G40" i="103"/>
  <c r="D55" i="103"/>
  <c r="D52" i="103"/>
  <c r="C60" i="103" s="1"/>
  <c r="I40" i="103"/>
  <c r="C55" i="103"/>
  <c r="J39" i="102"/>
  <c r="M22" i="102"/>
  <c r="O22" i="102" s="1"/>
  <c r="M34" i="101"/>
  <c r="M30" i="101"/>
  <c r="M27" i="101"/>
  <c r="M17" i="102"/>
  <c r="O17" i="102" s="1"/>
  <c r="F39" i="102"/>
  <c r="E51" i="102" s="1"/>
  <c r="M25" i="102"/>
  <c r="O25" i="102" s="1"/>
  <c r="M28" i="102"/>
  <c r="O28" i="102" s="1"/>
  <c r="M31" i="102"/>
  <c r="O31" i="102" s="1"/>
  <c r="M34" i="102"/>
  <c r="O34" i="102" s="1"/>
  <c r="M25" i="101"/>
  <c r="M24" i="101"/>
  <c r="M13" i="101"/>
  <c r="M33" i="101"/>
  <c r="M22" i="101"/>
  <c r="M21" i="101"/>
  <c r="M18" i="101"/>
  <c r="M17" i="101"/>
  <c r="M14" i="101"/>
  <c r="M7" i="101"/>
  <c r="L39" i="102"/>
  <c r="M18" i="102"/>
  <c r="O18" i="102" s="1"/>
  <c r="M37" i="102"/>
  <c r="O37" i="102" s="1"/>
  <c r="M35" i="101"/>
  <c r="M32" i="101"/>
  <c r="M23" i="101"/>
  <c r="M19" i="101"/>
  <c r="M16" i="101"/>
  <c r="M11" i="101"/>
  <c r="K39" i="102"/>
  <c r="K40" i="102" s="1"/>
  <c r="M27" i="102"/>
  <c r="O27" i="102" s="1"/>
  <c r="M33" i="102"/>
  <c r="O33" i="102" s="1"/>
  <c r="M36" i="102"/>
  <c r="O36" i="102" s="1"/>
  <c r="I51" i="102"/>
  <c r="K51" i="102"/>
  <c r="O32" i="102"/>
  <c r="E39" i="102"/>
  <c r="M13" i="102"/>
  <c r="O13" i="102" s="1"/>
  <c r="H39" i="102"/>
  <c r="G51" i="102" s="1"/>
  <c r="I40" i="102"/>
  <c r="M7" i="102"/>
  <c r="D51" i="102"/>
  <c r="O30" i="102"/>
  <c r="C40" i="102"/>
  <c r="O7" i="102"/>
  <c r="N39" i="102"/>
  <c r="M10" i="102"/>
  <c r="O10" i="102" s="1"/>
  <c r="G39" i="102"/>
  <c r="M8" i="102"/>
  <c r="O8" i="102" s="1"/>
  <c r="C56" i="103" l="1"/>
  <c r="E40" i="102"/>
  <c r="D52" i="102"/>
  <c r="C60" i="102" s="1"/>
  <c r="G40" i="102"/>
  <c r="D55" i="102"/>
  <c r="C55" i="102"/>
  <c r="M39" i="102"/>
  <c r="O39" i="102" s="1"/>
  <c r="C56" i="102" l="1"/>
  <c r="N24" i="101"/>
  <c r="N21" i="101"/>
  <c r="N30" i="101"/>
  <c r="N26" i="101"/>
  <c r="S59" i="101" l="1"/>
  <c r="N58" i="101"/>
  <c r="N57" i="101"/>
  <c r="N56" i="101"/>
  <c r="N55" i="101"/>
  <c r="N54" i="101"/>
  <c r="K50" i="101"/>
  <c r="I50" i="101"/>
  <c r="G50" i="101"/>
  <c r="E50" i="101"/>
  <c r="D50" i="101"/>
  <c r="N48" i="101"/>
  <c r="O48" i="101" s="1"/>
  <c r="M47" i="101"/>
  <c r="O47" i="101" s="1"/>
  <c r="M46" i="101"/>
  <c r="O46" i="101" s="1"/>
  <c r="N45" i="101"/>
  <c r="O45" i="101" s="1"/>
  <c r="O37" i="101"/>
  <c r="O36" i="101"/>
  <c r="O35" i="101"/>
  <c r="O34" i="101"/>
  <c r="O33" i="101"/>
  <c r="O32" i="101"/>
  <c r="O31" i="101"/>
  <c r="O30" i="101"/>
  <c r="O29" i="101"/>
  <c r="O28" i="101"/>
  <c r="O27" i="101"/>
  <c r="O26" i="101"/>
  <c r="O25" i="101"/>
  <c r="O24" i="101"/>
  <c r="O23" i="101"/>
  <c r="O22" i="101"/>
  <c r="O21" i="101"/>
  <c r="O20" i="101"/>
  <c r="O19" i="101"/>
  <c r="O18" i="101"/>
  <c r="O16" i="101"/>
  <c r="O15" i="101"/>
  <c r="O14" i="101"/>
  <c r="F39" i="101"/>
  <c r="E51" i="101" s="1"/>
  <c r="O13" i="101"/>
  <c r="I39" i="101"/>
  <c r="O12" i="101"/>
  <c r="O11" i="101"/>
  <c r="C39" i="101"/>
  <c r="O10" i="101"/>
  <c r="O9" i="101"/>
  <c r="O8" i="101"/>
  <c r="L39" i="101"/>
  <c r="K39" i="101"/>
  <c r="K40" i="101" s="1"/>
  <c r="J39" i="101"/>
  <c r="H39" i="101"/>
  <c r="G39" i="101"/>
  <c r="E39" i="101"/>
  <c r="I51" i="101" l="1"/>
  <c r="G51" i="101"/>
  <c r="K51" i="101"/>
  <c r="E40" i="101"/>
  <c r="C55" i="101"/>
  <c r="G40" i="101"/>
  <c r="I40" i="101"/>
  <c r="O17" i="101"/>
  <c r="N39" i="101"/>
  <c r="D39" i="101"/>
  <c r="H19" i="100"/>
  <c r="D55" i="101" l="1"/>
  <c r="C56" i="101" s="1"/>
  <c r="D51" i="101"/>
  <c r="D52" i="101" s="1"/>
  <c r="C60" i="101" s="1"/>
  <c r="C40" i="101"/>
  <c r="M39" i="101"/>
  <c r="O39" i="101" s="1"/>
  <c r="O7" i="101"/>
  <c r="N17" i="100"/>
  <c r="L37" i="100"/>
  <c r="H37" i="100"/>
  <c r="G37" i="100"/>
  <c r="L36" i="100"/>
  <c r="K36" i="100"/>
  <c r="M36" i="100" s="1"/>
  <c r="O36" i="100" s="1"/>
  <c r="H36" i="100"/>
  <c r="G36" i="100"/>
  <c r="F36" i="100"/>
  <c r="L35" i="100"/>
  <c r="K35" i="100"/>
  <c r="J35" i="100"/>
  <c r="H35" i="100"/>
  <c r="G35" i="100"/>
  <c r="F35" i="100"/>
  <c r="E35" i="100"/>
  <c r="L34" i="100"/>
  <c r="K34" i="100"/>
  <c r="J34" i="100"/>
  <c r="H34" i="100"/>
  <c r="G34" i="100"/>
  <c r="F34" i="100"/>
  <c r="D34" i="100"/>
  <c r="C34" i="100"/>
  <c r="L33" i="100"/>
  <c r="J33" i="100"/>
  <c r="I33" i="100"/>
  <c r="H33" i="100"/>
  <c r="G33" i="100"/>
  <c r="F33" i="100"/>
  <c r="E33" i="100"/>
  <c r="D33" i="100"/>
  <c r="L32" i="100"/>
  <c r="K32" i="100"/>
  <c r="J32" i="100"/>
  <c r="H32" i="100"/>
  <c r="G32" i="100"/>
  <c r="F32" i="100"/>
  <c r="L31" i="100"/>
  <c r="H31" i="100"/>
  <c r="G31" i="100"/>
  <c r="M31" i="100" s="1"/>
  <c r="O31" i="100" s="1"/>
  <c r="L30" i="100"/>
  <c r="J30" i="100"/>
  <c r="I30" i="100"/>
  <c r="H30" i="100"/>
  <c r="G30" i="100"/>
  <c r="L29" i="100"/>
  <c r="K29" i="100"/>
  <c r="J29" i="100"/>
  <c r="H29" i="100"/>
  <c r="G29" i="100"/>
  <c r="F29" i="100"/>
  <c r="D29" i="100"/>
  <c r="L28" i="100"/>
  <c r="J28" i="100"/>
  <c r="H28" i="100"/>
  <c r="F28" i="100"/>
  <c r="E28" i="100"/>
  <c r="M28" i="100" s="1"/>
  <c r="D28" i="100"/>
  <c r="L27" i="100"/>
  <c r="J27" i="100"/>
  <c r="H27" i="100"/>
  <c r="F27" i="100"/>
  <c r="D27" i="100"/>
  <c r="L26" i="100"/>
  <c r="K26" i="100"/>
  <c r="J26" i="100"/>
  <c r="H26" i="100"/>
  <c r="G26" i="100"/>
  <c r="E26" i="100"/>
  <c r="C26" i="100"/>
  <c r="L25" i="100"/>
  <c r="K25" i="100"/>
  <c r="J25" i="100"/>
  <c r="H25" i="100"/>
  <c r="G25" i="100"/>
  <c r="F25" i="100"/>
  <c r="D25" i="100"/>
  <c r="C25" i="100"/>
  <c r="L24" i="100"/>
  <c r="K24" i="100"/>
  <c r="J24" i="100"/>
  <c r="I24" i="100"/>
  <c r="H24" i="100"/>
  <c r="G24" i="100"/>
  <c r="F24" i="100"/>
  <c r="M24" i="100" s="1"/>
  <c r="O24" i="100" s="1"/>
  <c r="D24" i="100"/>
  <c r="L23" i="100"/>
  <c r="K23" i="100"/>
  <c r="H23" i="100"/>
  <c r="G23" i="100"/>
  <c r="F23" i="100"/>
  <c r="H22" i="100"/>
  <c r="F22" i="100"/>
  <c r="D22" i="100"/>
  <c r="L21" i="100"/>
  <c r="K21" i="100"/>
  <c r="J21" i="100"/>
  <c r="H21" i="100"/>
  <c r="F21" i="100"/>
  <c r="E21" i="100"/>
  <c r="D21" i="100"/>
  <c r="C21" i="100"/>
  <c r="L20" i="100"/>
  <c r="J20" i="100"/>
  <c r="H20" i="100"/>
  <c r="G20" i="100"/>
  <c r="E20" i="100"/>
  <c r="K19" i="100"/>
  <c r="J19" i="100"/>
  <c r="I19" i="100"/>
  <c r="G19" i="100"/>
  <c r="F19" i="100"/>
  <c r="E19" i="100"/>
  <c r="D19" i="100"/>
  <c r="C19" i="100"/>
  <c r="L18" i="100"/>
  <c r="K18" i="100"/>
  <c r="J18" i="100"/>
  <c r="I18" i="100"/>
  <c r="H18" i="100"/>
  <c r="G18" i="100"/>
  <c r="D18" i="100"/>
  <c r="C18" i="100"/>
  <c r="L17" i="100"/>
  <c r="H17" i="100"/>
  <c r="M17" i="100" s="1"/>
  <c r="G17" i="100"/>
  <c r="L16" i="100"/>
  <c r="H16" i="100"/>
  <c r="G16" i="100"/>
  <c r="M16" i="100" s="1"/>
  <c r="O16" i="100" s="1"/>
  <c r="J15" i="100"/>
  <c r="H15" i="100"/>
  <c r="M15" i="100" s="1"/>
  <c r="O15" i="100" s="1"/>
  <c r="L14" i="100"/>
  <c r="K14" i="100"/>
  <c r="J14" i="100"/>
  <c r="H14" i="100"/>
  <c r="G14" i="100"/>
  <c r="D14" i="100"/>
  <c r="M14" i="100" s="1"/>
  <c r="O14" i="100" s="1"/>
  <c r="L13" i="100"/>
  <c r="J13" i="100"/>
  <c r="H13" i="100"/>
  <c r="G13" i="100"/>
  <c r="F13" i="100"/>
  <c r="E13" i="100"/>
  <c r="D13" i="100"/>
  <c r="C13" i="100"/>
  <c r="L12" i="100"/>
  <c r="I12" i="100"/>
  <c r="H12" i="100"/>
  <c r="G12" i="100"/>
  <c r="F12" i="100"/>
  <c r="C12" i="100"/>
  <c r="L11" i="100"/>
  <c r="K11" i="100"/>
  <c r="H11" i="100"/>
  <c r="G11" i="100"/>
  <c r="D11" i="100"/>
  <c r="C11" i="100"/>
  <c r="C39" i="100" s="1"/>
  <c r="L10" i="100"/>
  <c r="K10" i="100"/>
  <c r="H10" i="100"/>
  <c r="G10" i="100"/>
  <c r="M10" i="100" s="1"/>
  <c r="O10" i="100" s="1"/>
  <c r="L9" i="100"/>
  <c r="K9" i="100"/>
  <c r="H9" i="100"/>
  <c r="G9" i="100"/>
  <c r="L8" i="100"/>
  <c r="K8" i="100"/>
  <c r="H8" i="100"/>
  <c r="G8" i="100"/>
  <c r="F8" i="100"/>
  <c r="E8" i="100"/>
  <c r="L7" i="100"/>
  <c r="K7" i="100"/>
  <c r="K39" i="100" s="1"/>
  <c r="J7" i="100"/>
  <c r="H7" i="100"/>
  <c r="G7" i="100"/>
  <c r="G39" i="100" s="1"/>
  <c r="F7" i="100"/>
  <c r="F39" i="100" s="1"/>
  <c r="E7" i="100"/>
  <c r="S59" i="100"/>
  <c r="N58" i="100"/>
  <c r="N57" i="100"/>
  <c r="N56" i="100"/>
  <c r="N55" i="100"/>
  <c r="N54" i="100"/>
  <c r="K50" i="100"/>
  <c r="I50" i="100"/>
  <c r="G50" i="100"/>
  <c r="E50" i="100"/>
  <c r="D50" i="100"/>
  <c r="N48" i="100"/>
  <c r="O48" i="100" s="1"/>
  <c r="M47" i="100"/>
  <c r="O47" i="100" s="1"/>
  <c r="M46" i="100"/>
  <c r="O46" i="100" s="1"/>
  <c r="N45" i="100"/>
  <c r="O45" i="100" s="1"/>
  <c r="M38" i="100"/>
  <c r="M32" i="100"/>
  <c r="O32" i="100" s="1"/>
  <c r="M13" i="100"/>
  <c r="O13" i="100" s="1"/>
  <c r="B8" i="100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I39" i="100"/>
  <c r="E7" i="99"/>
  <c r="G7" i="99"/>
  <c r="H7" i="99"/>
  <c r="I7" i="99"/>
  <c r="J7" i="99"/>
  <c r="K7" i="99"/>
  <c r="L7" i="99"/>
  <c r="F8" i="99"/>
  <c r="G8" i="99"/>
  <c r="H8" i="99"/>
  <c r="I8" i="99"/>
  <c r="J8" i="99"/>
  <c r="L8" i="99"/>
  <c r="D9" i="99"/>
  <c r="E9" i="99"/>
  <c r="F9" i="99"/>
  <c r="G9" i="99"/>
  <c r="H9" i="99"/>
  <c r="I9" i="99"/>
  <c r="J9" i="99"/>
  <c r="K9" i="99"/>
  <c r="L9" i="99"/>
  <c r="D10" i="99"/>
  <c r="E10" i="99"/>
  <c r="F10" i="99"/>
  <c r="G10" i="99"/>
  <c r="H10" i="99"/>
  <c r="J10" i="99"/>
  <c r="K10" i="99"/>
  <c r="L10" i="99"/>
  <c r="G11" i="99"/>
  <c r="H11" i="99"/>
  <c r="J11" i="99"/>
  <c r="L11" i="99"/>
  <c r="D12" i="99"/>
  <c r="G12" i="99"/>
  <c r="H12" i="99"/>
  <c r="J12" i="99"/>
  <c r="L12" i="99"/>
  <c r="D13" i="99"/>
  <c r="G13" i="99"/>
  <c r="H13" i="99"/>
  <c r="K13" i="99"/>
  <c r="L13" i="99"/>
  <c r="D14" i="99"/>
  <c r="G14" i="99"/>
  <c r="H14" i="99"/>
  <c r="J14" i="99"/>
  <c r="L14" i="99"/>
  <c r="D15" i="99"/>
  <c r="G15" i="99"/>
  <c r="H15" i="99"/>
  <c r="I15" i="99"/>
  <c r="J15" i="99"/>
  <c r="K15" i="99"/>
  <c r="L15" i="99"/>
  <c r="D16" i="99"/>
  <c r="G16" i="99"/>
  <c r="H16" i="99"/>
  <c r="J16" i="99"/>
  <c r="K16" i="99"/>
  <c r="L16" i="99"/>
  <c r="G17" i="99"/>
  <c r="H17" i="99"/>
  <c r="I17" i="99"/>
  <c r="J17" i="99"/>
  <c r="L17" i="99"/>
  <c r="G18" i="99"/>
  <c r="H18" i="99"/>
  <c r="J18" i="99"/>
  <c r="L18" i="99"/>
  <c r="G19" i="99"/>
  <c r="H19" i="99"/>
  <c r="L19" i="99"/>
  <c r="E21" i="99"/>
  <c r="F21" i="99"/>
  <c r="G21" i="99"/>
  <c r="H21" i="99"/>
  <c r="J21" i="99"/>
  <c r="L21" i="99"/>
  <c r="D22" i="99"/>
  <c r="G22" i="99"/>
  <c r="H22" i="99"/>
  <c r="J22" i="99"/>
  <c r="K22" i="99"/>
  <c r="L22" i="99"/>
  <c r="C23" i="99"/>
  <c r="F23" i="99"/>
  <c r="G23" i="99"/>
  <c r="H23" i="99"/>
  <c r="J23" i="99"/>
  <c r="K23" i="99"/>
  <c r="G24" i="99"/>
  <c r="H24" i="99"/>
  <c r="I24" i="99"/>
  <c r="J24" i="99"/>
  <c r="K24" i="99"/>
  <c r="L24" i="99"/>
  <c r="F25" i="99"/>
  <c r="G25" i="99"/>
  <c r="H25" i="99"/>
  <c r="L25" i="99"/>
  <c r="G26" i="99"/>
  <c r="H26" i="99"/>
  <c r="L26" i="99"/>
  <c r="E27" i="99"/>
  <c r="G27" i="99"/>
  <c r="H27" i="99"/>
  <c r="J27" i="99"/>
  <c r="L27" i="99"/>
  <c r="E28" i="99"/>
  <c r="F28" i="99"/>
  <c r="G28" i="99"/>
  <c r="H28" i="99"/>
  <c r="J28" i="99"/>
  <c r="L28" i="99"/>
  <c r="F29" i="99"/>
  <c r="G29" i="99"/>
  <c r="H29" i="99"/>
  <c r="J29" i="99"/>
  <c r="K29" i="99"/>
  <c r="L29" i="99"/>
  <c r="E30" i="99"/>
  <c r="F30" i="99"/>
  <c r="H30" i="99"/>
  <c r="K30" i="99"/>
  <c r="L30" i="99"/>
  <c r="E31" i="99"/>
  <c r="F31" i="99"/>
  <c r="G31" i="99"/>
  <c r="H31" i="99"/>
  <c r="J31" i="99"/>
  <c r="K31" i="99"/>
  <c r="L31" i="99"/>
  <c r="G32" i="99"/>
  <c r="H32" i="99"/>
  <c r="J32" i="99"/>
  <c r="K32" i="99"/>
  <c r="L32" i="99"/>
  <c r="G33" i="99"/>
  <c r="H33" i="99"/>
  <c r="L33" i="99"/>
  <c r="G34" i="99"/>
  <c r="H34" i="99"/>
  <c r="J34" i="99"/>
  <c r="K34" i="99"/>
  <c r="L34" i="99"/>
  <c r="F35" i="99"/>
  <c r="G35" i="99"/>
  <c r="H35" i="99"/>
  <c r="K35" i="99"/>
  <c r="L35" i="99"/>
  <c r="F36" i="99"/>
  <c r="G36" i="99"/>
  <c r="H36" i="99"/>
  <c r="I36" i="99"/>
  <c r="J36" i="99"/>
  <c r="K36" i="99"/>
  <c r="L36" i="99"/>
  <c r="N21" i="99"/>
  <c r="N22" i="99"/>
  <c r="N28" i="99"/>
  <c r="N34" i="99"/>
  <c r="M22" i="100" l="1"/>
  <c r="O22" i="100" s="1"/>
  <c r="M27" i="100"/>
  <c r="O27" i="100" s="1"/>
  <c r="D39" i="100"/>
  <c r="D51" i="100" s="1"/>
  <c r="M30" i="100"/>
  <c r="O30" i="100" s="1"/>
  <c r="M35" i="100"/>
  <c r="O35" i="100" s="1"/>
  <c r="H39" i="100"/>
  <c r="E39" i="100"/>
  <c r="E40" i="100" s="1"/>
  <c r="M11" i="100"/>
  <c r="O11" i="100" s="1"/>
  <c r="M12" i="100"/>
  <c r="O12" i="100" s="1"/>
  <c r="J39" i="100"/>
  <c r="I51" i="100" s="1"/>
  <c r="L39" i="100"/>
  <c r="K40" i="100" s="1"/>
  <c r="M18" i="100"/>
  <c r="O18" i="100" s="1"/>
  <c r="M19" i="100"/>
  <c r="O19" i="100" s="1"/>
  <c r="M20" i="100"/>
  <c r="O20" i="100" s="1"/>
  <c r="M23" i="100"/>
  <c r="O23" i="100" s="1"/>
  <c r="M26" i="100"/>
  <c r="O26" i="100" s="1"/>
  <c r="M34" i="100"/>
  <c r="O34" i="100" s="1"/>
  <c r="M21" i="100"/>
  <c r="M25" i="100"/>
  <c r="O25" i="100" s="1"/>
  <c r="M33" i="100"/>
  <c r="O33" i="100" s="1"/>
  <c r="M37" i="100"/>
  <c r="O37" i="100" s="1"/>
  <c r="K51" i="100"/>
  <c r="G51" i="100"/>
  <c r="E51" i="100"/>
  <c r="O17" i="100"/>
  <c r="I40" i="100"/>
  <c r="M29" i="100"/>
  <c r="O29" i="100" s="1"/>
  <c r="G40" i="100"/>
  <c r="D55" i="100"/>
  <c r="O28" i="100"/>
  <c r="O21" i="100"/>
  <c r="N39" i="100"/>
  <c r="M7" i="100"/>
  <c r="M8" i="100"/>
  <c r="O8" i="100" s="1"/>
  <c r="M9" i="100"/>
  <c r="O9" i="100" s="1"/>
  <c r="C40" i="100"/>
  <c r="C55" i="100"/>
  <c r="C56" i="100" l="1"/>
  <c r="D52" i="100"/>
  <c r="C60" i="100" s="1"/>
  <c r="M39" i="100"/>
  <c r="O39" i="100" s="1"/>
  <c r="O7" i="100"/>
  <c r="I39" i="99" l="1"/>
  <c r="M35" i="99"/>
  <c r="O35" i="99" s="1"/>
  <c r="M33" i="99"/>
  <c r="O33" i="99" s="1"/>
  <c r="M32" i="99"/>
  <c r="O32" i="99" s="1"/>
  <c r="E39" i="99"/>
  <c r="M30" i="99"/>
  <c r="M29" i="99"/>
  <c r="O29" i="99" s="1"/>
  <c r="M28" i="99"/>
  <c r="O28" i="99" s="1"/>
  <c r="M26" i="99"/>
  <c r="O26" i="99" s="1"/>
  <c r="M25" i="99"/>
  <c r="O25" i="99" s="1"/>
  <c r="M23" i="99"/>
  <c r="O23" i="99" s="1"/>
  <c r="M22" i="99"/>
  <c r="O22" i="99" s="1"/>
  <c r="M20" i="99"/>
  <c r="O20" i="99" s="1"/>
  <c r="M19" i="99"/>
  <c r="O19" i="99" s="1"/>
  <c r="M17" i="99"/>
  <c r="O17" i="99" s="1"/>
  <c r="M16" i="99"/>
  <c r="O16" i="99" s="1"/>
  <c r="M14" i="99"/>
  <c r="O14" i="99" s="1"/>
  <c r="M13" i="99"/>
  <c r="O13" i="99" s="1"/>
  <c r="J39" i="99"/>
  <c r="M10" i="99"/>
  <c r="O10" i="99" s="1"/>
  <c r="L39" i="99"/>
  <c r="D39" i="99"/>
  <c r="M8" i="99"/>
  <c r="O8" i="99" s="1"/>
  <c r="M7" i="99"/>
  <c r="S59" i="99"/>
  <c r="N58" i="99"/>
  <c r="N57" i="99"/>
  <c r="N56" i="99"/>
  <c r="N55" i="99"/>
  <c r="N54" i="99"/>
  <c r="K50" i="99"/>
  <c r="I50" i="99"/>
  <c r="E50" i="99"/>
  <c r="D50" i="99"/>
  <c r="N48" i="99"/>
  <c r="O48" i="99" s="1"/>
  <c r="O47" i="99"/>
  <c r="M47" i="99"/>
  <c r="M46" i="99"/>
  <c r="O46" i="99" s="1"/>
  <c r="N45" i="99"/>
  <c r="O45" i="99" s="1"/>
  <c r="K39" i="99"/>
  <c r="F39" i="99"/>
  <c r="C39" i="99"/>
  <c r="M38" i="99"/>
  <c r="M37" i="99"/>
  <c r="O37" i="99" s="1"/>
  <c r="M34" i="99"/>
  <c r="O34" i="99" s="1"/>
  <c r="N39" i="99"/>
  <c r="M27" i="99"/>
  <c r="O27" i="99" s="1"/>
  <c r="M24" i="99"/>
  <c r="O24" i="99" s="1"/>
  <c r="M21" i="99"/>
  <c r="O21" i="99" s="1"/>
  <c r="M18" i="99"/>
  <c r="O18" i="99" s="1"/>
  <c r="M15" i="99"/>
  <c r="O15" i="99" s="1"/>
  <c r="M11" i="99"/>
  <c r="O11" i="99" s="1"/>
  <c r="B8" i="99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3" i="99" s="1"/>
  <c r="B24" i="99" s="1"/>
  <c r="B25" i="99" s="1"/>
  <c r="B26" i="99" s="1"/>
  <c r="B27" i="99" s="1"/>
  <c r="B28" i="99" s="1"/>
  <c r="B29" i="99" s="1"/>
  <c r="B30" i="99" s="1"/>
  <c r="B31" i="99" s="1"/>
  <c r="B32" i="99" s="1"/>
  <c r="B33" i="99" s="1"/>
  <c r="B34" i="99" s="1"/>
  <c r="B35" i="99" s="1"/>
  <c r="B36" i="99" s="1"/>
  <c r="D51" i="99" l="1"/>
  <c r="E40" i="99"/>
  <c r="K51" i="99"/>
  <c r="I51" i="99"/>
  <c r="I40" i="99"/>
  <c r="M12" i="99"/>
  <c r="O12" i="99" s="1"/>
  <c r="M31" i="99"/>
  <c r="O31" i="99" s="1"/>
  <c r="G39" i="99"/>
  <c r="C55" i="99" s="1"/>
  <c r="M9" i="99"/>
  <c r="O9" i="99" s="1"/>
  <c r="M36" i="99"/>
  <c r="O36" i="99" s="1"/>
  <c r="K40" i="99"/>
  <c r="E51" i="99"/>
  <c r="O7" i="99"/>
  <c r="H39" i="99"/>
  <c r="C40" i="99"/>
  <c r="G50" i="99"/>
  <c r="O30" i="99"/>
  <c r="H11" i="98"/>
  <c r="H8" i="98"/>
  <c r="H34" i="98"/>
  <c r="H31" i="98"/>
  <c r="H30" i="98"/>
  <c r="N30" i="98"/>
  <c r="N31" i="98"/>
  <c r="M39" i="99" l="1"/>
  <c r="O39" i="99" s="1"/>
  <c r="G51" i="99"/>
  <c r="D52" i="99" s="1"/>
  <c r="C60" i="99" s="1"/>
  <c r="D55" i="99"/>
  <c r="C56" i="99" s="1"/>
  <c r="G40" i="99"/>
  <c r="H48" i="98"/>
  <c r="N45" i="98" l="1"/>
  <c r="M32" i="98" l="1"/>
  <c r="O32" i="98" s="1"/>
  <c r="M28" i="98"/>
  <c r="O28" i="98" s="1"/>
  <c r="M24" i="98"/>
  <c r="O24" i="98" s="1"/>
  <c r="M21" i="98"/>
  <c r="O21" i="98" s="1"/>
  <c r="M17" i="98"/>
  <c r="O17" i="98" s="1"/>
  <c r="M13" i="98"/>
  <c r="O13" i="98" s="1"/>
  <c r="M10" i="98"/>
  <c r="O10" i="98" s="1"/>
  <c r="J39" i="98"/>
  <c r="H39" i="98"/>
  <c r="S59" i="98"/>
  <c r="K50" i="98"/>
  <c r="I50" i="98"/>
  <c r="G50" i="98"/>
  <c r="E50" i="98"/>
  <c r="D50" i="98"/>
  <c r="N48" i="98"/>
  <c r="O48" i="98" s="1"/>
  <c r="M47" i="98"/>
  <c r="O47" i="98" s="1"/>
  <c r="M46" i="98"/>
  <c r="O46" i="98" s="1"/>
  <c r="O45" i="98"/>
  <c r="N39" i="98"/>
  <c r="M38" i="98"/>
  <c r="M37" i="98"/>
  <c r="O37" i="98" s="1"/>
  <c r="M36" i="98"/>
  <c r="O36" i="98" s="1"/>
  <c r="M35" i="98"/>
  <c r="O35" i="98" s="1"/>
  <c r="M34" i="98"/>
  <c r="O34" i="98" s="1"/>
  <c r="M33" i="98"/>
  <c r="O33" i="98" s="1"/>
  <c r="M31" i="98"/>
  <c r="O31" i="98" s="1"/>
  <c r="M30" i="98"/>
  <c r="O30" i="98" s="1"/>
  <c r="M29" i="98"/>
  <c r="O29" i="98" s="1"/>
  <c r="M27" i="98"/>
  <c r="O27" i="98" s="1"/>
  <c r="M26" i="98"/>
  <c r="O26" i="98" s="1"/>
  <c r="M25" i="98"/>
  <c r="O25" i="98" s="1"/>
  <c r="I39" i="98"/>
  <c r="M23" i="98"/>
  <c r="O23" i="98" s="1"/>
  <c r="M22" i="98"/>
  <c r="O22" i="98" s="1"/>
  <c r="M20" i="98"/>
  <c r="O20" i="98" s="1"/>
  <c r="M19" i="98"/>
  <c r="O19" i="98" s="1"/>
  <c r="M18" i="98"/>
  <c r="O18" i="98" s="1"/>
  <c r="M16" i="98"/>
  <c r="O16" i="98" s="1"/>
  <c r="M15" i="98"/>
  <c r="O15" i="98" s="1"/>
  <c r="M14" i="98"/>
  <c r="O14" i="98" s="1"/>
  <c r="M12" i="98"/>
  <c r="O12" i="98" s="1"/>
  <c r="K39" i="98"/>
  <c r="M11" i="98"/>
  <c r="O11" i="98" s="1"/>
  <c r="F39" i="98"/>
  <c r="E51" i="98" s="1"/>
  <c r="E39" i="98"/>
  <c r="L39" i="98"/>
  <c r="M9" i="98"/>
  <c r="O9" i="98" s="1"/>
  <c r="C39" i="98"/>
  <c r="B8" i="98"/>
  <c r="B9" i="98" s="1"/>
  <c r="B10" i="98" s="1"/>
  <c r="B11" i="98" s="1"/>
  <c r="B12" i="98" s="1"/>
  <c r="B13" i="98" s="1"/>
  <c r="B14" i="98" s="1"/>
  <c r="B15" i="98" s="1"/>
  <c r="B16" i="98" s="1"/>
  <c r="B17" i="98" s="1"/>
  <c r="B18" i="98" s="1"/>
  <c r="B19" i="98" s="1"/>
  <c r="B20" i="98" s="1"/>
  <c r="B21" i="98" s="1"/>
  <c r="B22" i="98" s="1"/>
  <c r="B23" i="98" s="1"/>
  <c r="B24" i="98" s="1"/>
  <c r="B25" i="98" s="1"/>
  <c r="B26" i="98" s="1"/>
  <c r="B27" i="98" s="1"/>
  <c r="B28" i="98" s="1"/>
  <c r="B29" i="98" s="1"/>
  <c r="B30" i="98" s="1"/>
  <c r="B31" i="98" s="1"/>
  <c r="B32" i="98" s="1"/>
  <c r="B33" i="98" s="1"/>
  <c r="B34" i="98" s="1"/>
  <c r="B35" i="98" s="1"/>
  <c r="B36" i="98" s="1"/>
  <c r="B37" i="98" s="1"/>
  <c r="M7" i="98"/>
  <c r="G39" i="98"/>
  <c r="E40" i="98" l="1"/>
  <c r="K51" i="98"/>
  <c r="I51" i="98"/>
  <c r="G51" i="98"/>
  <c r="K40" i="98"/>
  <c r="G40" i="98"/>
  <c r="C55" i="98"/>
  <c r="I40" i="98"/>
  <c r="D39" i="98"/>
  <c r="O7" i="98"/>
  <c r="M8" i="98"/>
  <c r="O8" i="98" s="1"/>
  <c r="D51" i="98" l="1"/>
  <c r="D55" i="98"/>
  <c r="C56" i="98" s="1"/>
  <c r="C40" i="98"/>
  <c r="M39" i="98"/>
  <c r="O39" i="98" s="1"/>
  <c r="H33" i="97"/>
  <c r="F30" i="97"/>
  <c r="H30" i="97"/>
  <c r="F28" i="97"/>
  <c r="H28" i="97"/>
  <c r="F24" i="97"/>
  <c r="H24" i="97"/>
  <c r="F20" i="97"/>
  <c r="H20" i="97"/>
  <c r="H19" i="97"/>
  <c r="H16" i="97"/>
  <c r="H7" i="97"/>
  <c r="D52" i="98" l="1"/>
  <c r="C60" i="98" s="1"/>
  <c r="H13" i="97"/>
  <c r="L34" i="97" l="1"/>
  <c r="K34" i="97"/>
  <c r="J34" i="97"/>
  <c r="H34" i="97"/>
  <c r="G34" i="97"/>
  <c r="F34" i="97"/>
  <c r="E34" i="97"/>
  <c r="L33" i="97"/>
  <c r="K33" i="97"/>
  <c r="I33" i="97"/>
  <c r="G33" i="97"/>
  <c r="F33" i="97"/>
  <c r="E33" i="97"/>
  <c r="C33" i="97"/>
  <c r="L32" i="97"/>
  <c r="K32" i="97"/>
  <c r="J32" i="97"/>
  <c r="H32" i="97"/>
  <c r="F32" i="97"/>
  <c r="D32" i="97"/>
  <c r="C32" i="97"/>
  <c r="L31" i="97"/>
  <c r="J31" i="97"/>
  <c r="I31" i="97"/>
  <c r="H31" i="97"/>
  <c r="G31" i="97"/>
  <c r="F31" i="97"/>
  <c r="E31" i="97"/>
  <c r="M31" i="97" s="1"/>
  <c r="O31" i="97" s="1"/>
  <c r="L30" i="97"/>
  <c r="J30" i="97"/>
  <c r="G30" i="97"/>
  <c r="M30" i="97"/>
  <c r="O30" i="97" s="1"/>
  <c r="L29" i="97"/>
  <c r="H29" i="97"/>
  <c r="G29" i="97"/>
  <c r="L28" i="97"/>
  <c r="K28" i="97"/>
  <c r="G28" i="97"/>
  <c r="E28" i="97"/>
  <c r="D28" i="97"/>
  <c r="M28" i="97" s="1"/>
  <c r="O28" i="97" s="1"/>
  <c r="L27" i="97"/>
  <c r="J27" i="97"/>
  <c r="H27" i="97"/>
  <c r="G27" i="97"/>
  <c r="F27" i="97"/>
  <c r="E27" i="97"/>
  <c r="L26" i="97"/>
  <c r="J26" i="97"/>
  <c r="H26" i="97"/>
  <c r="G26" i="97"/>
  <c r="F26" i="97"/>
  <c r="D26" i="97"/>
  <c r="J25" i="97"/>
  <c r="H25" i="97"/>
  <c r="F25" i="97"/>
  <c r="E25" i="97"/>
  <c r="D25" i="97"/>
  <c r="C25" i="97"/>
  <c r="L24" i="97"/>
  <c r="J24" i="97"/>
  <c r="G24" i="97"/>
  <c r="D24" i="97"/>
  <c r="L23" i="97"/>
  <c r="K23" i="97"/>
  <c r="J23" i="97"/>
  <c r="I23" i="97"/>
  <c r="H23" i="97"/>
  <c r="M23" i="97" s="1"/>
  <c r="O23" i="97" s="1"/>
  <c r="D23" i="97"/>
  <c r="C23" i="97"/>
  <c r="J22" i="97"/>
  <c r="H22" i="97"/>
  <c r="G22" i="97"/>
  <c r="L21" i="97"/>
  <c r="J21" i="97"/>
  <c r="H21" i="97"/>
  <c r="G21" i="97"/>
  <c r="L20" i="97"/>
  <c r="J20" i="97"/>
  <c r="G20" i="97"/>
  <c r="M20" i="97" s="1"/>
  <c r="O20" i="97" s="1"/>
  <c r="E20" i="97"/>
  <c r="D20" i="97"/>
  <c r="L19" i="97"/>
  <c r="K19" i="97"/>
  <c r="J19" i="97"/>
  <c r="G19" i="97"/>
  <c r="C19" i="97"/>
  <c r="L18" i="97"/>
  <c r="K18" i="97"/>
  <c r="J18" i="97"/>
  <c r="H18" i="97"/>
  <c r="G18" i="97"/>
  <c r="F18" i="97"/>
  <c r="E18" i="97"/>
  <c r="C18" i="97"/>
  <c r="L17" i="97"/>
  <c r="K17" i="97"/>
  <c r="J17" i="97"/>
  <c r="H17" i="97"/>
  <c r="G17" i="97"/>
  <c r="F17" i="97"/>
  <c r="E17" i="97"/>
  <c r="D17" i="97"/>
  <c r="C17" i="97"/>
  <c r="L16" i="97"/>
  <c r="J16" i="97"/>
  <c r="G16" i="97"/>
  <c r="D16" i="97"/>
  <c r="M16" i="97" s="1"/>
  <c r="O16" i="97" s="1"/>
  <c r="J15" i="97"/>
  <c r="H15" i="97"/>
  <c r="G15" i="97"/>
  <c r="J14" i="97"/>
  <c r="H14" i="97"/>
  <c r="G14" i="97"/>
  <c r="L13" i="97"/>
  <c r="K13" i="97"/>
  <c r="J13" i="97"/>
  <c r="G13" i="97"/>
  <c r="F13" i="97"/>
  <c r="L12" i="97"/>
  <c r="J12" i="97"/>
  <c r="H12" i="97"/>
  <c r="F12" i="97"/>
  <c r="E12" i="97"/>
  <c r="C12" i="97"/>
  <c r="L11" i="97"/>
  <c r="K11" i="97"/>
  <c r="J11" i="97"/>
  <c r="J39" i="97" s="1"/>
  <c r="H11" i="97"/>
  <c r="G11" i="97"/>
  <c r="E11" i="97"/>
  <c r="D11" i="97"/>
  <c r="M11" i="97" s="1"/>
  <c r="O11" i="97" s="1"/>
  <c r="C11" i="97"/>
  <c r="L10" i="97"/>
  <c r="H10" i="97"/>
  <c r="G10" i="97"/>
  <c r="M10" i="97" s="1"/>
  <c r="O10" i="97" s="1"/>
  <c r="F10" i="97"/>
  <c r="E10" i="97"/>
  <c r="D10" i="97"/>
  <c r="L9" i="97"/>
  <c r="L39" i="97" s="1"/>
  <c r="J9" i="97"/>
  <c r="H9" i="97"/>
  <c r="G9" i="97"/>
  <c r="D9" i="97"/>
  <c r="M9" i="97" s="1"/>
  <c r="O9" i="97" s="1"/>
  <c r="C9" i="97"/>
  <c r="L8" i="97"/>
  <c r="J8" i="97"/>
  <c r="H8" i="97"/>
  <c r="H39" i="97" s="1"/>
  <c r="G7" i="97"/>
  <c r="S59" i="97"/>
  <c r="K50" i="97"/>
  <c r="I50" i="97"/>
  <c r="G50" i="97"/>
  <c r="E50" i="97"/>
  <c r="D50" i="97"/>
  <c r="N48" i="97"/>
  <c r="O48" i="97" s="1"/>
  <c r="O47" i="97"/>
  <c r="M47" i="97"/>
  <c r="M46" i="97"/>
  <c r="O46" i="97" s="1"/>
  <c r="O45" i="97"/>
  <c r="N39" i="97"/>
  <c r="M38" i="97"/>
  <c r="M37" i="97"/>
  <c r="O37" i="97" s="1"/>
  <c r="M36" i="97"/>
  <c r="O36" i="97" s="1"/>
  <c r="M35" i="97"/>
  <c r="O35" i="97" s="1"/>
  <c r="M27" i="97"/>
  <c r="O27" i="97" s="1"/>
  <c r="D39" i="97"/>
  <c r="B8" i="97"/>
  <c r="B9" i="97" s="1"/>
  <c r="B10" i="97" s="1"/>
  <c r="B11" i="97" s="1"/>
  <c r="B12" i="97" s="1"/>
  <c r="B13" i="97" s="1"/>
  <c r="B14" i="97" s="1"/>
  <c r="B15" i="97" s="1"/>
  <c r="B16" i="97" s="1"/>
  <c r="B17" i="97" s="1"/>
  <c r="B18" i="97" s="1"/>
  <c r="B19" i="97" s="1"/>
  <c r="B20" i="97" s="1"/>
  <c r="B21" i="97" s="1"/>
  <c r="B22" i="97" s="1"/>
  <c r="B23" i="97" s="1"/>
  <c r="B24" i="97" s="1"/>
  <c r="B25" i="97" s="1"/>
  <c r="B26" i="97" s="1"/>
  <c r="B27" i="97" s="1"/>
  <c r="B28" i="97" s="1"/>
  <c r="B29" i="97" s="1"/>
  <c r="B30" i="97" s="1"/>
  <c r="B31" i="97" s="1"/>
  <c r="B32" i="97" s="1"/>
  <c r="B33" i="97" s="1"/>
  <c r="B34" i="97" s="1"/>
  <c r="B35" i="97" s="1"/>
  <c r="B36" i="97" s="1"/>
  <c r="B37" i="97" s="1"/>
  <c r="M7" i="97"/>
  <c r="O7" i="97" s="1"/>
  <c r="K39" i="97" l="1"/>
  <c r="F39" i="97"/>
  <c r="M25" i="97"/>
  <c r="O25" i="97" s="1"/>
  <c r="M26" i="97"/>
  <c r="O26" i="97" s="1"/>
  <c r="M29" i="97"/>
  <c r="O29" i="97" s="1"/>
  <c r="M12" i="97"/>
  <c r="O12" i="97" s="1"/>
  <c r="G39" i="97"/>
  <c r="M17" i="97"/>
  <c r="O17" i="97" s="1"/>
  <c r="M18" i="97"/>
  <c r="O18" i="97" s="1"/>
  <c r="M19" i="97"/>
  <c r="O19" i="97" s="1"/>
  <c r="M24" i="97"/>
  <c r="O24" i="97" s="1"/>
  <c r="I39" i="97"/>
  <c r="I40" i="97" s="1"/>
  <c r="M34" i="97"/>
  <c r="O34" i="97" s="1"/>
  <c r="D55" i="97"/>
  <c r="M13" i="97"/>
  <c r="O13" i="97" s="1"/>
  <c r="M14" i="97"/>
  <c r="O14" i="97" s="1"/>
  <c r="M15" i="97"/>
  <c r="O15" i="97" s="1"/>
  <c r="M21" i="97"/>
  <c r="O21" i="97" s="1"/>
  <c r="M22" i="97"/>
  <c r="O22" i="97" s="1"/>
  <c r="M32" i="97"/>
  <c r="O32" i="97" s="1"/>
  <c r="M33" i="97"/>
  <c r="O33" i="97" s="1"/>
  <c r="G51" i="97"/>
  <c r="K51" i="97"/>
  <c r="I51" i="97"/>
  <c r="E51" i="97"/>
  <c r="M8" i="97"/>
  <c r="O8" i="97" s="1"/>
  <c r="G40" i="97"/>
  <c r="D51" i="97"/>
  <c r="K40" i="97"/>
  <c r="E39" i="97"/>
  <c r="E40" i="97" s="1"/>
  <c r="M39" i="97"/>
  <c r="O39" i="97" s="1"/>
  <c r="C39" i="97"/>
  <c r="S59" i="96"/>
  <c r="D52" i="97" l="1"/>
  <c r="C60" i="97" s="1"/>
  <c r="C55" i="97"/>
  <c r="C56" i="97" s="1"/>
  <c r="C40" i="97"/>
  <c r="N48" i="96"/>
  <c r="H48" i="96"/>
  <c r="M38" i="96"/>
  <c r="L37" i="96"/>
  <c r="J37" i="96"/>
  <c r="I37" i="96"/>
  <c r="H37" i="96"/>
  <c r="G37" i="96"/>
  <c r="F37" i="96"/>
  <c r="C37" i="96"/>
  <c r="L36" i="96"/>
  <c r="K36" i="96"/>
  <c r="J36" i="96"/>
  <c r="I36" i="96"/>
  <c r="H36" i="96"/>
  <c r="G36" i="96"/>
  <c r="D36" i="96"/>
  <c r="L35" i="96"/>
  <c r="H35" i="96"/>
  <c r="G35" i="96"/>
  <c r="F35" i="96"/>
  <c r="M35" i="96" s="1"/>
  <c r="O35" i="96" s="1"/>
  <c r="E35" i="96"/>
  <c r="L34" i="96"/>
  <c r="J34" i="96"/>
  <c r="I34" i="96"/>
  <c r="H34" i="96"/>
  <c r="G34" i="96"/>
  <c r="F34" i="96"/>
  <c r="E34" i="96"/>
  <c r="C34" i="96"/>
  <c r="L33" i="96"/>
  <c r="K33" i="96"/>
  <c r="J33" i="96"/>
  <c r="H33" i="96"/>
  <c r="G33" i="96"/>
  <c r="C33" i="96"/>
  <c r="L32" i="96"/>
  <c r="J32" i="96"/>
  <c r="H32" i="96"/>
  <c r="G32" i="96"/>
  <c r="D32" i="96"/>
  <c r="L31" i="96"/>
  <c r="K31" i="96"/>
  <c r="H31" i="96"/>
  <c r="G31" i="96"/>
  <c r="M31" i="96" s="1"/>
  <c r="O31" i="96" s="1"/>
  <c r="L30" i="96"/>
  <c r="K30" i="96"/>
  <c r="J30" i="96"/>
  <c r="H30" i="96"/>
  <c r="F30" i="96"/>
  <c r="E30" i="96"/>
  <c r="D30" i="96"/>
  <c r="L29" i="96"/>
  <c r="K29" i="96"/>
  <c r="J29" i="96"/>
  <c r="H29" i="96"/>
  <c r="G29" i="96"/>
  <c r="F29" i="96"/>
  <c r="D29" i="96"/>
  <c r="C29" i="96"/>
  <c r="L28" i="96"/>
  <c r="K28" i="96"/>
  <c r="J28" i="96"/>
  <c r="H28" i="96"/>
  <c r="G28" i="96"/>
  <c r="F28" i="96"/>
  <c r="E28" i="96"/>
  <c r="D28" i="96"/>
  <c r="L27" i="96"/>
  <c r="J27" i="96"/>
  <c r="H27" i="96"/>
  <c r="F27" i="96"/>
  <c r="D27" i="96"/>
  <c r="C27" i="96"/>
  <c r="L26" i="96"/>
  <c r="J26" i="96"/>
  <c r="H26" i="96"/>
  <c r="G26" i="96"/>
  <c r="D26" i="96"/>
  <c r="J25" i="96"/>
  <c r="H25" i="96"/>
  <c r="G25" i="96"/>
  <c r="L24" i="96"/>
  <c r="J24" i="96"/>
  <c r="H24" i="96"/>
  <c r="G24" i="96"/>
  <c r="F24" i="96"/>
  <c r="M24" i="96" s="1"/>
  <c r="O24" i="96" s="1"/>
  <c r="M23" i="96"/>
  <c r="O23" i="96" s="1"/>
  <c r="L23" i="96"/>
  <c r="K23" i="96"/>
  <c r="J23" i="96"/>
  <c r="H23" i="96"/>
  <c r="G23" i="96"/>
  <c r="C23" i="96"/>
  <c r="L22" i="96"/>
  <c r="K22" i="96"/>
  <c r="J22" i="96"/>
  <c r="I22" i="96"/>
  <c r="H22" i="96"/>
  <c r="G22" i="96"/>
  <c r="F22" i="96"/>
  <c r="E22" i="96"/>
  <c r="C22" i="96"/>
  <c r="L21" i="96"/>
  <c r="K21" i="96"/>
  <c r="J21" i="96"/>
  <c r="H21" i="96"/>
  <c r="G21" i="96"/>
  <c r="E21" i="96"/>
  <c r="D21" i="96"/>
  <c r="C21" i="96"/>
  <c r="L20" i="96"/>
  <c r="K20" i="96"/>
  <c r="J20" i="96"/>
  <c r="I20" i="96"/>
  <c r="H20" i="96"/>
  <c r="G20" i="96"/>
  <c r="F20" i="96"/>
  <c r="C20" i="96"/>
  <c r="L19" i="96"/>
  <c r="K19" i="96"/>
  <c r="J19" i="96"/>
  <c r="H19" i="96"/>
  <c r="G19" i="96"/>
  <c r="M19" i="96" s="1"/>
  <c r="O19" i="96" s="1"/>
  <c r="F19" i="96"/>
  <c r="D19" i="96"/>
  <c r="L18" i="96"/>
  <c r="K18" i="96"/>
  <c r="I18" i="96"/>
  <c r="H18" i="96"/>
  <c r="J17" i="96"/>
  <c r="H17" i="96"/>
  <c r="F17" i="96"/>
  <c r="E17" i="96"/>
  <c r="M17" i="96" s="1"/>
  <c r="O17" i="96" s="1"/>
  <c r="L16" i="96"/>
  <c r="K16" i="96"/>
  <c r="H16" i="96"/>
  <c r="G16" i="96"/>
  <c r="F16" i="96"/>
  <c r="M16" i="96" s="1"/>
  <c r="O16" i="96" s="1"/>
  <c r="E16" i="96"/>
  <c r="L15" i="96"/>
  <c r="J15" i="96"/>
  <c r="H15" i="96"/>
  <c r="G15" i="96"/>
  <c r="E15" i="96"/>
  <c r="D15" i="96"/>
  <c r="M15" i="96" s="1"/>
  <c r="O15" i="96" s="1"/>
  <c r="C15" i="96"/>
  <c r="L14" i="96"/>
  <c r="K14" i="96"/>
  <c r="J14" i="96"/>
  <c r="H14" i="96"/>
  <c r="G14" i="96"/>
  <c r="F14" i="96"/>
  <c r="D14" i="96"/>
  <c r="M14" i="96" s="1"/>
  <c r="O14" i="96" s="1"/>
  <c r="L13" i="96"/>
  <c r="H13" i="96"/>
  <c r="G13" i="96"/>
  <c r="C13" i="96"/>
  <c r="M13" i="96" s="1"/>
  <c r="O13" i="96" s="1"/>
  <c r="L12" i="96"/>
  <c r="K12" i="96"/>
  <c r="H12" i="96"/>
  <c r="G12" i="96"/>
  <c r="F12" i="96"/>
  <c r="E12" i="96"/>
  <c r="D12" i="96"/>
  <c r="C12" i="96"/>
  <c r="H11" i="96"/>
  <c r="G11" i="96"/>
  <c r="F11" i="96"/>
  <c r="E11" i="96"/>
  <c r="J10" i="96"/>
  <c r="H10" i="96"/>
  <c r="G10" i="96"/>
  <c r="E10" i="96"/>
  <c r="L9" i="96"/>
  <c r="K9" i="96"/>
  <c r="J9" i="96"/>
  <c r="H9" i="96"/>
  <c r="G9" i="96"/>
  <c r="F9" i="96"/>
  <c r="E9" i="96"/>
  <c r="M8" i="96"/>
  <c r="O8" i="96" s="1"/>
  <c r="B8" i="96"/>
  <c r="B9" i="96" s="1"/>
  <c r="B10" i="96" s="1"/>
  <c r="B11" i="96" s="1"/>
  <c r="B12" i="96" s="1"/>
  <c r="B13" i="96" s="1"/>
  <c r="B14" i="96" s="1"/>
  <c r="B15" i="96" s="1"/>
  <c r="B16" i="96" s="1"/>
  <c r="B17" i="96" s="1"/>
  <c r="B18" i="96" s="1"/>
  <c r="B19" i="96" s="1"/>
  <c r="B20" i="96" s="1"/>
  <c r="B21" i="96" s="1"/>
  <c r="B22" i="96" s="1"/>
  <c r="B23" i="96" s="1"/>
  <c r="B24" i="96" s="1"/>
  <c r="B25" i="96" s="1"/>
  <c r="B26" i="96" s="1"/>
  <c r="B27" i="96" s="1"/>
  <c r="B28" i="96" s="1"/>
  <c r="B29" i="96" s="1"/>
  <c r="B30" i="96" s="1"/>
  <c r="B31" i="96" s="1"/>
  <c r="B32" i="96" s="1"/>
  <c r="B33" i="96" s="1"/>
  <c r="B34" i="96" s="1"/>
  <c r="B35" i="96" s="1"/>
  <c r="B36" i="96" s="1"/>
  <c r="B37" i="96" s="1"/>
  <c r="O7" i="96"/>
  <c r="M7" i="96"/>
  <c r="M20" i="96" l="1"/>
  <c r="O20" i="96" s="1"/>
  <c r="M21" i="96"/>
  <c r="O21" i="96" s="1"/>
  <c r="M28" i="96"/>
  <c r="O28" i="96" s="1"/>
  <c r="M29" i="96"/>
  <c r="O29" i="96" s="1"/>
  <c r="M30" i="96"/>
  <c r="O30" i="96" s="1"/>
  <c r="M32" i="96"/>
  <c r="O32" i="96" s="1"/>
  <c r="M18" i="96"/>
  <c r="O18" i="96" s="1"/>
  <c r="M22" i="96"/>
  <c r="O22" i="96" s="1"/>
  <c r="M26" i="96"/>
  <c r="O26" i="96" s="1"/>
  <c r="M36" i="96"/>
  <c r="O36" i="96" s="1"/>
  <c r="M9" i="96"/>
  <c r="O9" i="96" s="1"/>
  <c r="M10" i="96"/>
  <c r="O10" i="96" s="1"/>
  <c r="M11" i="96"/>
  <c r="O11" i="96" s="1"/>
  <c r="M12" i="96"/>
  <c r="O12" i="96" s="1"/>
  <c r="M25" i="96"/>
  <c r="O25" i="96" s="1"/>
  <c r="M27" i="96"/>
  <c r="O27" i="96" s="1"/>
  <c r="M33" i="96"/>
  <c r="O33" i="96" s="1"/>
  <c r="M34" i="96"/>
  <c r="O34" i="96" s="1"/>
  <c r="M37" i="96"/>
  <c r="O37" i="96" s="1"/>
  <c r="K50" i="96"/>
  <c r="I50" i="96"/>
  <c r="G50" i="96"/>
  <c r="E50" i="96"/>
  <c r="D50" i="96"/>
  <c r="O48" i="96"/>
  <c r="M47" i="96"/>
  <c r="O47" i="96" s="1"/>
  <c r="M46" i="96"/>
  <c r="O46" i="96" s="1"/>
  <c r="O45" i="96"/>
  <c r="N39" i="96"/>
  <c r="K39" i="96"/>
  <c r="L39" i="96"/>
  <c r="F39" i="96"/>
  <c r="E39" i="96"/>
  <c r="D39" i="96"/>
  <c r="J39" i="96"/>
  <c r="I39" i="96"/>
  <c r="H39" i="96"/>
  <c r="G51" i="96" l="1"/>
  <c r="E51" i="96"/>
  <c r="K51" i="96"/>
  <c r="I51" i="96"/>
  <c r="M39" i="96"/>
  <c r="O39" i="96" s="1"/>
  <c r="D51" i="96"/>
  <c r="D55" i="96"/>
  <c r="I40" i="96"/>
  <c r="E40" i="96"/>
  <c r="K40" i="96"/>
  <c r="C39" i="96"/>
  <c r="G39" i="96"/>
  <c r="G40" i="96" s="1"/>
  <c r="M38" i="95"/>
  <c r="M37" i="95"/>
  <c r="O37" i="95" s="1"/>
  <c r="L36" i="95"/>
  <c r="K36" i="95"/>
  <c r="I36" i="95"/>
  <c r="H36" i="95"/>
  <c r="F36" i="95"/>
  <c r="M35" i="95"/>
  <c r="O35" i="95" s="1"/>
  <c r="H35" i="95"/>
  <c r="G35" i="95"/>
  <c r="H34" i="95"/>
  <c r="M34" i="95" s="1"/>
  <c r="O34" i="95" s="1"/>
  <c r="L33" i="95"/>
  <c r="J33" i="95"/>
  <c r="I33" i="95"/>
  <c r="H33" i="95"/>
  <c r="M33" i="95" s="1"/>
  <c r="O33" i="95" s="1"/>
  <c r="J32" i="95"/>
  <c r="I32" i="95"/>
  <c r="H32" i="95"/>
  <c r="G32" i="95"/>
  <c r="M32" i="95" s="1"/>
  <c r="O32" i="95" s="1"/>
  <c r="L31" i="95"/>
  <c r="J31" i="95"/>
  <c r="H31" i="95"/>
  <c r="G31" i="95"/>
  <c r="M31" i="95" s="1"/>
  <c r="O31" i="95" s="1"/>
  <c r="L30" i="95"/>
  <c r="J30" i="95"/>
  <c r="H30" i="95"/>
  <c r="G30" i="95"/>
  <c r="M30" i="95" s="1"/>
  <c r="O30" i="95" s="1"/>
  <c r="J29" i="95"/>
  <c r="H29" i="95"/>
  <c r="G29" i="95"/>
  <c r="L28" i="95"/>
  <c r="J28" i="95"/>
  <c r="H28" i="95"/>
  <c r="G28" i="95"/>
  <c r="H27" i="95"/>
  <c r="G27" i="95"/>
  <c r="J26" i="95"/>
  <c r="H26" i="95"/>
  <c r="G26" i="95"/>
  <c r="M26" i="95" s="1"/>
  <c r="O26" i="95" s="1"/>
  <c r="L25" i="95"/>
  <c r="J25" i="95"/>
  <c r="I25" i="95"/>
  <c r="H25" i="95"/>
  <c r="M25" i="95" s="1"/>
  <c r="O25" i="95" s="1"/>
  <c r="L24" i="95"/>
  <c r="J24" i="95"/>
  <c r="H24" i="95"/>
  <c r="G24" i="95"/>
  <c r="M24" i="95" s="1"/>
  <c r="O24" i="95" s="1"/>
  <c r="I23" i="95"/>
  <c r="M23" i="95" s="1"/>
  <c r="O23" i="95" s="1"/>
  <c r="H23" i="95"/>
  <c r="L22" i="95"/>
  <c r="J22" i="95"/>
  <c r="H22" i="95"/>
  <c r="J21" i="95"/>
  <c r="H21" i="95"/>
  <c r="G21" i="95"/>
  <c r="M21" i="95" s="1"/>
  <c r="O21" i="95" s="1"/>
  <c r="L20" i="95"/>
  <c r="J20" i="95"/>
  <c r="H20" i="95"/>
  <c r="G20" i="95"/>
  <c r="L19" i="95"/>
  <c r="J19" i="95"/>
  <c r="H19" i="95"/>
  <c r="G19" i="95"/>
  <c r="F19" i="95"/>
  <c r="L18" i="95"/>
  <c r="J18" i="95"/>
  <c r="H18" i="95"/>
  <c r="G18" i="95"/>
  <c r="F18" i="95"/>
  <c r="E18" i="95"/>
  <c r="C18" i="95"/>
  <c r="L17" i="95"/>
  <c r="K17" i="95"/>
  <c r="J17" i="95"/>
  <c r="H17" i="95"/>
  <c r="G17" i="95"/>
  <c r="F17" i="95"/>
  <c r="E17" i="95"/>
  <c r="D17" i="95"/>
  <c r="L16" i="95"/>
  <c r="J16" i="95"/>
  <c r="H16" i="95"/>
  <c r="F16" i="95"/>
  <c r="D16" i="95"/>
  <c r="L15" i="95"/>
  <c r="J15" i="95"/>
  <c r="H15" i="95"/>
  <c r="G15" i="95"/>
  <c r="F15" i="95"/>
  <c r="L14" i="95"/>
  <c r="M14" i="95" s="1"/>
  <c r="O14" i="95" s="1"/>
  <c r="J14" i="95"/>
  <c r="H14" i="95"/>
  <c r="G14" i="95"/>
  <c r="L13" i="95"/>
  <c r="J13" i="95"/>
  <c r="H13" i="95"/>
  <c r="L12" i="95"/>
  <c r="K12" i="95"/>
  <c r="J12" i="95"/>
  <c r="H12" i="95"/>
  <c r="G12" i="95"/>
  <c r="F12" i="95"/>
  <c r="E12" i="95"/>
  <c r="D12" i="95"/>
  <c r="L11" i="95"/>
  <c r="I11" i="95"/>
  <c r="H11" i="95"/>
  <c r="G11" i="95"/>
  <c r="F11" i="95"/>
  <c r="E11" i="95"/>
  <c r="E39" i="95" s="1"/>
  <c r="D11" i="95"/>
  <c r="C11" i="95"/>
  <c r="L10" i="95"/>
  <c r="K10" i="95"/>
  <c r="K39" i="95" s="1"/>
  <c r="J10" i="95"/>
  <c r="I10" i="95"/>
  <c r="H10" i="95"/>
  <c r="F10" i="95"/>
  <c r="E10" i="95"/>
  <c r="C10" i="95"/>
  <c r="L9" i="95"/>
  <c r="J9" i="95"/>
  <c r="H9" i="95"/>
  <c r="G9" i="95"/>
  <c r="F9" i="95"/>
  <c r="M9" i="95" s="1"/>
  <c r="O9" i="95" s="1"/>
  <c r="C9" i="95"/>
  <c r="J8" i="95"/>
  <c r="I8" i="95"/>
  <c r="H8" i="95"/>
  <c r="G8" i="95"/>
  <c r="F8" i="95"/>
  <c r="E8" i="95"/>
  <c r="D8" i="95"/>
  <c r="D39" i="95" s="1"/>
  <c r="J7" i="95"/>
  <c r="I7" i="95"/>
  <c r="H7" i="95"/>
  <c r="G7" i="95"/>
  <c r="M7" i="95" s="1"/>
  <c r="O7" i="95" s="1"/>
  <c r="K50" i="95"/>
  <c r="I50" i="95"/>
  <c r="G50" i="95"/>
  <c r="E50" i="95"/>
  <c r="D50" i="95"/>
  <c r="O48" i="95"/>
  <c r="M47" i="95"/>
  <c r="O47" i="95" s="1"/>
  <c r="M46" i="95"/>
  <c r="O46" i="95" s="1"/>
  <c r="O45" i="95"/>
  <c r="N39" i="95"/>
  <c r="B8" i="95"/>
  <c r="B9" i="95" s="1"/>
  <c r="B10" i="95" s="1"/>
  <c r="B11" i="95" s="1"/>
  <c r="B12" i="95" s="1"/>
  <c r="B13" i="95" s="1"/>
  <c r="B14" i="95" s="1"/>
  <c r="B15" i="95" s="1"/>
  <c r="B16" i="95" s="1"/>
  <c r="B17" i="95" s="1"/>
  <c r="B18" i="95" s="1"/>
  <c r="B19" i="95" s="1"/>
  <c r="B20" i="95" s="1"/>
  <c r="B21" i="95" s="1"/>
  <c r="B22" i="95" s="1"/>
  <c r="B23" i="95" s="1"/>
  <c r="B24" i="95" s="1"/>
  <c r="B25" i="95" s="1"/>
  <c r="B26" i="95" s="1"/>
  <c r="B27" i="95" s="1"/>
  <c r="B28" i="95" s="1"/>
  <c r="B29" i="95" s="1"/>
  <c r="B30" i="95" s="1"/>
  <c r="B31" i="95" s="1"/>
  <c r="B32" i="95" s="1"/>
  <c r="B33" i="95" s="1"/>
  <c r="B34" i="95" s="1"/>
  <c r="B35" i="95" s="1"/>
  <c r="B36" i="95" s="1"/>
  <c r="D7" i="94"/>
  <c r="E7" i="94"/>
  <c r="F7" i="94"/>
  <c r="G7" i="94"/>
  <c r="H7" i="94"/>
  <c r="I7" i="94"/>
  <c r="J7" i="94"/>
  <c r="H8" i="94"/>
  <c r="J8" i="94"/>
  <c r="L8" i="94"/>
  <c r="D9" i="94"/>
  <c r="H9" i="94"/>
  <c r="J9" i="94"/>
  <c r="L9" i="94"/>
  <c r="G10" i="94"/>
  <c r="H10" i="94"/>
  <c r="J10" i="94"/>
  <c r="L10" i="94"/>
  <c r="D11" i="94"/>
  <c r="G11" i="94"/>
  <c r="H11" i="94"/>
  <c r="I11" i="94"/>
  <c r="J11" i="94"/>
  <c r="L11" i="94"/>
  <c r="D12" i="94"/>
  <c r="F12" i="94"/>
  <c r="G12" i="94"/>
  <c r="H12" i="94"/>
  <c r="J12" i="94"/>
  <c r="L12" i="94"/>
  <c r="D13" i="94"/>
  <c r="H13" i="94"/>
  <c r="J13" i="94"/>
  <c r="K13" i="94"/>
  <c r="L13" i="94"/>
  <c r="D14" i="94"/>
  <c r="G14" i="94"/>
  <c r="H14" i="94"/>
  <c r="J14" i="94"/>
  <c r="L14" i="94"/>
  <c r="G15" i="94"/>
  <c r="H15" i="94"/>
  <c r="J15" i="94"/>
  <c r="G16" i="94"/>
  <c r="H16" i="94"/>
  <c r="C17" i="94"/>
  <c r="D17" i="94"/>
  <c r="G17" i="94"/>
  <c r="H17" i="94"/>
  <c r="J17" i="94"/>
  <c r="K17" i="94"/>
  <c r="L17" i="94"/>
  <c r="D18" i="94"/>
  <c r="F18" i="94"/>
  <c r="G18" i="94"/>
  <c r="H18" i="94"/>
  <c r="C19" i="94"/>
  <c r="E19" i="94"/>
  <c r="F19" i="94"/>
  <c r="H19" i="94"/>
  <c r="J19" i="94"/>
  <c r="K19" i="94"/>
  <c r="L19" i="94"/>
  <c r="C20" i="94"/>
  <c r="F20" i="94"/>
  <c r="G20" i="94"/>
  <c r="H20" i="94"/>
  <c r="J20" i="94"/>
  <c r="K20" i="94"/>
  <c r="L20" i="94"/>
  <c r="C21" i="94"/>
  <c r="D21" i="94"/>
  <c r="E21" i="94"/>
  <c r="F21" i="94"/>
  <c r="G21" i="94"/>
  <c r="H21" i="94"/>
  <c r="I21" i="94"/>
  <c r="J21" i="94"/>
  <c r="K21" i="94"/>
  <c r="L21" i="94"/>
  <c r="E22" i="94"/>
  <c r="F22" i="94"/>
  <c r="G22" i="94"/>
  <c r="H22" i="94"/>
  <c r="I22" i="94"/>
  <c r="J22" i="94"/>
  <c r="C23" i="94"/>
  <c r="F23" i="94"/>
  <c r="G23" i="94"/>
  <c r="H23" i="94"/>
  <c r="J23" i="94"/>
  <c r="D24" i="94"/>
  <c r="G24" i="94"/>
  <c r="H24" i="94"/>
  <c r="J24" i="94"/>
  <c r="L24" i="94"/>
  <c r="C25" i="94"/>
  <c r="F25" i="94"/>
  <c r="G25" i="94"/>
  <c r="H25" i="94"/>
  <c r="J25" i="94"/>
  <c r="K25" i="94"/>
  <c r="D26" i="94"/>
  <c r="E26" i="94"/>
  <c r="F26" i="94"/>
  <c r="H26" i="94"/>
  <c r="I26" i="94"/>
  <c r="J26" i="94"/>
  <c r="K26" i="94"/>
  <c r="L26" i="94"/>
  <c r="D27" i="94"/>
  <c r="E27" i="94"/>
  <c r="F27" i="94"/>
  <c r="H27" i="94"/>
  <c r="J27" i="94"/>
  <c r="L27" i="94"/>
  <c r="D28" i="94"/>
  <c r="E28" i="94"/>
  <c r="F28" i="94"/>
  <c r="G28" i="94"/>
  <c r="H28" i="94"/>
  <c r="J28" i="94"/>
  <c r="L28" i="94"/>
  <c r="E29" i="94"/>
  <c r="F29" i="94"/>
  <c r="G29" i="94"/>
  <c r="H29" i="94"/>
  <c r="I29" i="94"/>
  <c r="J29" i="94"/>
  <c r="K29" i="94"/>
  <c r="L29" i="94"/>
  <c r="H30" i="94"/>
  <c r="I30" i="94"/>
  <c r="L30" i="94"/>
  <c r="D31" i="94"/>
  <c r="H31" i="94"/>
  <c r="I31" i="94"/>
  <c r="J31" i="94"/>
  <c r="K31" i="94"/>
  <c r="L31" i="94"/>
  <c r="D32" i="94"/>
  <c r="F32" i="94"/>
  <c r="G32" i="94"/>
  <c r="H32" i="94"/>
  <c r="I32" i="94"/>
  <c r="C33" i="94"/>
  <c r="D33" i="94"/>
  <c r="E33" i="94"/>
  <c r="F33" i="94"/>
  <c r="G33" i="94"/>
  <c r="H33" i="94"/>
  <c r="J33" i="94"/>
  <c r="L33" i="94"/>
  <c r="C34" i="94"/>
  <c r="G34" i="94"/>
  <c r="H34" i="94"/>
  <c r="I34" i="94"/>
  <c r="J34" i="94"/>
  <c r="C35" i="94"/>
  <c r="E35" i="94"/>
  <c r="F35" i="94"/>
  <c r="H35" i="94"/>
  <c r="I35" i="94"/>
  <c r="J35" i="94"/>
  <c r="L35" i="94"/>
  <c r="E36" i="94"/>
  <c r="G36" i="94"/>
  <c r="H36" i="94"/>
  <c r="I36" i="94"/>
  <c r="J36" i="94"/>
  <c r="K36" i="94"/>
  <c r="L36" i="94"/>
  <c r="F39" i="95" l="1"/>
  <c r="H39" i="95"/>
  <c r="L39" i="95"/>
  <c r="K51" i="95" s="1"/>
  <c r="M22" i="95"/>
  <c r="O22" i="95" s="1"/>
  <c r="M28" i="95"/>
  <c r="O28" i="95" s="1"/>
  <c r="M36" i="95"/>
  <c r="O36" i="95" s="1"/>
  <c r="J39" i="95"/>
  <c r="D55" i="95" s="1"/>
  <c r="I39" i="95"/>
  <c r="I40" i="95" s="1"/>
  <c r="M10" i="95"/>
  <c r="O10" i="95" s="1"/>
  <c r="M11" i="95"/>
  <c r="O11" i="95" s="1"/>
  <c r="M12" i="95"/>
  <c r="O12" i="95" s="1"/>
  <c r="M13" i="95"/>
  <c r="O13" i="95" s="1"/>
  <c r="M15" i="95"/>
  <c r="O15" i="95" s="1"/>
  <c r="M16" i="95"/>
  <c r="O16" i="95" s="1"/>
  <c r="M19" i="95"/>
  <c r="O19" i="95" s="1"/>
  <c r="K40" i="95"/>
  <c r="G39" i="95"/>
  <c r="M17" i="95"/>
  <c r="O17" i="95" s="1"/>
  <c r="M18" i="95"/>
  <c r="O18" i="95" s="1"/>
  <c r="M20" i="95"/>
  <c r="O20" i="95" s="1"/>
  <c r="M27" i="95"/>
  <c r="O27" i="95" s="1"/>
  <c r="M29" i="95"/>
  <c r="O29" i="95" s="1"/>
  <c r="D52" i="96"/>
  <c r="C60" i="96" s="1"/>
  <c r="C40" i="96"/>
  <c r="C55" i="96"/>
  <c r="C56" i="96" s="1"/>
  <c r="G51" i="95"/>
  <c r="E51" i="95"/>
  <c r="G40" i="95"/>
  <c r="M8" i="95"/>
  <c r="O8" i="95" s="1"/>
  <c r="E40" i="95"/>
  <c r="D51" i="95"/>
  <c r="C39" i="95"/>
  <c r="O48" i="94"/>
  <c r="I51" i="95" l="1"/>
  <c r="D52" i="95"/>
  <c r="C60" i="95" s="1"/>
  <c r="C55" i="95"/>
  <c r="C56" i="95" s="1"/>
  <c r="C40" i="95"/>
  <c r="M39" i="95"/>
  <c r="O39" i="95" s="1"/>
  <c r="N39" i="94"/>
  <c r="E39" i="94"/>
  <c r="M38" i="94"/>
  <c r="M37" i="94"/>
  <c r="O37" i="94" s="1"/>
  <c r="M36" i="94"/>
  <c r="O36" i="94" s="1"/>
  <c r="I39" i="94"/>
  <c r="M35" i="94"/>
  <c r="O35" i="94" s="1"/>
  <c r="M34" i="94"/>
  <c r="O34" i="94" s="1"/>
  <c r="M33" i="94"/>
  <c r="O33" i="94" s="1"/>
  <c r="M32" i="94"/>
  <c r="O32" i="94" s="1"/>
  <c r="M31" i="94"/>
  <c r="O31" i="94" s="1"/>
  <c r="M30" i="94"/>
  <c r="O30" i="94" s="1"/>
  <c r="M29" i="94"/>
  <c r="O29" i="94" s="1"/>
  <c r="M28" i="94"/>
  <c r="O28" i="94" s="1"/>
  <c r="M27" i="94"/>
  <c r="O27" i="94" s="1"/>
  <c r="M26" i="94"/>
  <c r="O26" i="94" s="1"/>
  <c r="M25" i="94"/>
  <c r="O25" i="94" s="1"/>
  <c r="M24" i="94"/>
  <c r="O24" i="94" s="1"/>
  <c r="M23" i="94"/>
  <c r="O23" i="94" s="1"/>
  <c r="M22" i="94"/>
  <c r="O22" i="94" s="1"/>
  <c r="M21" i="94"/>
  <c r="O21" i="94" s="1"/>
  <c r="M20" i="94"/>
  <c r="O20" i="94" s="1"/>
  <c r="M19" i="94"/>
  <c r="O19" i="94" s="1"/>
  <c r="M18" i="94"/>
  <c r="O18" i="94" s="1"/>
  <c r="C39" i="94"/>
  <c r="M16" i="94"/>
  <c r="O16" i="94" s="1"/>
  <c r="M15" i="94"/>
  <c r="O15" i="94" s="1"/>
  <c r="M14" i="94"/>
  <c r="O14" i="94" s="1"/>
  <c r="K39" i="94"/>
  <c r="M13" i="94"/>
  <c r="O13" i="94" s="1"/>
  <c r="M12" i="94"/>
  <c r="O12" i="94" s="1"/>
  <c r="M11" i="94"/>
  <c r="O11" i="94" s="1"/>
  <c r="M10" i="94"/>
  <c r="O10" i="94" s="1"/>
  <c r="M9" i="94"/>
  <c r="O9" i="94" s="1"/>
  <c r="L39" i="94"/>
  <c r="M8" i="94"/>
  <c r="O8" i="94" s="1"/>
  <c r="B8" i="94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J39" i="94"/>
  <c r="H39" i="94"/>
  <c r="G39" i="94"/>
  <c r="F39" i="94"/>
  <c r="D39" i="94"/>
  <c r="C40" i="94" l="1"/>
  <c r="G40" i="94"/>
  <c r="I40" i="94"/>
  <c r="E40" i="94"/>
  <c r="K40" i="94"/>
  <c r="M7" i="94"/>
  <c r="M17" i="94"/>
  <c r="O17" i="94" s="1"/>
  <c r="M39" i="94" l="1"/>
  <c r="O39" i="94" s="1"/>
  <c r="O7" i="94"/>
  <c r="K50" i="94" l="1"/>
  <c r="K51" i="94" s="1"/>
  <c r="I50" i="94"/>
  <c r="I51" i="94" s="1"/>
  <c r="G50" i="94"/>
  <c r="E50" i="94"/>
  <c r="E51" i="94" s="1"/>
  <c r="D50" i="94"/>
  <c r="M47" i="94"/>
  <c r="O47" i="94" s="1"/>
  <c r="M46" i="94"/>
  <c r="O46" i="94" s="1"/>
  <c r="O45" i="94"/>
  <c r="C55" i="94" l="1"/>
  <c r="D51" i="94"/>
  <c r="G51" i="94"/>
  <c r="D52" i="94" l="1"/>
  <c r="C60" i="94" s="1"/>
  <c r="D55" i="94"/>
  <c r="C56" i="94" s="1"/>
  <c r="N58" i="93"/>
  <c r="N57" i="93"/>
  <c r="N56" i="93"/>
  <c r="N55" i="93"/>
  <c r="N54" i="93"/>
  <c r="H29" i="93"/>
  <c r="L37" i="93" l="1"/>
  <c r="J37" i="93"/>
  <c r="I37" i="93"/>
  <c r="H37" i="93"/>
  <c r="G37" i="93"/>
  <c r="F37" i="93"/>
  <c r="E37" i="93"/>
  <c r="D37" i="93"/>
  <c r="H16" i="93" l="1"/>
  <c r="G16" i="93"/>
  <c r="F17" i="93"/>
  <c r="E17" i="93"/>
  <c r="J30" i="93"/>
  <c r="I30" i="93"/>
  <c r="H7" i="93" l="1"/>
  <c r="L36" i="93"/>
  <c r="K36" i="93"/>
  <c r="J36" i="93"/>
  <c r="H36" i="93"/>
  <c r="G36" i="93"/>
  <c r="F36" i="93"/>
  <c r="E36" i="93"/>
  <c r="L35" i="93"/>
  <c r="J35" i="93"/>
  <c r="H35" i="93"/>
  <c r="G35" i="93"/>
  <c r="F35" i="93"/>
  <c r="E35" i="93"/>
  <c r="D35" i="93"/>
  <c r="M35" i="93" l="1"/>
  <c r="O35" i="93" s="1"/>
  <c r="M36" i="93"/>
  <c r="O36" i="93" s="1"/>
  <c r="C30" i="93"/>
  <c r="F30" i="93"/>
  <c r="H22" i="93"/>
  <c r="J22" i="93"/>
  <c r="G22" i="93"/>
  <c r="G18" i="93" l="1"/>
  <c r="H18" i="93"/>
  <c r="D16" i="93"/>
  <c r="F16" i="93"/>
  <c r="C14" i="93"/>
  <c r="L34" i="93"/>
  <c r="J34" i="93"/>
  <c r="H34" i="93"/>
  <c r="M34" i="93" s="1"/>
  <c r="O34" i="93" s="1"/>
  <c r="G34" i="93"/>
  <c r="J33" i="93"/>
  <c r="H33" i="93"/>
  <c r="M33" i="93" s="1"/>
  <c r="O33" i="93" s="1"/>
  <c r="G33" i="93"/>
  <c r="F33" i="93"/>
  <c r="L32" i="93"/>
  <c r="J32" i="93"/>
  <c r="H32" i="93"/>
  <c r="F32" i="93"/>
  <c r="L31" i="93"/>
  <c r="J31" i="93"/>
  <c r="I31" i="93"/>
  <c r="H31" i="93"/>
  <c r="G31" i="93"/>
  <c r="D31" i="93"/>
  <c r="L30" i="93"/>
  <c r="H30" i="93"/>
  <c r="G30" i="93"/>
  <c r="E30" i="93"/>
  <c r="M30" i="93" s="1"/>
  <c r="O30" i="93" s="1"/>
  <c r="D30" i="93"/>
  <c r="L29" i="93"/>
  <c r="J29" i="93"/>
  <c r="I29" i="93"/>
  <c r="M29" i="93" s="1"/>
  <c r="O29" i="93" s="1"/>
  <c r="F29" i="93"/>
  <c r="L28" i="93"/>
  <c r="J28" i="93"/>
  <c r="H28" i="93"/>
  <c r="M28" i="93" s="1"/>
  <c r="O28" i="93" s="1"/>
  <c r="F28" i="93"/>
  <c r="D28" i="93"/>
  <c r="L27" i="93"/>
  <c r="K27" i="93"/>
  <c r="J27" i="93"/>
  <c r="H27" i="93"/>
  <c r="G27" i="93"/>
  <c r="D27" i="93"/>
  <c r="M27" i="93" s="1"/>
  <c r="O27" i="93" s="1"/>
  <c r="L26" i="93"/>
  <c r="H26" i="93"/>
  <c r="G26" i="93"/>
  <c r="L25" i="93"/>
  <c r="K25" i="93"/>
  <c r="J25" i="93"/>
  <c r="I25" i="93"/>
  <c r="H25" i="93"/>
  <c r="M25" i="93" s="1"/>
  <c r="O25" i="93" s="1"/>
  <c r="G25" i="93"/>
  <c r="L24" i="93"/>
  <c r="J24" i="93"/>
  <c r="H24" i="93"/>
  <c r="M24" i="93" s="1"/>
  <c r="O24" i="93" s="1"/>
  <c r="G24" i="93"/>
  <c r="F24" i="93"/>
  <c r="E24" i="93"/>
  <c r="L23" i="93"/>
  <c r="K23" i="93"/>
  <c r="J23" i="93"/>
  <c r="H23" i="93"/>
  <c r="G23" i="93"/>
  <c r="M23" i="93" s="1"/>
  <c r="O23" i="93" s="1"/>
  <c r="F23" i="93"/>
  <c r="L21" i="93"/>
  <c r="K21" i="93"/>
  <c r="J21" i="93"/>
  <c r="I21" i="93"/>
  <c r="H21" i="93"/>
  <c r="G21" i="93"/>
  <c r="F21" i="93"/>
  <c r="L20" i="93"/>
  <c r="K20" i="93"/>
  <c r="H20" i="93"/>
  <c r="M20" i="93" s="1"/>
  <c r="O20" i="93" s="1"/>
  <c r="D20" i="93"/>
  <c r="H19" i="93"/>
  <c r="G19" i="93"/>
  <c r="M19" i="93" s="1"/>
  <c r="O19" i="93" s="1"/>
  <c r="L18" i="93"/>
  <c r="J18" i="93"/>
  <c r="I18" i="93"/>
  <c r="L17" i="93"/>
  <c r="J17" i="93"/>
  <c r="H17" i="93"/>
  <c r="G17" i="93"/>
  <c r="D17" i="93"/>
  <c r="C17" i="93"/>
  <c r="M17" i="93" s="1"/>
  <c r="O17" i="93" s="1"/>
  <c r="L16" i="93"/>
  <c r="J16" i="93"/>
  <c r="L15" i="93"/>
  <c r="K15" i="93"/>
  <c r="J15" i="93"/>
  <c r="H15" i="93"/>
  <c r="G15" i="93"/>
  <c r="F15" i="93"/>
  <c r="M15" i="93" s="1"/>
  <c r="O15" i="93" s="1"/>
  <c r="D15" i="93"/>
  <c r="C15" i="93"/>
  <c r="J14" i="93"/>
  <c r="H14" i="93"/>
  <c r="F14" i="93"/>
  <c r="E14" i="93"/>
  <c r="L13" i="93"/>
  <c r="I13" i="93"/>
  <c r="I39" i="93" s="1"/>
  <c r="H13" i="93"/>
  <c r="G13" i="93"/>
  <c r="J12" i="93"/>
  <c r="H12" i="93"/>
  <c r="M12" i="93" s="1"/>
  <c r="O12" i="93" s="1"/>
  <c r="L11" i="93"/>
  <c r="H11" i="93"/>
  <c r="G11" i="93"/>
  <c r="L10" i="93"/>
  <c r="M10" i="93" s="1"/>
  <c r="O10" i="93" s="1"/>
  <c r="J10" i="93"/>
  <c r="H10" i="93"/>
  <c r="L9" i="93"/>
  <c r="L39" i="93" s="1"/>
  <c r="K51" i="93" s="1"/>
  <c r="J9" i="93"/>
  <c r="H9" i="93"/>
  <c r="L8" i="93"/>
  <c r="J8" i="93"/>
  <c r="M8" i="93" s="1"/>
  <c r="O8" i="93" s="1"/>
  <c r="H8" i="93"/>
  <c r="F8" i="93"/>
  <c r="L7" i="93"/>
  <c r="J7" i="93"/>
  <c r="K50" i="93"/>
  <c r="I50" i="93"/>
  <c r="G50" i="93"/>
  <c r="E50" i="93"/>
  <c r="D50" i="93"/>
  <c r="M47" i="93"/>
  <c r="O47" i="93" s="1"/>
  <c r="M46" i="93"/>
  <c r="O46" i="93" s="1"/>
  <c r="M45" i="93"/>
  <c r="O45" i="93" s="1"/>
  <c r="N39" i="93"/>
  <c r="M38" i="93"/>
  <c r="M37" i="93"/>
  <c r="O37" i="93" s="1"/>
  <c r="M32" i="93"/>
  <c r="O32" i="93" s="1"/>
  <c r="M26" i="93"/>
  <c r="O26" i="93" s="1"/>
  <c r="M22" i="93"/>
  <c r="O22" i="93" s="1"/>
  <c r="M21" i="93"/>
  <c r="O21" i="93" s="1"/>
  <c r="M14" i="93"/>
  <c r="O14" i="93" s="1"/>
  <c r="M11" i="93"/>
  <c r="O11" i="93" s="1"/>
  <c r="F39" i="93"/>
  <c r="B8" i="93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E39" i="93" l="1"/>
  <c r="C39" i="93"/>
  <c r="M31" i="93"/>
  <c r="O31" i="93" s="1"/>
  <c r="M16" i="93"/>
  <c r="O16" i="93" s="1"/>
  <c r="K39" i="93"/>
  <c r="M13" i="93"/>
  <c r="O13" i="93" s="1"/>
  <c r="H39" i="93"/>
  <c r="M9" i="93"/>
  <c r="O9" i="93" s="1"/>
  <c r="J39" i="93"/>
  <c r="E51" i="93"/>
  <c r="I51" i="93"/>
  <c r="G51" i="93"/>
  <c r="M18" i="93"/>
  <c r="O18" i="93" s="1"/>
  <c r="E40" i="93"/>
  <c r="I40" i="93"/>
  <c r="K40" i="93"/>
  <c r="M7" i="93"/>
  <c r="D39" i="93"/>
  <c r="G39" i="93"/>
  <c r="H32" i="91"/>
  <c r="H28" i="91"/>
  <c r="D55" i="93" l="1"/>
  <c r="G40" i="93"/>
  <c r="D51" i="93"/>
  <c r="D52" i="93" s="1"/>
  <c r="C60" i="93" s="1"/>
  <c r="C40" i="93"/>
  <c r="C55" i="93"/>
  <c r="C56" i="93" s="1"/>
  <c r="M39" i="93"/>
  <c r="O39" i="93" s="1"/>
  <c r="O7" i="93"/>
  <c r="I15" i="91"/>
  <c r="G15" i="91"/>
  <c r="H10" i="91"/>
  <c r="H36" i="91" l="1"/>
  <c r="L36" i="91"/>
  <c r="H34" i="91"/>
  <c r="H31" i="91"/>
  <c r="H30" i="91"/>
  <c r="H26" i="91"/>
  <c r="H23" i="91"/>
  <c r="H21" i="91"/>
  <c r="H19" i="91"/>
  <c r="H17" i="91"/>
  <c r="M17" i="91" s="1"/>
  <c r="O17" i="91" s="1"/>
  <c r="H35" i="91"/>
  <c r="G35" i="91"/>
  <c r="G34" i="91"/>
  <c r="H33" i="91"/>
  <c r="J33" i="91"/>
  <c r="F33" i="91"/>
  <c r="E33" i="91"/>
  <c r="G33" i="91"/>
  <c r="F32" i="91"/>
  <c r="G32" i="91"/>
  <c r="G31" i="91"/>
  <c r="J30" i="91"/>
  <c r="G30" i="91"/>
  <c r="H29" i="91"/>
  <c r="G29" i="91"/>
  <c r="L29" i="91"/>
  <c r="G28" i="91"/>
  <c r="J28" i="91"/>
  <c r="H27" i="91"/>
  <c r="G27" i="91"/>
  <c r="M26" i="91"/>
  <c r="O26" i="91" s="1"/>
  <c r="H25" i="91"/>
  <c r="J25" i="91"/>
  <c r="H24" i="91"/>
  <c r="G24" i="91"/>
  <c r="J23" i="91"/>
  <c r="H22" i="91"/>
  <c r="J22" i="91"/>
  <c r="G22" i="91"/>
  <c r="J21" i="91"/>
  <c r="G21" i="91"/>
  <c r="H20" i="91"/>
  <c r="M20" i="91" s="1"/>
  <c r="O20" i="91" s="1"/>
  <c r="J19" i="91"/>
  <c r="H18" i="91"/>
  <c r="J18" i="91"/>
  <c r="G18" i="91"/>
  <c r="H16" i="91"/>
  <c r="G16" i="91"/>
  <c r="H15" i="91"/>
  <c r="H14" i="91"/>
  <c r="G14" i="91"/>
  <c r="H13" i="91"/>
  <c r="J13" i="91"/>
  <c r="G13" i="91"/>
  <c r="L13" i="91"/>
  <c r="H12" i="91"/>
  <c r="J12" i="91"/>
  <c r="H11" i="91"/>
  <c r="J11" i="91"/>
  <c r="F10" i="91"/>
  <c r="F39" i="91" s="1"/>
  <c r="D10" i="91"/>
  <c r="D39" i="91" s="1"/>
  <c r="H9" i="91"/>
  <c r="M9" i="91" s="1"/>
  <c r="O9" i="91" s="1"/>
  <c r="H8" i="91"/>
  <c r="M8" i="91" s="1"/>
  <c r="O8" i="91" s="1"/>
  <c r="H7" i="91"/>
  <c r="J7" i="91"/>
  <c r="K50" i="91"/>
  <c r="I50" i="91"/>
  <c r="G50" i="91"/>
  <c r="E50" i="91"/>
  <c r="D50" i="91"/>
  <c r="M48" i="91"/>
  <c r="M47" i="91"/>
  <c r="O47" i="91" s="1"/>
  <c r="M46" i="91"/>
  <c r="O46" i="91" s="1"/>
  <c r="M45" i="91"/>
  <c r="O45" i="91" s="1"/>
  <c r="N39" i="91"/>
  <c r="I39" i="91"/>
  <c r="E39" i="91"/>
  <c r="M38" i="91"/>
  <c r="M37" i="91"/>
  <c r="O37" i="91" s="1"/>
  <c r="C39" i="91"/>
  <c r="K39" i="91"/>
  <c r="L39" i="91"/>
  <c r="K51" i="91" s="1"/>
  <c r="B8" i="91"/>
  <c r="B9" i="91" s="1"/>
  <c r="B10" i="91" s="1"/>
  <c r="B11" i="91" s="1"/>
  <c r="B12" i="91" s="1"/>
  <c r="B13" i="91" s="1"/>
  <c r="B14" i="91" s="1"/>
  <c r="B15" i="91" s="1"/>
  <c r="B16" i="91" s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33" i="91" s="1"/>
  <c r="B34" i="91" s="1"/>
  <c r="B35" i="91" s="1"/>
  <c r="B36" i="91" s="1"/>
  <c r="M18" i="91" l="1"/>
  <c r="O18" i="91" s="1"/>
  <c r="M27" i="91"/>
  <c r="O27" i="91" s="1"/>
  <c r="C55" i="91"/>
  <c r="E51" i="91"/>
  <c r="M36" i="91"/>
  <c r="O36" i="91" s="1"/>
  <c r="M35" i="91"/>
  <c r="O35" i="91" s="1"/>
  <c r="M34" i="91"/>
  <c r="O34" i="91" s="1"/>
  <c r="M33" i="91"/>
  <c r="O33" i="91" s="1"/>
  <c r="M32" i="91"/>
  <c r="O32" i="91" s="1"/>
  <c r="M31" i="91"/>
  <c r="O31" i="91" s="1"/>
  <c r="M30" i="91"/>
  <c r="O30" i="91" s="1"/>
  <c r="M29" i="91"/>
  <c r="O29" i="91" s="1"/>
  <c r="M28" i="91"/>
  <c r="O28" i="91" s="1"/>
  <c r="M25" i="91"/>
  <c r="O25" i="91" s="1"/>
  <c r="M24" i="91"/>
  <c r="O24" i="91" s="1"/>
  <c r="M23" i="91"/>
  <c r="O23" i="91" s="1"/>
  <c r="M22" i="91"/>
  <c r="O22" i="91" s="1"/>
  <c r="M21" i="91"/>
  <c r="O21" i="91" s="1"/>
  <c r="M16" i="91"/>
  <c r="O16" i="91" s="1"/>
  <c r="G39" i="91"/>
  <c r="M15" i="91"/>
  <c r="O15" i="91" s="1"/>
  <c r="M14" i="91"/>
  <c r="O14" i="91" s="1"/>
  <c r="J39" i="91"/>
  <c r="I51" i="91" s="1"/>
  <c r="M12" i="91"/>
  <c r="O12" i="91" s="1"/>
  <c r="M11" i="91"/>
  <c r="O11" i="91" s="1"/>
  <c r="H39" i="91"/>
  <c r="M10" i="91"/>
  <c r="O10" i="91" s="1"/>
  <c r="E40" i="91"/>
  <c r="K40" i="91"/>
  <c r="D51" i="91"/>
  <c r="C40" i="91"/>
  <c r="M7" i="91"/>
  <c r="M19" i="91"/>
  <c r="O19" i="91" s="1"/>
  <c r="M13" i="91"/>
  <c r="O13" i="91" s="1"/>
  <c r="H28" i="90"/>
  <c r="H27" i="90"/>
  <c r="H15" i="90"/>
  <c r="H11" i="90"/>
  <c r="H9" i="90"/>
  <c r="H7" i="90"/>
  <c r="H37" i="90"/>
  <c r="H20" i="90"/>
  <c r="L20" i="90"/>
  <c r="G51" i="91" l="1"/>
  <c r="D55" i="91"/>
  <c r="I40" i="91"/>
  <c r="C56" i="91"/>
  <c r="G40" i="91"/>
  <c r="D52" i="91"/>
  <c r="C60" i="91" s="1"/>
  <c r="M39" i="91"/>
  <c r="O39" i="91" s="1"/>
  <c r="O7" i="91"/>
  <c r="G21" i="90"/>
  <c r="J21" i="90"/>
  <c r="H33" i="90"/>
  <c r="G33" i="90"/>
  <c r="M37" i="90"/>
  <c r="O37" i="90" s="1"/>
  <c r="G37" i="90"/>
  <c r="C36" i="90"/>
  <c r="H35" i="90"/>
  <c r="M35" i="90" s="1"/>
  <c r="O35" i="90" s="1"/>
  <c r="L35" i="90"/>
  <c r="J35" i="90"/>
  <c r="H34" i="90"/>
  <c r="J34" i="90"/>
  <c r="M34" i="90" s="1"/>
  <c r="O34" i="90" s="1"/>
  <c r="L33" i="90"/>
  <c r="J33" i="90"/>
  <c r="I33" i="90"/>
  <c r="H32" i="90"/>
  <c r="M32" i="90" s="1"/>
  <c r="O32" i="90" s="1"/>
  <c r="H31" i="90"/>
  <c r="H30" i="90"/>
  <c r="G30" i="90"/>
  <c r="L30" i="90"/>
  <c r="H29" i="90"/>
  <c r="K29" i="90"/>
  <c r="L29" i="90"/>
  <c r="G29" i="90"/>
  <c r="M29" i="90" s="1"/>
  <c r="O29" i="90" s="1"/>
  <c r="L28" i="90"/>
  <c r="K28" i="90"/>
  <c r="G28" i="90"/>
  <c r="L27" i="90"/>
  <c r="M27" i="90" s="1"/>
  <c r="O27" i="90" s="1"/>
  <c r="H26" i="90"/>
  <c r="H25" i="90"/>
  <c r="G25" i="90"/>
  <c r="H24" i="90"/>
  <c r="M24" i="90" s="1"/>
  <c r="O24" i="90" s="1"/>
  <c r="H23" i="90"/>
  <c r="H22" i="90"/>
  <c r="G22" i="90"/>
  <c r="H21" i="90"/>
  <c r="L21" i="90"/>
  <c r="I21" i="90"/>
  <c r="D21" i="90"/>
  <c r="M20" i="90"/>
  <c r="O20" i="90" s="1"/>
  <c r="H19" i="90"/>
  <c r="D19" i="90"/>
  <c r="J19" i="90"/>
  <c r="H18" i="90"/>
  <c r="M18" i="90" s="1"/>
  <c r="O18" i="90" s="1"/>
  <c r="H17" i="90"/>
  <c r="H16" i="90"/>
  <c r="J17" i="90"/>
  <c r="G16" i="90"/>
  <c r="H14" i="90"/>
  <c r="L14" i="90"/>
  <c r="M14" i="90" s="1"/>
  <c r="O14" i="90" s="1"/>
  <c r="H13" i="90"/>
  <c r="G13" i="90"/>
  <c r="M13" i="90" s="1"/>
  <c r="O13" i="90" s="1"/>
  <c r="H12" i="90"/>
  <c r="L12" i="90"/>
  <c r="M12" i="90" s="1"/>
  <c r="O12" i="90" s="1"/>
  <c r="M11" i="90"/>
  <c r="O11" i="90" s="1"/>
  <c r="L11" i="90"/>
  <c r="H10" i="90"/>
  <c r="M9" i="90"/>
  <c r="O9" i="90" s="1"/>
  <c r="H8" i="90"/>
  <c r="H39" i="90" s="1"/>
  <c r="L8" i="90"/>
  <c r="L7" i="90"/>
  <c r="K50" i="90"/>
  <c r="I50" i="90"/>
  <c r="G50" i="90"/>
  <c r="E50" i="90"/>
  <c r="D50" i="90"/>
  <c r="M48" i="90"/>
  <c r="M47" i="90"/>
  <c r="O47" i="90" s="1"/>
  <c r="M46" i="90"/>
  <c r="O46" i="90" s="1"/>
  <c r="M45" i="90"/>
  <c r="O45" i="90" s="1"/>
  <c r="N39" i="90"/>
  <c r="I39" i="90"/>
  <c r="E39" i="90"/>
  <c r="M38" i="90"/>
  <c r="M36" i="90"/>
  <c r="O36" i="90" s="1"/>
  <c r="M31" i="90"/>
  <c r="O31" i="90" s="1"/>
  <c r="M26" i="90"/>
  <c r="O26" i="90" s="1"/>
  <c r="M25" i="90"/>
  <c r="O25" i="90" s="1"/>
  <c r="M23" i="90"/>
  <c r="O23" i="90" s="1"/>
  <c r="M22" i="90"/>
  <c r="O22" i="90" s="1"/>
  <c r="M19" i="90"/>
  <c r="O19" i="90" s="1"/>
  <c r="F39" i="90"/>
  <c r="E51" i="90" s="1"/>
  <c r="C39" i="90"/>
  <c r="M10" i="90"/>
  <c r="O10" i="90" s="1"/>
  <c r="B8" i="90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M7" i="90"/>
  <c r="O7" i="90" s="1"/>
  <c r="M21" i="90" l="1"/>
  <c r="O21" i="90" s="1"/>
  <c r="J39" i="90"/>
  <c r="I51" i="90" s="1"/>
  <c r="M30" i="90"/>
  <c r="O30" i="90" s="1"/>
  <c r="M33" i="90"/>
  <c r="O33" i="90" s="1"/>
  <c r="K39" i="90"/>
  <c r="M28" i="90"/>
  <c r="O28" i="90" s="1"/>
  <c r="G39" i="90"/>
  <c r="L39" i="90"/>
  <c r="K51" i="90" s="1"/>
  <c r="M17" i="90"/>
  <c r="O17" i="90" s="1"/>
  <c r="M16" i="90"/>
  <c r="O16" i="90" s="1"/>
  <c r="G51" i="90"/>
  <c r="M8" i="90"/>
  <c r="O8" i="90" s="1"/>
  <c r="E40" i="90"/>
  <c r="I40" i="90"/>
  <c r="D39" i="90"/>
  <c r="M15" i="90"/>
  <c r="O15" i="90" s="1"/>
  <c r="J11" i="89"/>
  <c r="C15" i="89"/>
  <c r="C40" i="90" l="1"/>
  <c r="D51" i="90"/>
  <c r="D52" i="90"/>
  <c r="C55" i="90"/>
  <c r="K40" i="90"/>
  <c r="G40" i="90"/>
  <c r="M39" i="90"/>
  <c r="O39" i="90" s="1"/>
  <c r="C60" i="90"/>
  <c r="D55" i="90"/>
  <c r="H36" i="89"/>
  <c r="H37" i="89"/>
  <c r="C56" i="90" l="1"/>
  <c r="H17" i="89"/>
  <c r="J17" i="89"/>
  <c r="H23" i="89"/>
  <c r="H24" i="89"/>
  <c r="H35" i="89" l="1"/>
  <c r="H34" i="89"/>
  <c r="G35" i="89"/>
  <c r="H32" i="89"/>
  <c r="H31" i="89"/>
  <c r="L31" i="89"/>
  <c r="H30" i="89"/>
  <c r="H29" i="89"/>
  <c r="L30" i="89"/>
  <c r="J30" i="89"/>
  <c r="L29" i="89"/>
  <c r="H28" i="89"/>
  <c r="L28" i="89"/>
  <c r="J28" i="89"/>
  <c r="H27" i="89"/>
  <c r="G27" i="89"/>
  <c r="H26" i="89"/>
  <c r="H25" i="89"/>
  <c r="J25" i="89"/>
  <c r="J24" i="89"/>
  <c r="I24" i="89"/>
  <c r="G23" i="89"/>
  <c r="L22" i="89"/>
  <c r="F22" i="89"/>
  <c r="H22" i="89"/>
  <c r="L21" i="89"/>
  <c r="H19" i="89" l="1"/>
  <c r="J19" i="89"/>
  <c r="I19" i="89"/>
  <c r="K19" i="89"/>
  <c r="G18" i="89"/>
  <c r="J18" i="89"/>
  <c r="H18" i="89"/>
  <c r="L17" i="89"/>
  <c r="H16" i="89"/>
  <c r="H15" i="89"/>
  <c r="J15" i="89" l="1"/>
  <c r="F15" i="89"/>
  <c r="H14" i="89"/>
  <c r="H13" i="89"/>
  <c r="M13" i="89" s="1"/>
  <c r="O13" i="89" s="1"/>
  <c r="J14" i="89"/>
  <c r="G14" i="89"/>
  <c r="H11" i="89"/>
  <c r="M11" i="89" s="1"/>
  <c r="O11" i="89" s="1"/>
  <c r="H12" i="89"/>
  <c r="M12" i="89" s="1"/>
  <c r="O12" i="89" s="1"/>
  <c r="H10" i="89"/>
  <c r="H9" i="89"/>
  <c r="D9" i="89"/>
  <c r="M9" i="89" s="1"/>
  <c r="O9" i="89" s="1"/>
  <c r="M10" i="89"/>
  <c r="O10" i="89" s="1"/>
  <c r="J12" i="89"/>
  <c r="H8" i="89"/>
  <c r="D8" i="89"/>
  <c r="M14" i="89" l="1"/>
  <c r="O14" i="89" s="1"/>
  <c r="H7" i="89"/>
  <c r="J7" i="89"/>
  <c r="G7" i="89"/>
  <c r="G39" i="89" s="1"/>
  <c r="K50" i="89"/>
  <c r="I50" i="89"/>
  <c r="G50" i="89"/>
  <c r="E50" i="89"/>
  <c r="D50" i="89"/>
  <c r="M48" i="89"/>
  <c r="O48" i="89" s="1"/>
  <c r="M47" i="89"/>
  <c r="O47" i="89" s="1"/>
  <c r="O46" i="89"/>
  <c r="M46" i="89"/>
  <c r="M45" i="89"/>
  <c r="O45" i="89" s="1"/>
  <c r="C39" i="89"/>
  <c r="M38" i="89"/>
  <c r="M37" i="89"/>
  <c r="O37" i="89" s="1"/>
  <c r="M36" i="89"/>
  <c r="O36" i="89" s="1"/>
  <c r="M35" i="89"/>
  <c r="O35" i="89" s="1"/>
  <c r="M34" i="89"/>
  <c r="O34" i="89" s="1"/>
  <c r="M33" i="89"/>
  <c r="O33" i="89" s="1"/>
  <c r="M32" i="89"/>
  <c r="O32" i="89" s="1"/>
  <c r="M31" i="89"/>
  <c r="O31" i="89" s="1"/>
  <c r="N39" i="89"/>
  <c r="M30" i="89"/>
  <c r="O30" i="89" s="1"/>
  <c r="M29" i="89"/>
  <c r="O29" i="89" s="1"/>
  <c r="M28" i="89"/>
  <c r="O28" i="89" s="1"/>
  <c r="I39" i="89"/>
  <c r="M27" i="89"/>
  <c r="O27" i="89" s="1"/>
  <c r="M26" i="89"/>
  <c r="O26" i="89" s="1"/>
  <c r="M25" i="89"/>
  <c r="O25" i="89" s="1"/>
  <c r="M24" i="89"/>
  <c r="O24" i="89" s="1"/>
  <c r="M23" i="89"/>
  <c r="O23" i="89" s="1"/>
  <c r="M22" i="89"/>
  <c r="O22" i="89" s="1"/>
  <c r="M21" i="89"/>
  <c r="O21" i="89" s="1"/>
  <c r="M20" i="89"/>
  <c r="O20" i="89" s="1"/>
  <c r="M19" i="89"/>
  <c r="O19" i="89" s="1"/>
  <c r="M18" i="89"/>
  <c r="O18" i="89" s="1"/>
  <c r="M17" i="89"/>
  <c r="O17" i="89" s="1"/>
  <c r="M16" i="89"/>
  <c r="O16" i="89" s="1"/>
  <c r="M15" i="89"/>
  <c r="O15" i="89" s="1"/>
  <c r="K39" i="89"/>
  <c r="F39" i="89"/>
  <c r="D39" i="89"/>
  <c r="L39" i="89"/>
  <c r="K51" i="89" s="1"/>
  <c r="M8" i="89"/>
  <c r="O8" i="89" s="1"/>
  <c r="B8" i="89"/>
  <c r="B9" i="89" s="1"/>
  <c r="B10" i="89" s="1"/>
  <c r="B11" i="89" s="1"/>
  <c r="B12" i="89" s="1"/>
  <c r="B13" i="89" s="1"/>
  <c r="B14" i="89" s="1"/>
  <c r="B15" i="89" s="1"/>
  <c r="B16" i="89" s="1"/>
  <c r="B17" i="89" s="1"/>
  <c r="B18" i="89" s="1"/>
  <c r="B19" i="89" s="1"/>
  <c r="B20" i="89" s="1"/>
  <c r="B21" i="89" s="1"/>
  <c r="B22" i="89" s="1"/>
  <c r="B23" i="89" s="1"/>
  <c r="B24" i="89" s="1"/>
  <c r="B25" i="89" s="1"/>
  <c r="B26" i="89" s="1"/>
  <c r="B27" i="89" s="1"/>
  <c r="B28" i="89" s="1"/>
  <c r="B29" i="89" s="1"/>
  <c r="B30" i="89" s="1"/>
  <c r="B31" i="89" s="1"/>
  <c r="B32" i="89" s="1"/>
  <c r="B33" i="89" s="1"/>
  <c r="B34" i="89" s="1"/>
  <c r="B35" i="89" s="1"/>
  <c r="B36" i="89" s="1"/>
  <c r="E51" i="89" l="1"/>
  <c r="M7" i="89"/>
  <c r="O7" i="89" s="1"/>
  <c r="J39" i="89"/>
  <c r="I51" i="89" s="1"/>
  <c r="K40" i="89"/>
  <c r="D51" i="89"/>
  <c r="C40" i="89"/>
  <c r="H39" i="89"/>
  <c r="E39" i="89"/>
  <c r="E40" i="89" s="1"/>
  <c r="N30" i="88"/>
  <c r="L30" i="88"/>
  <c r="H26" i="88"/>
  <c r="G27" i="88"/>
  <c r="G26" i="88"/>
  <c r="G51" i="89" l="1"/>
  <c r="D55" i="89"/>
  <c r="I40" i="89"/>
  <c r="M39" i="89"/>
  <c r="O39" i="89" s="1"/>
  <c r="D52" i="89"/>
  <c r="C60" i="89" s="1"/>
  <c r="G40" i="89"/>
  <c r="C55" i="89"/>
  <c r="H27" i="88"/>
  <c r="K24" i="88"/>
  <c r="L24" i="88"/>
  <c r="H13" i="88"/>
  <c r="G13" i="88"/>
  <c r="G11" i="88"/>
  <c r="H11" i="88"/>
  <c r="H10" i="88"/>
  <c r="G10" i="88"/>
  <c r="J25" i="88"/>
  <c r="H36" i="88"/>
  <c r="H35" i="88"/>
  <c r="L36" i="88"/>
  <c r="G35" i="88"/>
  <c r="H34" i="88"/>
  <c r="L34" i="88"/>
  <c r="L33" i="88"/>
  <c r="H33" i="88"/>
  <c r="H32" i="88"/>
  <c r="K32" i="88"/>
  <c r="H31" i="88"/>
  <c r="L31" i="88"/>
  <c r="J31" i="88"/>
  <c r="H30" i="88"/>
  <c r="H29" i="88"/>
  <c r="H28" i="88"/>
  <c r="L28" i="88"/>
  <c r="L27" i="88"/>
  <c r="J27" i="88"/>
  <c r="I27" i="88"/>
  <c r="J26" i="88"/>
  <c r="L26" i="88"/>
  <c r="K26" i="88"/>
  <c r="H25" i="88"/>
  <c r="D25" i="88"/>
  <c r="H24" i="88"/>
  <c r="D24" i="88"/>
  <c r="H23" i="88"/>
  <c r="H22" i="88"/>
  <c r="H21" i="88"/>
  <c r="G21" i="88"/>
  <c r="H20" i="88"/>
  <c r="H19" i="88"/>
  <c r="H18" i="88"/>
  <c r="H17" i="88"/>
  <c r="L18" i="88"/>
  <c r="K17" i="88"/>
  <c r="E17" i="88"/>
  <c r="D17" i="88"/>
  <c r="L17" i="88"/>
  <c r="J17" i="88"/>
  <c r="H16" i="88"/>
  <c r="G16" i="88"/>
  <c r="L16" i="88"/>
  <c r="H15" i="88"/>
  <c r="H14" i="88"/>
  <c r="L14" i="88"/>
  <c r="J13" i="88"/>
  <c r="K13" i="88"/>
  <c r="D13" i="88"/>
  <c r="H12" i="88"/>
  <c r="G12" i="88"/>
  <c r="C56" i="89" l="1"/>
  <c r="J11" i="88"/>
  <c r="F11" i="88"/>
  <c r="D11" i="88"/>
  <c r="D10" i="88" l="1"/>
  <c r="D39" i="88" s="1"/>
  <c r="L10" i="88"/>
  <c r="H9" i="88"/>
  <c r="H8" i="88"/>
  <c r="M8" i="88" s="1"/>
  <c r="O8" i="88" s="1"/>
  <c r="H7" i="88"/>
  <c r="F39" i="88"/>
  <c r="L9" i="88"/>
  <c r="E9" i="88"/>
  <c r="I9" i="88"/>
  <c r="G9" i="88"/>
  <c r="G8" i="88"/>
  <c r="K50" i="88"/>
  <c r="I50" i="88"/>
  <c r="G50" i="88"/>
  <c r="E50" i="88"/>
  <c r="D50" i="88"/>
  <c r="M48" i="88"/>
  <c r="O48" i="88" s="1"/>
  <c r="M47" i="88"/>
  <c r="O47" i="88" s="1"/>
  <c r="M46" i="88"/>
  <c r="O46" i="88" s="1"/>
  <c r="M45" i="88"/>
  <c r="O45" i="88" s="1"/>
  <c r="N39" i="88"/>
  <c r="C39" i="88"/>
  <c r="M38" i="88"/>
  <c r="M37" i="88"/>
  <c r="O37" i="88" s="1"/>
  <c r="M36" i="88"/>
  <c r="O36" i="88" s="1"/>
  <c r="M35" i="88"/>
  <c r="O35" i="88" s="1"/>
  <c r="M34" i="88"/>
  <c r="O34" i="88" s="1"/>
  <c r="M33" i="88"/>
  <c r="O33" i="88" s="1"/>
  <c r="M32" i="88"/>
  <c r="O32" i="88" s="1"/>
  <c r="M31" i="88"/>
  <c r="O31" i="88" s="1"/>
  <c r="K39" i="88"/>
  <c r="M30" i="88"/>
  <c r="O30" i="88" s="1"/>
  <c r="M29" i="88"/>
  <c r="O29" i="88" s="1"/>
  <c r="M28" i="88"/>
  <c r="O28" i="88" s="1"/>
  <c r="M27" i="88"/>
  <c r="O27" i="88" s="1"/>
  <c r="M26" i="88"/>
  <c r="O26" i="88" s="1"/>
  <c r="M25" i="88"/>
  <c r="O25" i="88" s="1"/>
  <c r="M24" i="88"/>
  <c r="O24" i="88" s="1"/>
  <c r="M23" i="88"/>
  <c r="O23" i="88" s="1"/>
  <c r="M22" i="88"/>
  <c r="O22" i="88" s="1"/>
  <c r="M21" i="88"/>
  <c r="O21" i="88" s="1"/>
  <c r="M20" i="88"/>
  <c r="O20" i="88" s="1"/>
  <c r="I39" i="88"/>
  <c r="M19" i="88"/>
  <c r="O19" i="88" s="1"/>
  <c r="M18" i="88"/>
  <c r="O18" i="88" s="1"/>
  <c r="M17" i="88"/>
  <c r="O17" i="88" s="1"/>
  <c r="M16" i="88"/>
  <c r="O16" i="88" s="1"/>
  <c r="M15" i="88"/>
  <c r="O15" i="88" s="1"/>
  <c r="M14" i="88"/>
  <c r="O14" i="88" s="1"/>
  <c r="M12" i="88"/>
  <c r="O12" i="88" s="1"/>
  <c r="M11" i="88"/>
  <c r="O11" i="88" s="1"/>
  <c r="J39" i="88"/>
  <c r="B8" i="88"/>
  <c r="B9" i="88" s="1"/>
  <c r="B10" i="88" s="1"/>
  <c r="B11" i="88" s="1"/>
  <c r="B12" i="88" s="1"/>
  <c r="B13" i="88" s="1"/>
  <c r="B14" i="88" s="1"/>
  <c r="B15" i="88" s="1"/>
  <c r="B16" i="88" s="1"/>
  <c r="B17" i="88" s="1"/>
  <c r="B18" i="88" s="1"/>
  <c r="B19" i="88" s="1"/>
  <c r="B20" i="88" s="1"/>
  <c r="B21" i="88" s="1"/>
  <c r="B22" i="88" s="1"/>
  <c r="B23" i="88" s="1"/>
  <c r="B24" i="88" s="1"/>
  <c r="B25" i="88" s="1"/>
  <c r="B26" i="88" s="1"/>
  <c r="B27" i="88" s="1"/>
  <c r="B28" i="88" s="1"/>
  <c r="B29" i="88" s="1"/>
  <c r="B30" i="88" s="1"/>
  <c r="B31" i="88" s="1"/>
  <c r="B32" i="88" s="1"/>
  <c r="B33" i="88" s="1"/>
  <c r="B34" i="88" s="1"/>
  <c r="B35" i="88" s="1"/>
  <c r="B36" i="88" s="1"/>
  <c r="M9" i="88" l="1"/>
  <c r="O9" i="88" s="1"/>
  <c r="E51" i="88"/>
  <c r="L39" i="88"/>
  <c r="K40" i="88" s="1"/>
  <c r="K51" i="88"/>
  <c r="I51" i="88"/>
  <c r="D51" i="88"/>
  <c r="E39" i="88"/>
  <c r="E40" i="88" s="1"/>
  <c r="G39" i="88"/>
  <c r="M10" i="88"/>
  <c r="O10" i="88" s="1"/>
  <c r="I40" i="88"/>
  <c r="H39" i="88"/>
  <c r="C40" i="88"/>
  <c r="M7" i="88"/>
  <c r="M13" i="88"/>
  <c r="O13" i="88" s="1"/>
  <c r="H34" i="87"/>
  <c r="G51" i="88" l="1"/>
  <c r="D55" i="88"/>
  <c r="C55" i="88"/>
  <c r="O7" i="88"/>
  <c r="M39" i="88"/>
  <c r="O39" i="88" s="1"/>
  <c r="G40" i="88"/>
  <c r="F37" i="87"/>
  <c r="L37" i="87"/>
  <c r="H37" i="87"/>
  <c r="D52" i="88" l="1"/>
  <c r="C60" i="88" s="1"/>
  <c r="C56" i="88"/>
  <c r="G34" i="87"/>
  <c r="J26" i="87"/>
  <c r="M26" i="87" s="1"/>
  <c r="G12" i="87"/>
  <c r="H12" i="87"/>
  <c r="H24" i="87"/>
  <c r="H35" i="87"/>
  <c r="L36" i="87"/>
  <c r="H36" i="87"/>
  <c r="H31" i="87"/>
  <c r="H33" i="87"/>
  <c r="H30" i="87"/>
  <c r="L30" i="87"/>
  <c r="K30" i="87"/>
  <c r="J30" i="87"/>
  <c r="G30" i="87"/>
  <c r="H29" i="87"/>
  <c r="H28" i="87"/>
  <c r="L29" i="87"/>
  <c r="J28" i="87"/>
  <c r="L28" i="87"/>
  <c r="H27" i="87"/>
  <c r="L27" i="87"/>
  <c r="L26" i="87"/>
  <c r="J24" i="87"/>
  <c r="H23" i="87"/>
  <c r="H22" i="87"/>
  <c r="L21" i="87"/>
  <c r="D21" i="87"/>
  <c r="H21" i="87"/>
  <c r="G21" i="87"/>
  <c r="J21" i="87"/>
  <c r="I20" i="87"/>
  <c r="H14" i="87"/>
  <c r="D20" i="87"/>
  <c r="H20" i="87"/>
  <c r="D19" i="87"/>
  <c r="H19" i="87"/>
  <c r="G19" i="87"/>
  <c r="H17" i="87"/>
  <c r="J17" i="87"/>
  <c r="J16" i="87"/>
  <c r="H13" i="87" l="1"/>
  <c r="J13" i="87"/>
  <c r="L13" i="87"/>
  <c r="F13" i="87"/>
  <c r="J12" i="87"/>
  <c r="L12" i="87"/>
  <c r="D12" i="87"/>
  <c r="J10" i="87" l="1"/>
  <c r="H10" i="87"/>
  <c r="M10" i="87" s="1"/>
  <c r="O10" i="87" s="1"/>
  <c r="H9" i="87"/>
  <c r="J9" i="87"/>
  <c r="J39" i="87"/>
  <c r="H8" i="87"/>
  <c r="G7" i="87"/>
  <c r="G39" i="87" s="1"/>
  <c r="K50" i="87"/>
  <c r="I50" i="87"/>
  <c r="D50" i="87"/>
  <c r="G50" i="87"/>
  <c r="M48" i="87"/>
  <c r="O48" i="87" s="1"/>
  <c r="M47" i="87"/>
  <c r="O47" i="87" s="1"/>
  <c r="M46" i="87"/>
  <c r="O46" i="87" s="1"/>
  <c r="M45" i="87"/>
  <c r="O45" i="87" s="1"/>
  <c r="N39" i="87"/>
  <c r="F39" i="87"/>
  <c r="M38" i="87"/>
  <c r="M37" i="87"/>
  <c r="O37" i="87" s="1"/>
  <c r="M36" i="87"/>
  <c r="O36" i="87" s="1"/>
  <c r="M35" i="87"/>
  <c r="O35" i="87" s="1"/>
  <c r="M34" i="87"/>
  <c r="O34" i="87" s="1"/>
  <c r="M33" i="87"/>
  <c r="O33" i="87" s="1"/>
  <c r="M32" i="87"/>
  <c r="O32" i="87" s="1"/>
  <c r="M31" i="87"/>
  <c r="O31" i="87" s="1"/>
  <c r="E39" i="87"/>
  <c r="M29" i="87"/>
  <c r="O29" i="87" s="1"/>
  <c r="M28" i="87"/>
  <c r="O28" i="87" s="1"/>
  <c r="M27" i="87"/>
  <c r="O27" i="87" s="1"/>
  <c r="O26" i="87"/>
  <c r="M25" i="87"/>
  <c r="O25" i="87" s="1"/>
  <c r="M24" i="87"/>
  <c r="O24" i="87" s="1"/>
  <c r="M23" i="87"/>
  <c r="O23" i="87" s="1"/>
  <c r="M22" i="87"/>
  <c r="O22" i="87" s="1"/>
  <c r="M21" i="87"/>
  <c r="O21" i="87" s="1"/>
  <c r="M20" i="87"/>
  <c r="O20" i="87" s="1"/>
  <c r="M19" i="87"/>
  <c r="O19" i="87" s="1"/>
  <c r="M18" i="87"/>
  <c r="O18" i="87" s="1"/>
  <c r="M17" i="87"/>
  <c r="O17" i="87" s="1"/>
  <c r="M16" i="87"/>
  <c r="O16" i="87" s="1"/>
  <c r="M15" i="87"/>
  <c r="O15" i="87" s="1"/>
  <c r="M14" i="87"/>
  <c r="O14" i="87" s="1"/>
  <c r="M13" i="87"/>
  <c r="O13" i="87" s="1"/>
  <c r="M12" i="87"/>
  <c r="O12" i="87" s="1"/>
  <c r="M11" i="87"/>
  <c r="O11" i="87" s="1"/>
  <c r="K39" i="87"/>
  <c r="I39" i="87"/>
  <c r="D39" i="87"/>
  <c r="B8" i="87"/>
  <c r="B9" i="87" s="1"/>
  <c r="B10" i="87" s="1"/>
  <c r="B11" i="87" s="1"/>
  <c r="B12" i="87" s="1"/>
  <c r="B13" i="87" s="1"/>
  <c r="B14" i="87" s="1"/>
  <c r="B15" i="87" s="1"/>
  <c r="B16" i="87" s="1"/>
  <c r="B17" i="87" s="1"/>
  <c r="B18" i="87" s="1"/>
  <c r="B19" i="87" s="1"/>
  <c r="B20" i="87" s="1"/>
  <c r="B21" i="87" s="1"/>
  <c r="B22" i="87" s="1"/>
  <c r="B23" i="87" s="1"/>
  <c r="B24" i="87" s="1"/>
  <c r="B25" i="87" s="1"/>
  <c r="B26" i="87" s="1"/>
  <c r="B27" i="87" s="1"/>
  <c r="B28" i="87" s="1"/>
  <c r="B29" i="87" s="1"/>
  <c r="B30" i="87" s="1"/>
  <c r="B31" i="87" s="1"/>
  <c r="B32" i="87" s="1"/>
  <c r="B33" i="87" s="1"/>
  <c r="B34" i="87" s="1"/>
  <c r="B35" i="87" s="1"/>
  <c r="B36" i="87" s="1"/>
  <c r="B37" i="87" s="1"/>
  <c r="L39" i="87"/>
  <c r="H39" i="87"/>
  <c r="M7" i="87" l="1"/>
  <c r="I51" i="87"/>
  <c r="K51" i="87"/>
  <c r="G51" i="87"/>
  <c r="M9" i="87"/>
  <c r="O9" i="87" s="1"/>
  <c r="E40" i="87"/>
  <c r="D51" i="87"/>
  <c r="D55" i="87"/>
  <c r="G40" i="87"/>
  <c r="I40" i="87"/>
  <c r="K40" i="87"/>
  <c r="M8" i="87"/>
  <c r="O8" i="87" s="1"/>
  <c r="C39" i="87"/>
  <c r="M30" i="87"/>
  <c r="O30" i="87" s="1"/>
  <c r="E50" i="87"/>
  <c r="E51" i="87" s="1"/>
  <c r="O7" i="87"/>
  <c r="H34" i="86"/>
  <c r="H7" i="86"/>
  <c r="H25" i="86"/>
  <c r="H24" i="86"/>
  <c r="C40" i="87" l="1"/>
  <c r="C55" i="87"/>
  <c r="C56" i="87" s="1"/>
  <c r="M39" i="87"/>
  <c r="O39" i="87" s="1"/>
  <c r="D52" i="87"/>
  <c r="C60" i="87" s="1"/>
  <c r="H36" i="86"/>
  <c r="J32" i="86"/>
  <c r="L35" i="86"/>
  <c r="L34" i="86"/>
  <c r="F48" i="86"/>
  <c r="H48" i="86"/>
  <c r="J36" i="86"/>
  <c r="H15" i="86" l="1"/>
  <c r="H17" i="86"/>
  <c r="N39" i="86"/>
  <c r="G33" i="86"/>
  <c r="H33" i="86"/>
  <c r="H23" i="86"/>
  <c r="G23" i="86"/>
  <c r="G17" i="86"/>
  <c r="H16" i="86"/>
  <c r="G16" i="86"/>
  <c r="J13" i="86"/>
  <c r="G13" i="86"/>
  <c r="H13" i="86"/>
  <c r="L9" i="86"/>
  <c r="C9" i="86"/>
  <c r="G32" i="86" l="1"/>
  <c r="H35" i="86" l="1"/>
  <c r="K34" i="86"/>
  <c r="J34" i="86"/>
  <c r="G34" i="86"/>
  <c r="H32" i="86"/>
  <c r="J31" i="86"/>
  <c r="H31" i="86"/>
  <c r="H30" i="86"/>
  <c r="E30" i="86"/>
  <c r="G30" i="86"/>
  <c r="H29" i="86"/>
  <c r="H28" i="86"/>
  <c r="H27" i="86"/>
  <c r="L27" i="86"/>
  <c r="H26" i="86"/>
  <c r="G26" i="86"/>
  <c r="F26" i="86"/>
  <c r="L26" i="86"/>
  <c r="J25" i="86"/>
  <c r="F24" i="86"/>
  <c r="M34" i="86" l="1"/>
  <c r="J23" i="86"/>
  <c r="M23" i="86"/>
  <c r="O23" i="86" s="1"/>
  <c r="H22" i="86"/>
  <c r="J22" i="86"/>
  <c r="H21" i="86"/>
  <c r="J21" i="86"/>
  <c r="M21" i="86"/>
  <c r="O21" i="86" s="1"/>
  <c r="G21" i="86"/>
  <c r="H19" i="86"/>
  <c r="J19" i="86"/>
  <c r="L19" i="86"/>
  <c r="H18" i="86"/>
  <c r="L18" i="86"/>
  <c r="G18" i="86"/>
  <c r="J18" i="86"/>
  <c r="I17" i="86"/>
  <c r="J17" i="86"/>
  <c r="J15" i="86"/>
  <c r="M15" i="86" s="1"/>
  <c r="O15" i="86" s="1"/>
  <c r="J16" i="86"/>
  <c r="M16" i="86" s="1"/>
  <c r="O16" i="86" s="1"/>
  <c r="H14" i="86"/>
  <c r="L14" i="86"/>
  <c r="J14" i="86"/>
  <c r="M13" i="86"/>
  <c r="O13" i="86" s="1"/>
  <c r="H12" i="86"/>
  <c r="G12" i="86"/>
  <c r="M12" i="86" s="1"/>
  <c r="O12" i="86" s="1"/>
  <c r="H10" i="86"/>
  <c r="J10" i="86"/>
  <c r="J11" i="86"/>
  <c r="L11" i="86"/>
  <c r="H11" i="86"/>
  <c r="G11" i="86"/>
  <c r="H9" i="86"/>
  <c r="G9" i="86"/>
  <c r="J9" i="86"/>
  <c r="K9" i="86"/>
  <c r="K8" i="86"/>
  <c r="J8" i="86"/>
  <c r="I8" i="86"/>
  <c r="D8" i="86"/>
  <c r="L8" i="86"/>
  <c r="G8" i="86"/>
  <c r="J7" i="86"/>
  <c r="L7" i="86"/>
  <c r="K50" i="86"/>
  <c r="I50" i="86"/>
  <c r="G50" i="86"/>
  <c r="E50" i="86"/>
  <c r="D50" i="86"/>
  <c r="M47" i="86"/>
  <c r="O47" i="86" s="1"/>
  <c r="M46" i="86"/>
  <c r="O46" i="86" s="1"/>
  <c r="M45" i="86"/>
  <c r="O45" i="86" s="1"/>
  <c r="K39" i="86"/>
  <c r="C39" i="86"/>
  <c r="M38" i="86"/>
  <c r="M37" i="86"/>
  <c r="O37" i="86" s="1"/>
  <c r="M36" i="86"/>
  <c r="O36" i="86" s="1"/>
  <c r="M35" i="86"/>
  <c r="O35" i="86" s="1"/>
  <c r="O34" i="86"/>
  <c r="M33" i="86"/>
  <c r="O33" i="86" s="1"/>
  <c r="M32" i="86"/>
  <c r="O32" i="86" s="1"/>
  <c r="M31" i="86"/>
  <c r="O31" i="86" s="1"/>
  <c r="M30" i="86"/>
  <c r="O30" i="86" s="1"/>
  <c r="M29" i="86"/>
  <c r="O29" i="86" s="1"/>
  <c r="M28" i="86"/>
  <c r="O28" i="86" s="1"/>
  <c r="M27" i="86"/>
  <c r="M26" i="86"/>
  <c r="O26" i="86" s="1"/>
  <c r="M25" i="86"/>
  <c r="O25" i="86" s="1"/>
  <c r="M24" i="86"/>
  <c r="O24" i="86" s="1"/>
  <c r="M20" i="86"/>
  <c r="O20" i="86" s="1"/>
  <c r="E39" i="86"/>
  <c r="F39" i="86"/>
  <c r="B8" i="86"/>
  <c r="B9" i="86" s="1"/>
  <c r="B10" i="86" s="1"/>
  <c r="B11" i="86" s="1"/>
  <c r="B12" i="86" s="1"/>
  <c r="B13" i="86" s="1"/>
  <c r="B14" i="86" s="1"/>
  <c r="B15" i="86" s="1"/>
  <c r="B16" i="86" s="1"/>
  <c r="B17" i="86" s="1"/>
  <c r="B18" i="86" s="1"/>
  <c r="B19" i="86" s="1"/>
  <c r="B20" i="86" s="1"/>
  <c r="B21" i="86" s="1"/>
  <c r="B22" i="86" s="1"/>
  <c r="B23" i="86" s="1"/>
  <c r="B24" i="86" s="1"/>
  <c r="B25" i="86" s="1"/>
  <c r="B26" i="86" s="1"/>
  <c r="B27" i="86" s="1"/>
  <c r="B28" i="86" s="1"/>
  <c r="B29" i="86" s="1"/>
  <c r="B30" i="86" s="1"/>
  <c r="B31" i="86" s="1"/>
  <c r="B32" i="86" s="1"/>
  <c r="B33" i="86" s="1"/>
  <c r="B34" i="86" s="1"/>
  <c r="B35" i="86" s="1"/>
  <c r="B36" i="86" s="1"/>
  <c r="M18" i="86" l="1"/>
  <c r="O18" i="86" s="1"/>
  <c r="M19" i="86"/>
  <c r="O19" i="86" s="1"/>
  <c r="E51" i="86"/>
  <c r="L39" i="86"/>
  <c r="K40" i="86" s="1"/>
  <c r="I39" i="86"/>
  <c r="M22" i="86"/>
  <c r="O22" i="86" s="1"/>
  <c r="M14" i="86"/>
  <c r="O14" i="86" s="1"/>
  <c r="J39" i="86"/>
  <c r="I51" i="86" s="1"/>
  <c r="H39" i="86"/>
  <c r="M9" i="86"/>
  <c r="O9" i="86" s="1"/>
  <c r="M8" i="86"/>
  <c r="O8" i="86" s="1"/>
  <c r="M7" i="86"/>
  <c r="O7" i="86" s="1"/>
  <c r="E40" i="86"/>
  <c r="G39" i="86"/>
  <c r="C55" i="86" s="1"/>
  <c r="M10" i="86"/>
  <c r="O10" i="86" s="1"/>
  <c r="M17" i="86"/>
  <c r="O17" i="86" s="1"/>
  <c r="M11" i="86"/>
  <c r="O11" i="86" s="1"/>
  <c r="O27" i="86"/>
  <c r="D39" i="86"/>
  <c r="M48" i="86"/>
  <c r="O48" i="86" s="1"/>
  <c r="K51" i="86" l="1"/>
  <c r="G51" i="86"/>
  <c r="D55" i="86"/>
  <c r="I40" i="86"/>
  <c r="G40" i="86"/>
  <c r="D51" i="86"/>
  <c r="M39" i="86"/>
  <c r="O39" i="86" s="1"/>
  <c r="C40" i="86"/>
  <c r="H35" i="85"/>
  <c r="H13" i="85"/>
  <c r="D52" i="86" l="1"/>
  <c r="C60" i="86" s="1"/>
  <c r="C56" i="86"/>
  <c r="H34" i="85"/>
  <c r="J34" i="85"/>
  <c r="H30" i="85"/>
  <c r="H33" i="85"/>
  <c r="H22" i="85"/>
  <c r="H21" i="85"/>
  <c r="H17" i="85"/>
  <c r="H16" i="85"/>
  <c r="H14" i="85"/>
  <c r="H12" i="85"/>
  <c r="H11" i="85"/>
  <c r="H10" i="85"/>
  <c r="H28" i="85" l="1"/>
  <c r="G27" i="85"/>
  <c r="H27" i="85"/>
  <c r="D12" i="85"/>
  <c r="E11" i="85"/>
  <c r="F8" i="85"/>
  <c r="H37" i="85" l="1"/>
  <c r="F37" i="85"/>
  <c r="E37" i="85"/>
  <c r="J35" i="85"/>
  <c r="L33" i="85"/>
  <c r="K33" i="85"/>
  <c r="J33" i="85"/>
  <c r="E33" i="85"/>
  <c r="G33" i="85"/>
  <c r="G32" i="85"/>
  <c r="L32" i="85"/>
  <c r="K32" i="85"/>
  <c r="H32" i="85"/>
  <c r="J31" i="85"/>
  <c r="L29" i="85"/>
  <c r="H29" i="85"/>
  <c r="I29" i="85"/>
  <c r="J28" i="85"/>
  <c r="N27" i="85" l="1"/>
  <c r="L27" i="85"/>
  <c r="H26" i="85"/>
  <c r="L26" i="85"/>
  <c r="H24" i="85" l="1"/>
  <c r="H20" i="85"/>
  <c r="H19" i="85"/>
  <c r="H15" i="85"/>
  <c r="G15" i="85"/>
  <c r="L24" i="85" l="1"/>
  <c r="J22" i="85"/>
  <c r="J21" i="85"/>
  <c r="J20" i="85"/>
  <c r="J19" i="85"/>
  <c r="I19" i="85"/>
  <c r="K19" i="85"/>
  <c r="L17" i="85"/>
  <c r="J17" i="85"/>
  <c r="J15" i="85"/>
  <c r="J14" i="85"/>
  <c r="J13" i="85"/>
  <c r="G10" i="85"/>
  <c r="J10" i="85"/>
  <c r="L7" i="85"/>
  <c r="M27" i="85" l="1"/>
  <c r="O27" i="85" s="1"/>
  <c r="K50" i="85"/>
  <c r="I50" i="85"/>
  <c r="G50" i="85"/>
  <c r="E50" i="85"/>
  <c r="D48" i="85"/>
  <c r="M48" i="85" s="1"/>
  <c r="O48" i="85" s="1"/>
  <c r="M47" i="85"/>
  <c r="O47" i="85" s="1"/>
  <c r="M46" i="85"/>
  <c r="O46" i="85" s="1"/>
  <c r="M45" i="85"/>
  <c r="O45" i="85" s="1"/>
  <c r="N39" i="85"/>
  <c r="K39" i="85"/>
  <c r="M38" i="85"/>
  <c r="M37" i="85"/>
  <c r="O37" i="85" s="1"/>
  <c r="M36" i="85"/>
  <c r="O36" i="85" s="1"/>
  <c r="M35" i="85"/>
  <c r="O35" i="85" s="1"/>
  <c r="M34" i="85"/>
  <c r="O34" i="85" s="1"/>
  <c r="M33" i="85"/>
  <c r="O33" i="85" s="1"/>
  <c r="E39" i="85"/>
  <c r="M32" i="85"/>
  <c r="O32" i="85" s="1"/>
  <c r="M31" i="85"/>
  <c r="O31" i="85" s="1"/>
  <c r="M30" i="85"/>
  <c r="O30" i="85" s="1"/>
  <c r="M29" i="85"/>
  <c r="O29" i="85" s="1"/>
  <c r="M28" i="85"/>
  <c r="O28" i="85" s="1"/>
  <c r="J39" i="85"/>
  <c r="M26" i="85"/>
  <c r="O26" i="85" s="1"/>
  <c r="M25" i="85"/>
  <c r="O25" i="85" s="1"/>
  <c r="M24" i="85"/>
  <c r="O24" i="85" s="1"/>
  <c r="M23" i="85"/>
  <c r="O23" i="85" s="1"/>
  <c r="C39" i="85"/>
  <c r="M21" i="85"/>
  <c r="O21" i="85" s="1"/>
  <c r="M20" i="85"/>
  <c r="O20" i="85" s="1"/>
  <c r="M19" i="85"/>
  <c r="O19" i="85" s="1"/>
  <c r="M18" i="85"/>
  <c r="O18" i="85" s="1"/>
  <c r="M17" i="85"/>
  <c r="O17" i="85" s="1"/>
  <c r="M16" i="85"/>
  <c r="O16" i="85" s="1"/>
  <c r="I39" i="85"/>
  <c r="M15" i="85"/>
  <c r="O15" i="85" s="1"/>
  <c r="D39" i="85"/>
  <c r="M13" i="85"/>
  <c r="O13" i="85" s="1"/>
  <c r="G39" i="85"/>
  <c r="M12" i="85"/>
  <c r="O12" i="85" s="1"/>
  <c r="M11" i="85"/>
  <c r="O11" i="85" s="1"/>
  <c r="H39" i="85"/>
  <c r="M10" i="85"/>
  <c r="O10" i="85" s="1"/>
  <c r="M9" i="85"/>
  <c r="O9" i="85" s="1"/>
  <c r="M8" i="85"/>
  <c r="O8" i="85" s="1"/>
  <c r="B8" i="85"/>
  <c r="B9" i="85" s="1"/>
  <c r="B10" i="85" s="1"/>
  <c r="B11" i="85" s="1"/>
  <c r="B12" i="85" s="1"/>
  <c r="B13" i="85" s="1"/>
  <c r="B14" i="85" s="1"/>
  <c r="B15" i="85" s="1"/>
  <c r="B16" i="85" s="1"/>
  <c r="B17" i="85" s="1"/>
  <c r="B18" i="85" s="1"/>
  <c r="B19" i="85" s="1"/>
  <c r="B20" i="85" s="1"/>
  <c r="B21" i="85" s="1"/>
  <c r="B22" i="85" s="1"/>
  <c r="B23" i="85" s="1"/>
  <c r="B24" i="85" s="1"/>
  <c r="B25" i="85" s="1"/>
  <c r="B26" i="85" s="1"/>
  <c r="B27" i="85" s="1"/>
  <c r="B28" i="85" s="1"/>
  <c r="B29" i="85" s="1"/>
  <c r="B30" i="85" s="1"/>
  <c r="B31" i="85" s="1"/>
  <c r="B32" i="85" s="1"/>
  <c r="B33" i="85" s="1"/>
  <c r="B34" i="85" s="1"/>
  <c r="B35" i="85" s="1"/>
  <c r="M7" i="85"/>
  <c r="O7" i="85" s="1"/>
  <c r="L39" i="85"/>
  <c r="K51" i="85" l="1"/>
  <c r="C55" i="85"/>
  <c r="I51" i="85"/>
  <c r="G51" i="85"/>
  <c r="I40" i="85"/>
  <c r="K40" i="85"/>
  <c r="C40" i="85"/>
  <c r="G40" i="85"/>
  <c r="F39" i="85"/>
  <c r="E51" i="85" s="1"/>
  <c r="M14" i="85"/>
  <c r="O14" i="85" s="1"/>
  <c r="M22" i="85"/>
  <c r="O22" i="85" s="1"/>
  <c r="D50" i="85"/>
  <c r="D51" i="85" s="1"/>
  <c r="M39" i="85" l="1"/>
  <c r="O39" i="85" s="1"/>
  <c r="D55" i="85"/>
  <c r="C56" i="85" s="1"/>
  <c r="D52" i="85"/>
  <c r="C60" i="85" s="1"/>
  <c r="E40" i="85"/>
  <c r="J12" i="84"/>
  <c r="F12" i="84"/>
  <c r="F35" i="84"/>
  <c r="F48" i="84"/>
  <c r="I35" i="84"/>
  <c r="J35" i="84"/>
  <c r="E33" i="84"/>
  <c r="G34" i="84"/>
  <c r="H34" i="84"/>
  <c r="L32" i="84"/>
  <c r="H32" i="84"/>
  <c r="F25" i="84"/>
  <c r="D25" i="84"/>
  <c r="D27" i="84"/>
  <c r="J22" i="84"/>
  <c r="H35" i="84" l="1"/>
  <c r="L34" i="84"/>
  <c r="J33" i="84"/>
  <c r="H33" i="84"/>
  <c r="G32" i="84"/>
  <c r="H31" i="84"/>
  <c r="M31" i="84" s="1"/>
  <c r="H30" i="84"/>
  <c r="H29" i="84"/>
  <c r="J28" i="84"/>
  <c r="H28" i="84"/>
  <c r="H27" i="84"/>
  <c r="G27" i="84"/>
  <c r="J27" i="84"/>
  <c r="J26" i="84"/>
  <c r="H26" i="84"/>
  <c r="G26" i="84"/>
  <c r="H25" i="84"/>
  <c r="J25" i="84"/>
  <c r="L25" i="84"/>
  <c r="C22" i="84"/>
  <c r="L21" i="84"/>
  <c r="G21" i="84"/>
  <c r="J21" i="84"/>
  <c r="H21" i="84"/>
  <c r="G20" i="84"/>
  <c r="H18" i="84"/>
  <c r="G18" i="84"/>
  <c r="L16" i="84"/>
  <c r="J16" i="84"/>
  <c r="H16" i="84"/>
  <c r="L15" i="84"/>
  <c r="H15" i="84"/>
  <c r="I15" i="84"/>
  <c r="J15" i="84"/>
  <c r="D14" i="84"/>
  <c r="H14" i="84"/>
  <c r="G14" i="84"/>
  <c r="H13" i="84"/>
  <c r="G13" i="84"/>
  <c r="H12" i="84"/>
  <c r="G12" i="84"/>
  <c r="C12" i="84"/>
  <c r="H11" i="84"/>
  <c r="J9" i="84"/>
  <c r="J8" i="84"/>
  <c r="G8" i="84"/>
  <c r="L7" i="84"/>
  <c r="I50" i="84" l="1"/>
  <c r="E50" i="84"/>
  <c r="D48" i="84"/>
  <c r="D50" i="84" s="1"/>
  <c r="M47" i="84"/>
  <c r="O47" i="84" s="1"/>
  <c r="M46" i="84"/>
  <c r="O46" i="84" s="1"/>
  <c r="M45" i="84"/>
  <c r="O45" i="84" s="1"/>
  <c r="K39" i="84"/>
  <c r="F39" i="84"/>
  <c r="E39" i="84"/>
  <c r="D39" i="84"/>
  <c r="C39" i="84"/>
  <c r="M38" i="84"/>
  <c r="M37" i="84"/>
  <c r="O37" i="84" s="1"/>
  <c r="G50" i="84"/>
  <c r="M36" i="84"/>
  <c r="O36" i="84" s="1"/>
  <c r="M35" i="84"/>
  <c r="O35" i="84" s="1"/>
  <c r="M34" i="84"/>
  <c r="O34" i="84" s="1"/>
  <c r="M33" i="84"/>
  <c r="O33" i="84" s="1"/>
  <c r="M32" i="84"/>
  <c r="O32" i="84" s="1"/>
  <c r="O31" i="84"/>
  <c r="M30" i="84"/>
  <c r="O30" i="84" s="1"/>
  <c r="M29" i="84"/>
  <c r="O29" i="84" s="1"/>
  <c r="M28" i="84"/>
  <c r="O28" i="84" s="1"/>
  <c r="O27" i="84"/>
  <c r="M26" i="84"/>
  <c r="O26" i="84" s="1"/>
  <c r="M25" i="84"/>
  <c r="O25" i="84" s="1"/>
  <c r="M24" i="84"/>
  <c r="O24" i="84" s="1"/>
  <c r="M23" i="84"/>
  <c r="O23" i="84" s="1"/>
  <c r="M22" i="84"/>
  <c r="O22" i="84" s="1"/>
  <c r="I39" i="84"/>
  <c r="M21" i="84"/>
  <c r="O21" i="84" s="1"/>
  <c r="M20" i="84"/>
  <c r="O20" i="84" s="1"/>
  <c r="M19" i="84"/>
  <c r="O19" i="84" s="1"/>
  <c r="M18" i="84"/>
  <c r="O18" i="84" s="1"/>
  <c r="L39" i="84"/>
  <c r="M17" i="84"/>
  <c r="O17" i="84" s="1"/>
  <c r="M16" i="84"/>
  <c r="O16" i="84" s="1"/>
  <c r="M15" i="84"/>
  <c r="O15" i="84" s="1"/>
  <c r="N39" i="84"/>
  <c r="M14" i="84"/>
  <c r="O14" i="84" s="1"/>
  <c r="M13" i="84"/>
  <c r="O13" i="84" s="1"/>
  <c r="H39" i="84"/>
  <c r="M12" i="84"/>
  <c r="O12" i="84" s="1"/>
  <c r="J39" i="84"/>
  <c r="M10" i="84"/>
  <c r="O10" i="84" s="1"/>
  <c r="M9" i="84"/>
  <c r="O9" i="84" s="1"/>
  <c r="M8" i="84"/>
  <c r="O8" i="84" s="1"/>
  <c r="B8" i="84"/>
  <c r="B9" i="84" s="1"/>
  <c r="B10" i="84" s="1"/>
  <c r="B11" i="84" s="1"/>
  <c r="B12" i="84" s="1"/>
  <c r="B13" i="84" s="1"/>
  <c r="B14" i="84" s="1"/>
  <c r="B15" i="84" s="1"/>
  <c r="B16" i="84" s="1"/>
  <c r="B17" i="84" s="1"/>
  <c r="B18" i="84" s="1"/>
  <c r="B19" i="84" s="1"/>
  <c r="B20" i="84" s="1"/>
  <c r="B21" i="84" s="1"/>
  <c r="B22" i="84" s="1"/>
  <c r="B23" i="84" s="1"/>
  <c r="B24" i="84" s="1"/>
  <c r="B25" i="84" s="1"/>
  <c r="B26" i="84" s="1"/>
  <c r="B27" i="84" s="1"/>
  <c r="B28" i="84" s="1"/>
  <c r="B29" i="84" s="1"/>
  <c r="B30" i="84" s="1"/>
  <c r="B31" i="84" s="1"/>
  <c r="B32" i="84" s="1"/>
  <c r="B33" i="84" s="1"/>
  <c r="B34" i="84" s="1"/>
  <c r="B35" i="84" s="1"/>
  <c r="M7" i="84"/>
  <c r="O7" i="84" s="1"/>
  <c r="E40" i="84" l="1"/>
  <c r="I51" i="84"/>
  <c r="E51" i="84"/>
  <c r="D51" i="84"/>
  <c r="D52" i="84" s="1"/>
  <c r="D55" i="84"/>
  <c r="G51" i="84"/>
  <c r="I40" i="84"/>
  <c r="K40" i="84"/>
  <c r="G39" i="84"/>
  <c r="G40" i="84" s="1"/>
  <c r="C40" i="84"/>
  <c r="K50" i="84"/>
  <c r="K51" i="84" s="1"/>
  <c r="M11" i="84"/>
  <c r="O11" i="84" s="1"/>
  <c r="L37" i="83"/>
  <c r="L48" i="83" s="1"/>
  <c r="H37" i="83"/>
  <c r="H48" i="83" s="1"/>
  <c r="G37" i="83"/>
  <c r="J48" i="83"/>
  <c r="D48" i="83"/>
  <c r="F48" i="83"/>
  <c r="H36" i="83"/>
  <c r="G36" i="83"/>
  <c r="H34" i="83"/>
  <c r="H33" i="83"/>
  <c r="G33" i="83"/>
  <c r="J32" i="83"/>
  <c r="J31" i="83"/>
  <c r="J30" i="83"/>
  <c r="I30" i="83"/>
  <c r="H29" i="83"/>
  <c r="J28" i="83"/>
  <c r="H28" i="83"/>
  <c r="G28" i="83"/>
  <c r="I26" i="83"/>
  <c r="H26" i="83"/>
  <c r="G26" i="83"/>
  <c r="L25" i="83"/>
  <c r="J25" i="83"/>
  <c r="H25" i="83"/>
  <c r="G25" i="83"/>
  <c r="I24" i="83"/>
  <c r="H24" i="83"/>
  <c r="G24" i="83"/>
  <c r="H23" i="83"/>
  <c r="J22" i="83"/>
  <c r="H22" i="83"/>
  <c r="G22" i="83"/>
  <c r="I21" i="83"/>
  <c r="H21" i="83"/>
  <c r="H19" i="83"/>
  <c r="J18" i="83"/>
  <c r="H18" i="83"/>
  <c r="G18" i="83"/>
  <c r="L17" i="83"/>
  <c r="J17" i="83"/>
  <c r="H17" i="83"/>
  <c r="G17" i="83"/>
  <c r="H15" i="83"/>
  <c r="N14" i="83"/>
  <c r="H14" i="83"/>
  <c r="G14" i="83"/>
  <c r="H12" i="83"/>
  <c r="G12" i="83"/>
  <c r="C55" i="84" l="1"/>
  <c r="C56" i="84" s="1"/>
  <c r="M48" i="84"/>
  <c r="O48" i="84" s="1"/>
  <c r="C60" i="84"/>
  <c r="M39" i="84"/>
  <c r="O39" i="84" s="1"/>
  <c r="J11" i="83"/>
  <c r="J39" i="83" l="1"/>
  <c r="G10" i="83"/>
  <c r="M10" i="83" s="1"/>
  <c r="O10" i="83" s="1"/>
  <c r="L48" i="82"/>
  <c r="D48" i="81"/>
  <c r="M45" i="83"/>
  <c r="O45" i="83" s="1"/>
  <c r="I50" i="83"/>
  <c r="G50" i="83"/>
  <c r="M47" i="83"/>
  <c r="O47" i="83" s="1"/>
  <c r="M46" i="83"/>
  <c r="O46" i="83" s="1"/>
  <c r="N39" i="83"/>
  <c r="K39" i="83"/>
  <c r="I39" i="83"/>
  <c r="E39" i="83"/>
  <c r="C39" i="83"/>
  <c r="M38" i="83"/>
  <c r="M37" i="83"/>
  <c r="O37" i="83" s="1"/>
  <c r="M36" i="83"/>
  <c r="O36" i="83" s="1"/>
  <c r="M35" i="83"/>
  <c r="O35" i="83" s="1"/>
  <c r="M34" i="83"/>
  <c r="O34" i="83" s="1"/>
  <c r="M33" i="83"/>
  <c r="O33" i="83" s="1"/>
  <c r="M32" i="83"/>
  <c r="O32" i="83" s="1"/>
  <c r="M31" i="83"/>
  <c r="O31" i="83" s="1"/>
  <c r="M30" i="83"/>
  <c r="O30" i="83" s="1"/>
  <c r="M29" i="83"/>
  <c r="O29" i="83" s="1"/>
  <c r="M28" i="83"/>
  <c r="O28" i="83" s="1"/>
  <c r="M27" i="83"/>
  <c r="O27" i="83" s="1"/>
  <c r="M26" i="83"/>
  <c r="O26" i="83" s="1"/>
  <c r="M25" i="83"/>
  <c r="O25" i="83" s="1"/>
  <c r="M24" i="83"/>
  <c r="O24" i="83" s="1"/>
  <c r="M23" i="83"/>
  <c r="O23" i="83" s="1"/>
  <c r="M22" i="83"/>
  <c r="O22" i="83" s="1"/>
  <c r="M21" i="83"/>
  <c r="O21" i="83" s="1"/>
  <c r="M20" i="83"/>
  <c r="O20" i="83" s="1"/>
  <c r="L39" i="83"/>
  <c r="M18" i="83"/>
  <c r="O18" i="83" s="1"/>
  <c r="M17" i="83"/>
  <c r="O17" i="83" s="1"/>
  <c r="M16" i="83"/>
  <c r="O16" i="83" s="1"/>
  <c r="M15" i="83"/>
  <c r="O15" i="83" s="1"/>
  <c r="M14" i="83"/>
  <c r="O14" i="83" s="1"/>
  <c r="M13" i="83"/>
  <c r="O13" i="83" s="1"/>
  <c r="M12" i="83"/>
  <c r="O12" i="83" s="1"/>
  <c r="M9" i="83"/>
  <c r="O9" i="83" s="1"/>
  <c r="M8" i="83"/>
  <c r="O8" i="83" s="1"/>
  <c r="B8" i="83"/>
  <c r="B9" i="83" s="1"/>
  <c r="B10" i="83" s="1"/>
  <c r="B11" i="83" s="1"/>
  <c r="B12" i="83" s="1"/>
  <c r="B13" i="83" s="1"/>
  <c r="B14" i="83" s="1"/>
  <c r="B15" i="83" s="1"/>
  <c r="B16" i="83" s="1"/>
  <c r="B17" i="83" s="1"/>
  <c r="B18" i="83" s="1"/>
  <c r="B19" i="83" s="1"/>
  <c r="B20" i="83" s="1"/>
  <c r="B21" i="83" s="1"/>
  <c r="B22" i="83" s="1"/>
  <c r="B23" i="83" s="1"/>
  <c r="B24" i="83" s="1"/>
  <c r="B25" i="83" s="1"/>
  <c r="B26" i="83" s="1"/>
  <c r="B27" i="83" s="1"/>
  <c r="B28" i="83" s="1"/>
  <c r="B29" i="83" s="1"/>
  <c r="B30" i="83" s="1"/>
  <c r="B31" i="83" s="1"/>
  <c r="B32" i="83" s="1"/>
  <c r="B33" i="83" s="1"/>
  <c r="B34" i="83" s="1"/>
  <c r="B35" i="83" s="1"/>
  <c r="B36" i="83" s="1"/>
  <c r="B37" i="83" s="1"/>
  <c r="M7" i="83"/>
  <c r="F39" i="83"/>
  <c r="M48" i="83" l="1"/>
  <c r="O48" i="83" s="1"/>
  <c r="M11" i="83"/>
  <c r="O11" i="83" s="1"/>
  <c r="G39" i="83"/>
  <c r="C55" i="83" s="1"/>
  <c r="D50" i="83"/>
  <c r="I51" i="83"/>
  <c r="N57" i="83" s="1"/>
  <c r="K50" i="83"/>
  <c r="K51" i="83" s="1"/>
  <c r="N58" i="83" s="1"/>
  <c r="K40" i="83"/>
  <c r="I40" i="83"/>
  <c r="E40" i="83"/>
  <c r="D39" i="83"/>
  <c r="H39" i="83"/>
  <c r="G51" i="83" s="1"/>
  <c r="N56" i="83" s="1"/>
  <c r="M19" i="83"/>
  <c r="O19" i="83" s="1"/>
  <c r="E50" i="83"/>
  <c r="E51" i="83" s="1"/>
  <c r="N55" i="83" s="1"/>
  <c r="O7" i="83"/>
  <c r="G40" i="83" l="1"/>
  <c r="D55" i="83"/>
  <c r="C56" i="83" s="1"/>
  <c r="D51" i="83"/>
  <c r="N54" i="83" s="1"/>
  <c r="C40" i="83"/>
  <c r="M39" i="83"/>
  <c r="O39" i="83" s="1"/>
  <c r="H28" i="82"/>
  <c r="H26" i="82"/>
  <c r="N59" i="83" l="1"/>
  <c r="D52" i="83"/>
  <c r="C60" i="83" s="1"/>
  <c r="L24" i="82"/>
  <c r="J24" i="82"/>
  <c r="J21" i="82" l="1"/>
  <c r="I19" i="82" l="1"/>
  <c r="L19" i="82"/>
  <c r="J19" i="82"/>
  <c r="J18" i="82" l="1"/>
  <c r="H15" i="82" l="1"/>
  <c r="J14" i="82"/>
  <c r="F14" i="82"/>
  <c r="J13" i="82" l="1"/>
  <c r="H13" i="82"/>
  <c r="J12" i="82" l="1"/>
  <c r="F12" i="82"/>
  <c r="D12" i="82"/>
  <c r="J11" i="82"/>
  <c r="J10" i="82"/>
  <c r="D10" i="82"/>
  <c r="J8" i="82"/>
  <c r="H8" i="82"/>
  <c r="J7" i="82"/>
  <c r="I7" i="82"/>
  <c r="I39" i="82" s="1"/>
  <c r="F7" i="82"/>
  <c r="M45" i="82"/>
  <c r="O45" i="82" s="1"/>
  <c r="H48" i="81"/>
  <c r="H48" i="82"/>
  <c r="F48" i="82"/>
  <c r="E50" i="82" s="1"/>
  <c r="D48" i="82"/>
  <c r="M47" i="82"/>
  <c r="O47" i="82" s="1"/>
  <c r="M46" i="82"/>
  <c r="O46" i="82" s="1"/>
  <c r="N39" i="82"/>
  <c r="K39" i="82"/>
  <c r="E39" i="82"/>
  <c r="C39" i="82"/>
  <c r="M38" i="82"/>
  <c r="M37" i="82"/>
  <c r="O37" i="82" s="1"/>
  <c r="J48" i="82"/>
  <c r="I50" i="82" s="1"/>
  <c r="M35" i="82"/>
  <c r="O35" i="82" s="1"/>
  <c r="M34" i="82"/>
  <c r="O34" i="82" s="1"/>
  <c r="M33" i="82"/>
  <c r="O33" i="82" s="1"/>
  <c r="M32" i="82"/>
  <c r="O32" i="82" s="1"/>
  <c r="M31" i="82"/>
  <c r="O31" i="82" s="1"/>
  <c r="M30" i="82"/>
  <c r="O30" i="82" s="1"/>
  <c r="M29" i="82"/>
  <c r="O29" i="82" s="1"/>
  <c r="M28" i="82"/>
  <c r="O28" i="82" s="1"/>
  <c r="M27" i="82"/>
  <c r="O27" i="82" s="1"/>
  <c r="M26" i="82"/>
  <c r="O26" i="82" s="1"/>
  <c r="M25" i="82"/>
  <c r="O25" i="82" s="1"/>
  <c r="M24" i="82"/>
  <c r="O24" i="82" s="1"/>
  <c r="M23" i="82"/>
  <c r="O23" i="82" s="1"/>
  <c r="M22" i="82"/>
  <c r="O22" i="82" s="1"/>
  <c r="M21" i="82"/>
  <c r="O21" i="82" s="1"/>
  <c r="M20" i="82"/>
  <c r="O20" i="82" s="1"/>
  <c r="M19" i="82"/>
  <c r="O19" i="82" s="1"/>
  <c r="M18" i="82"/>
  <c r="O18" i="82" s="1"/>
  <c r="M17" i="82"/>
  <c r="O17" i="82" s="1"/>
  <c r="M16" i="82"/>
  <c r="O16" i="82" s="1"/>
  <c r="M15" i="82"/>
  <c r="O15" i="82" s="1"/>
  <c r="L39" i="82"/>
  <c r="M11" i="82"/>
  <c r="O11" i="82" s="1"/>
  <c r="M10" i="82"/>
  <c r="O10" i="82" s="1"/>
  <c r="M9" i="82"/>
  <c r="O9" i="82" s="1"/>
  <c r="B8" i="82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3" i="82" s="1"/>
  <c r="B34" i="82" s="1"/>
  <c r="B35" i="82" s="1"/>
  <c r="B36" i="82" s="1"/>
  <c r="B37" i="82" s="1"/>
  <c r="H39" i="82"/>
  <c r="M12" i="82" l="1"/>
  <c r="O12" i="82" s="1"/>
  <c r="D39" i="82"/>
  <c r="C40" i="82" s="1"/>
  <c r="J39" i="82"/>
  <c r="I51" i="82" s="1"/>
  <c r="N57" i="82" s="1"/>
  <c r="G50" i="82"/>
  <c r="G51" i="82" s="1"/>
  <c r="N56" i="82" s="1"/>
  <c r="K50" i="82"/>
  <c r="K51" i="82" s="1"/>
  <c r="N58" i="82" s="1"/>
  <c r="F39" i="82"/>
  <c r="E51" i="82" s="1"/>
  <c r="N55" i="82" s="1"/>
  <c r="M13" i="82"/>
  <c r="O13" i="82" s="1"/>
  <c r="G39" i="82"/>
  <c r="G40" i="82" s="1"/>
  <c r="D50" i="82"/>
  <c r="M48" i="82"/>
  <c r="O48" i="82" s="1"/>
  <c r="M7" i="82"/>
  <c r="M8" i="82"/>
  <c r="O8" i="82" s="1"/>
  <c r="M14" i="82"/>
  <c r="O14" i="82" s="1"/>
  <c r="K40" i="82"/>
  <c r="M36" i="82"/>
  <c r="O36" i="82" s="1"/>
  <c r="D51" i="82" l="1"/>
  <c r="I40" i="82"/>
  <c r="E40" i="82"/>
  <c r="C55" i="82"/>
  <c r="O7" i="82"/>
  <c r="M39" i="82"/>
  <c r="O39" i="82" s="1"/>
  <c r="D55" i="82"/>
  <c r="D52" i="82" l="1"/>
  <c r="C60" i="82" s="1"/>
  <c r="N54" i="82"/>
  <c r="N59" i="82" s="1"/>
  <c r="C56" i="82"/>
  <c r="L48" i="81" l="1"/>
  <c r="F48" i="81"/>
  <c r="J36" i="81"/>
  <c r="J48" i="81" s="1"/>
  <c r="H35" i="81" l="1"/>
  <c r="D35" i="81"/>
  <c r="I32" i="81"/>
  <c r="J31" i="81"/>
  <c r="F30" i="81"/>
  <c r="H29" i="81"/>
  <c r="J28" i="81" l="1"/>
  <c r="H28" i="81"/>
  <c r="J27" i="81" l="1"/>
  <c r="H24" i="81" l="1"/>
  <c r="J23" i="81"/>
  <c r="L23" i="81"/>
  <c r="H23" i="81"/>
  <c r="F23" i="81"/>
  <c r="E23" i="81"/>
  <c r="J22" i="81" l="1"/>
  <c r="L21" i="81" l="1"/>
  <c r="K21" i="81"/>
  <c r="J21" i="81"/>
  <c r="F21" i="81"/>
  <c r="J20" i="81" l="1"/>
  <c r="H20" i="81"/>
  <c r="D19" i="81"/>
  <c r="C19" i="81"/>
  <c r="H18" i="81" l="1"/>
  <c r="G18" i="81"/>
  <c r="J17" i="81"/>
  <c r="G17" i="81"/>
  <c r="J16" i="81"/>
  <c r="I16" i="81"/>
  <c r="H16" i="81"/>
  <c r="F16" i="81"/>
  <c r="J15" i="81" l="1"/>
  <c r="D14" i="81" l="1"/>
  <c r="L14" i="81"/>
  <c r="I13" i="81" l="1"/>
  <c r="J12" i="81" l="1"/>
  <c r="H12" i="81"/>
  <c r="G12" i="81"/>
  <c r="D12" i="81"/>
  <c r="H10" i="81"/>
  <c r="J9" i="81"/>
  <c r="H9" i="81"/>
  <c r="F9" i="81"/>
  <c r="D9" i="81"/>
  <c r="L8" i="81"/>
  <c r="J8" i="81"/>
  <c r="D8" i="81"/>
  <c r="H7" i="81"/>
  <c r="F7" i="81"/>
  <c r="D7" i="81"/>
  <c r="C7" i="81"/>
  <c r="M45" i="81" l="1"/>
  <c r="O45" i="81" s="1"/>
  <c r="K50" i="81"/>
  <c r="I50" i="81"/>
  <c r="G50" i="81"/>
  <c r="E50" i="81"/>
  <c r="D50" i="81"/>
  <c r="M48" i="81"/>
  <c r="O48" i="81" s="1"/>
  <c r="M47" i="81"/>
  <c r="O47" i="81" s="1"/>
  <c r="M46" i="81"/>
  <c r="O46" i="81" s="1"/>
  <c r="N39" i="81"/>
  <c r="L39" i="81"/>
  <c r="K39" i="81"/>
  <c r="M38" i="81"/>
  <c r="M37" i="81"/>
  <c r="O37" i="81" s="1"/>
  <c r="M36" i="81"/>
  <c r="O36" i="81" s="1"/>
  <c r="M35" i="81"/>
  <c r="O35" i="81" s="1"/>
  <c r="M34" i="81"/>
  <c r="O34" i="81" s="1"/>
  <c r="M33" i="81"/>
  <c r="O33" i="81" s="1"/>
  <c r="M32" i="81"/>
  <c r="O32" i="81" s="1"/>
  <c r="C39" i="81"/>
  <c r="D39" i="81"/>
  <c r="M29" i="81"/>
  <c r="O29" i="81" s="1"/>
  <c r="M28" i="81"/>
  <c r="O28" i="81" s="1"/>
  <c r="M27" i="81"/>
  <c r="O27" i="81" s="1"/>
  <c r="M26" i="81"/>
  <c r="O26" i="81" s="1"/>
  <c r="M25" i="81"/>
  <c r="O25" i="81" s="1"/>
  <c r="M24" i="81"/>
  <c r="O24" i="81" s="1"/>
  <c r="M23" i="81"/>
  <c r="O23" i="81" s="1"/>
  <c r="I39" i="81"/>
  <c r="M22" i="81"/>
  <c r="O22" i="81" s="1"/>
  <c r="M21" i="81"/>
  <c r="O21" i="81" s="1"/>
  <c r="M20" i="81"/>
  <c r="O20" i="81" s="1"/>
  <c r="M19" i="81"/>
  <c r="O19" i="81" s="1"/>
  <c r="M18" i="81"/>
  <c r="O18" i="81" s="1"/>
  <c r="M17" i="81"/>
  <c r="O17" i="81" s="1"/>
  <c r="M16" i="81"/>
  <c r="O16" i="81" s="1"/>
  <c r="M15" i="81"/>
  <c r="O15" i="81" s="1"/>
  <c r="G39" i="81"/>
  <c r="M14" i="81"/>
  <c r="O14" i="81" s="1"/>
  <c r="M13" i="81"/>
  <c r="O13" i="81" s="1"/>
  <c r="F39" i="81"/>
  <c r="M12" i="81"/>
  <c r="O12" i="81" s="1"/>
  <c r="M11" i="81"/>
  <c r="O11" i="81" s="1"/>
  <c r="M10" i="81"/>
  <c r="O10" i="81" s="1"/>
  <c r="M9" i="81"/>
  <c r="O9" i="81" s="1"/>
  <c r="M8" i="81"/>
  <c r="O8" i="81" s="1"/>
  <c r="B8" i="8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34" i="81" s="1"/>
  <c r="B35" i="81" s="1"/>
  <c r="B36" i="81" s="1"/>
  <c r="B37" i="81" s="1"/>
  <c r="M7" i="81"/>
  <c r="O7" i="81" s="1"/>
  <c r="K51" i="81" l="1"/>
  <c r="N58" i="81" s="1"/>
  <c r="E51" i="81"/>
  <c r="N55" i="81" s="1"/>
  <c r="D51" i="81"/>
  <c r="N54" i="81" s="1"/>
  <c r="C40" i="81"/>
  <c r="H39" i="81"/>
  <c r="G40" i="81" s="1"/>
  <c r="M30" i="81"/>
  <c r="O30" i="81" s="1"/>
  <c r="E39" i="81"/>
  <c r="E40" i="81" s="1"/>
  <c r="K40" i="81"/>
  <c r="M31" i="81"/>
  <c r="O31" i="81" s="1"/>
  <c r="J39" i="81"/>
  <c r="C55" i="81" l="1"/>
  <c r="I51" i="81"/>
  <c r="N57" i="81" s="1"/>
  <c r="M39" i="81"/>
  <c r="O39" i="81" s="1"/>
  <c r="G51" i="81"/>
  <c r="N56" i="81" s="1"/>
  <c r="I40" i="81"/>
  <c r="D55" i="81"/>
  <c r="C56" i="81" l="1"/>
  <c r="D52" i="81"/>
  <c r="C60" i="81" s="1"/>
  <c r="N59" i="81"/>
  <c r="AA68" i="80" l="1"/>
  <c r="AB68" i="80" s="1"/>
  <c r="AA66" i="80"/>
  <c r="AB66" i="80" s="1"/>
  <c r="AA62" i="80"/>
  <c r="AB62" i="80" s="1"/>
  <c r="AA58" i="80"/>
  <c r="AB58" i="80" s="1"/>
  <c r="AA54" i="80"/>
  <c r="AB54" i="80" s="1"/>
  <c r="H37" i="80" l="1"/>
  <c r="F37" i="80"/>
  <c r="H36" i="80" l="1"/>
  <c r="D36" i="80"/>
  <c r="H35" i="80" l="1"/>
  <c r="J34" i="80"/>
  <c r="I34" i="80"/>
  <c r="H34" i="80"/>
  <c r="G34" i="80"/>
  <c r="H33" i="80"/>
  <c r="J33" i="80"/>
  <c r="F33" i="80"/>
  <c r="E33" i="80"/>
  <c r="D33" i="80"/>
  <c r="J32" i="80" l="1"/>
  <c r="H32" i="80"/>
  <c r="L31" i="80"/>
  <c r="C31" i="80"/>
  <c r="J30" i="80" l="1"/>
  <c r="H30" i="80"/>
  <c r="G30" i="80"/>
  <c r="F30" i="80"/>
  <c r="D30" i="80"/>
  <c r="H29" i="80" l="1"/>
  <c r="I29" i="80"/>
  <c r="G29" i="80"/>
  <c r="H27" i="80" l="1"/>
  <c r="J27" i="80"/>
  <c r="H26" i="80"/>
  <c r="G26" i="80"/>
  <c r="F26" i="80"/>
  <c r="E26" i="80"/>
  <c r="H25" i="80" l="1"/>
  <c r="J24" i="80"/>
  <c r="I24" i="80"/>
  <c r="H24" i="80"/>
  <c r="G24" i="80"/>
  <c r="J23" i="80" l="1"/>
  <c r="H23" i="80"/>
  <c r="F23" i="80"/>
  <c r="J22" i="80" l="1"/>
  <c r="H22" i="80"/>
  <c r="I22" i="80"/>
  <c r="G22" i="80"/>
  <c r="F22" i="80"/>
  <c r="H21" i="80"/>
  <c r="G21" i="80"/>
  <c r="F21" i="80"/>
  <c r="G18" i="80" l="1"/>
  <c r="H17" i="80" l="1"/>
  <c r="J17" i="80"/>
  <c r="H16" i="80"/>
  <c r="G16" i="80"/>
  <c r="H15" i="80" l="1"/>
  <c r="G15" i="80"/>
  <c r="H14" i="80" l="1"/>
  <c r="J13" i="80"/>
  <c r="H13" i="80"/>
  <c r="J12" i="80"/>
  <c r="H12" i="80"/>
  <c r="F12" i="80"/>
  <c r="AA56" i="80" s="1"/>
  <c r="AB56" i="80" s="1"/>
  <c r="E12" i="80"/>
  <c r="D12" i="80"/>
  <c r="AA52" i="80" s="1"/>
  <c r="J11" i="80"/>
  <c r="H11" i="80"/>
  <c r="AB52" i="80" l="1"/>
  <c r="AA60" i="80"/>
  <c r="AB60" i="80" s="1"/>
  <c r="AA64" i="80"/>
  <c r="AB64" i="80" s="1"/>
  <c r="Q56" i="79"/>
  <c r="K50" i="80"/>
  <c r="I50" i="80"/>
  <c r="M48" i="80"/>
  <c r="M47" i="80"/>
  <c r="M46" i="80"/>
  <c r="M45" i="80"/>
  <c r="M1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8" i="80"/>
  <c r="M17" i="80"/>
  <c r="M16" i="80"/>
  <c r="M15" i="80"/>
  <c r="M14" i="80"/>
  <c r="M13" i="80"/>
  <c r="M12" i="80"/>
  <c r="M11" i="80"/>
  <c r="M10" i="80"/>
  <c r="M9" i="80"/>
  <c r="O9" i="80" s="1"/>
  <c r="M8" i="80"/>
  <c r="M7" i="80"/>
  <c r="L39" i="80"/>
  <c r="AA69" i="80" s="1"/>
  <c r="AB69" i="80" s="1"/>
  <c r="AC69" i="80" s="1"/>
  <c r="N58" i="80" s="1"/>
  <c r="K39" i="80"/>
  <c r="K51" i="80" l="1"/>
  <c r="K40" i="80"/>
  <c r="L34" i="79" l="1"/>
  <c r="G50" i="80"/>
  <c r="E50" i="80"/>
  <c r="D50" i="80"/>
  <c r="O48" i="80"/>
  <c r="O47" i="80"/>
  <c r="O46" i="80"/>
  <c r="O45" i="80"/>
  <c r="N39" i="80"/>
  <c r="J39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C39" i="80"/>
  <c r="O19" i="80"/>
  <c r="O18" i="80"/>
  <c r="O17" i="80"/>
  <c r="O16" i="80"/>
  <c r="O15" i="80"/>
  <c r="O14" i="80"/>
  <c r="O13" i="80"/>
  <c r="O12" i="80"/>
  <c r="O11" i="80"/>
  <c r="O10" i="80"/>
  <c r="O8" i="80"/>
  <c r="I39" i="80"/>
  <c r="H39" i="80"/>
  <c r="AA61" i="80" s="1"/>
  <c r="AB61" i="80" s="1"/>
  <c r="AC61" i="80" s="1"/>
  <c r="N56" i="80" s="1"/>
  <c r="G39" i="80"/>
  <c r="B8" i="80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30" i="80" s="1"/>
  <c r="B31" i="80" s="1"/>
  <c r="B32" i="80" s="1"/>
  <c r="B33" i="80" s="1"/>
  <c r="B34" i="80" s="1"/>
  <c r="B35" i="80" s="1"/>
  <c r="B36" i="80" s="1"/>
  <c r="B37" i="80" s="1"/>
  <c r="H36" i="79"/>
  <c r="J35" i="79"/>
  <c r="F35" i="79"/>
  <c r="I51" i="80" l="1"/>
  <c r="AA65" i="80"/>
  <c r="AB65" i="80" s="1"/>
  <c r="AC65" i="80" s="1"/>
  <c r="N57" i="80" s="1"/>
  <c r="I40" i="80"/>
  <c r="G51" i="80"/>
  <c r="G40" i="80"/>
  <c r="M39" i="80"/>
  <c r="O39" i="80" s="1"/>
  <c r="D39" i="80"/>
  <c r="E39" i="80"/>
  <c r="C55" i="80" s="1"/>
  <c r="F39" i="80"/>
  <c r="O7" i="80"/>
  <c r="D51" i="80" l="1"/>
  <c r="AA53" i="80"/>
  <c r="AB53" i="80" s="1"/>
  <c r="AC53" i="80" s="1"/>
  <c r="E51" i="80"/>
  <c r="D52" i="80" s="1"/>
  <c r="C60" i="80" s="1"/>
  <c r="AA57" i="80"/>
  <c r="AB57" i="80" s="1"/>
  <c r="AC57" i="80" s="1"/>
  <c r="N55" i="80" s="1"/>
  <c r="D55" i="80"/>
  <c r="C56" i="80" s="1"/>
  <c r="C40" i="80"/>
  <c r="E40" i="80"/>
  <c r="N54" i="80" l="1"/>
  <c r="AC71" i="80"/>
  <c r="N59" i="80"/>
  <c r="J33" i="79" l="1"/>
  <c r="H32" i="79" l="1"/>
  <c r="I32" i="79"/>
  <c r="L31" i="79" l="1"/>
  <c r="J31" i="79"/>
  <c r="H31" i="79"/>
  <c r="F31" i="79"/>
  <c r="D31" i="79"/>
  <c r="H29" i="79" l="1"/>
  <c r="G29" i="79"/>
  <c r="J28" i="79"/>
  <c r="H28" i="79"/>
  <c r="G28" i="79"/>
  <c r="F28" i="79"/>
  <c r="E28" i="79"/>
  <c r="D28" i="79"/>
  <c r="J27" i="79" l="1"/>
  <c r="H27" i="79"/>
  <c r="H26" i="79"/>
  <c r="F26" i="79"/>
  <c r="I25" i="79" l="1"/>
  <c r="H25" i="79"/>
  <c r="G25" i="79"/>
  <c r="F25" i="79"/>
  <c r="D25" i="79"/>
  <c r="J24" i="79" l="1"/>
  <c r="H24" i="79"/>
  <c r="D24" i="79"/>
  <c r="H22" i="79" l="1"/>
  <c r="E22" i="79"/>
  <c r="J21" i="79"/>
  <c r="G21" i="79"/>
  <c r="H20" i="79" l="1"/>
  <c r="C20" i="79"/>
  <c r="H19" i="79"/>
  <c r="E19" i="79"/>
  <c r="D19" i="79"/>
  <c r="H18" i="79" l="1"/>
  <c r="G18" i="79"/>
  <c r="H17" i="79" l="1"/>
  <c r="D17" i="79"/>
  <c r="H16" i="79"/>
  <c r="J15" i="79"/>
  <c r="H14" i="79"/>
  <c r="G14" i="79"/>
  <c r="F14" i="79"/>
  <c r="E14" i="79"/>
  <c r="H13" i="79"/>
  <c r="G13" i="79"/>
  <c r="D13" i="79"/>
  <c r="K13" i="79" s="1"/>
  <c r="H12" i="79" l="1"/>
  <c r="F12" i="79"/>
  <c r="D12" i="79"/>
  <c r="F11" i="79" l="1"/>
  <c r="H10" i="79"/>
  <c r="H8" i="79"/>
  <c r="I8" i="79"/>
  <c r="G8" i="79"/>
  <c r="F7" i="79"/>
  <c r="K7" i="79" s="1"/>
  <c r="I50" i="79"/>
  <c r="G50" i="79"/>
  <c r="E50" i="79"/>
  <c r="D50" i="79"/>
  <c r="K48" i="79"/>
  <c r="M48" i="79" s="1"/>
  <c r="M47" i="79"/>
  <c r="K47" i="79"/>
  <c r="K46" i="79"/>
  <c r="M46" i="79" s="1"/>
  <c r="K45" i="79"/>
  <c r="M45" i="79" s="1"/>
  <c r="L39" i="79"/>
  <c r="K37" i="79"/>
  <c r="M37" i="79" s="1"/>
  <c r="K36" i="79"/>
  <c r="M36" i="79" s="1"/>
  <c r="K35" i="79"/>
  <c r="M35" i="79" s="1"/>
  <c r="K34" i="79"/>
  <c r="M34" i="79" s="1"/>
  <c r="K33" i="79"/>
  <c r="M33" i="79" s="1"/>
  <c r="K32" i="79"/>
  <c r="M32" i="79" s="1"/>
  <c r="K31" i="79"/>
  <c r="M31" i="79" s="1"/>
  <c r="K29" i="79"/>
  <c r="M29" i="79" s="1"/>
  <c r="K28" i="79"/>
  <c r="M28" i="79" s="1"/>
  <c r="C39" i="79"/>
  <c r="K26" i="79"/>
  <c r="M26" i="79" s="1"/>
  <c r="K25" i="79"/>
  <c r="M25" i="79" s="1"/>
  <c r="K24" i="79"/>
  <c r="M24" i="79" s="1"/>
  <c r="G39" i="79"/>
  <c r="K22" i="79"/>
  <c r="M22" i="79" s="1"/>
  <c r="K21" i="79"/>
  <c r="M21" i="79" s="1"/>
  <c r="K19" i="79"/>
  <c r="M19" i="79" s="1"/>
  <c r="K18" i="79"/>
  <c r="M18" i="79" s="1"/>
  <c r="K17" i="79"/>
  <c r="M17" i="79" s="1"/>
  <c r="K16" i="79"/>
  <c r="M16" i="79" s="1"/>
  <c r="K15" i="79"/>
  <c r="M15" i="79" s="1"/>
  <c r="K14" i="79"/>
  <c r="M14" i="79" s="1"/>
  <c r="M13" i="79"/>
  <c r="K12" i="79"/>
  <c r="M12" i="79" s="1"/>
  <c r="K11" i="79"/>
  <c r="M11" i="79" s="1"/>
  <c r="K9" i="79"/>
  <c r="M9" i="79" s="1"/>
  <c r="B8" i="79"/>
  <c r="B9" i="79" s="1"/>
  <c r="B10" i="79" s="1"/>
  <c r="B11" i="79" s="1"/>
  <c r="B12" i="79" s="1"/>
  <c r="B13" i="79" s="1"/>
  <c r="B14" i="79" s="1"/>
  <c r="B15" i="79" s="1"/>
  <c r="B16" i="79" s="1"/>
  <c r="B17" i="79" s="1"/>
  <c r="B18" i="79" s="1"/>
  <c r="B19" i="79" s="1"/>
  <c r="B20" i="79" s="1"/>
  <c r="B21" i="79" s="1"/>
  <c r="B22" i="79" s="1"/>
  <c r="B23" i="79" s="1"/>
  <c r="B24" i="79" s="1"/>
  <c r="B25" i="79" s="1"/>
  <c r="B26" i="79" s="1"/>
  <c r="B27" i="79" s="1"/>
  <c r="B28" i="79" s="1"/>
  <c r="B29" i="79" s="1"/>
  <c r="B30" i="79" s="1"/>
  <c r="B31" i="79" s="1"/>
  <c r="B32" i="79" s="1"/>
  <c r="B33" i="79" s="1"/>
  <c r="B34" i="79" s="1"/>
  <c r="B35" i="79" s="1"/>
  <c r="B36" i="79" s="1"/>
  <c r="B37" i="79" s="1"/>
  <c r="K8" i="79" l="1"/>
  <c r="M8" i="79" s="1"/>
  <c r="K30" i="79"/>
  <c r="M30" i="79" s="1"/>
  <c r="E39" i="79"/>
  <c r="K23" i="79"/>
  <c r="M23" i="79" s="1"/>
  <c r="M7" i="79"/>
  <c r="H39" i="79"/>
  <c r="G51" i="79" s="1"/>
  <c r="L56" i="79" s="1"/>
  <c r="K10" i="79"/>
  <c r="M10" i="79" s="1"/>
  <c r="D39" i="79"/>
  <c r="C40" i="79" s="1"/>
  <c r="K20" i="79"/>
  <c r="M20" i="79" s="1"/>
  <c r="I39" i="79"/>
  <c r="F39" i="79"/>
  <c r="E51" i="79" s="1"/>
  <c r="L55" i="79" s="1"/>
  <c r="J39" i="79"/>
  <c r="I51" i="79" s="1"/>
  <c r="L57" i="79" s="1"/>
  <c r="K27" i="79"/>
  <c r="M27" i="79" s="1"/>
  <c r="I40" i="79" l="1"/>
  <c r="E40" i="79"/>
  <c r="C55" i="79"/>
  <c r="D55" i="79"/>
  <c r="D51" i="79"/>
  <c r="L54" i="79" s="1"/>
  <c r="L58" i="79" s="1"/>
  <c r="G40" i="79"/>
  <c r="K39" i="79"/>
  <c r="M39" i="79" s="1"/>
  <c r="C56" i="79" l="1"/>
  <c r="D52" i="79"/>
  <c r="C59" i="79" s="1"/>
  <c r="Q56" i="78" l="1"/>
  <c r="F37" i="78" l="1"/>
  <c r="D37" i="78"/>
  <c r="F36" i="78"/>
  <c r="D36" i="78"/>
  <c r="H35" i="78"/>
  <c r="F35" i="78"/>
  <c r="D34" i="78" l="1"/>
  <c r="J31" i="78"/>
  <c r="E31" i="78"/>
  <c r="F30" i="78"/>
  <c r="E30" i="78"/>
  <c r="J29" i="78"/>
  <c r="E29" i="78"/>
  <c r="D29" i="78"/>
  <c r="C29" i="78"/>
  <c r="H28" i="78"/>
  <c r="F28" i="78"/>
  <c r="J27" i="78"/>
  <c r="H27" i="78"/>
  <c r="D27" i="78"/>
  <c r="C27" i="78"/>
  <c r="H25" i="78"/>
  <c r="G25" i="78"/>
  <c r="H22" i="78"/>
  <c r="H24" i="78"/>
  <c r="D24" i="78"/>
  <c r="I23" i="78" l="1"/>
  <c r="G23" i="78"/>
  <c r="E23" i="78"/>
  <c r="D23" i="78"/>
  <c r="J22" i="78" l="1"/>
  <c r="I22" i="78"/>
  <c r="G22" i="78"/>
  <c r="F22" i="78"/>
  <c r="D22" i="78"/>
  <c r="C22" i="78"/>
  <c r="H21" i="78"/>
  <c r="F21" i="78"/>
  <c r="D21" i="78"/>
  <c r="H20" i="78"/>
  <c r="D20" i="78"/>
  <c r="C20" i="78"/>
  <c r="J18" i="78" l="1"/>
  <c r="H18" i="78"/>
  <c r="F17" i="78"/>
  <c r="J16" i="78" l="1"/>
  <c r="F16" i="78"/>
  <c r="J15" i="78" l="1"/>
  <c r="H15" i="78"/>
  <c r="H14" i="78"/>
  <c r="F14" i="78"/>
  <c r="E14" i="78"/>
  <c r="H12" i="78"/>
  <c r="H11" i="78"/>
  <c r="H10" i="78"/>
  <c r="F10" i="78"/>
  <c r="E10" i="78"/>
  <c r="E9" i="78" l="1"/>
  <c r="K9" i="78" s="1"/>
  <c r="M9" i="78" s="1"/>
  <c r="F8" i="78"/>
  <c r="J7" i="78"/>
  <c r="K7" i="78" s="1"/>
  <c r="K45" i="78"/>
  <c r="M45" i="78" s="1"/>
  <c r="I50" i="78"/>
  <c r="G50" i="78"/>
  <c r="E50" i="78"/>
  <c r="D50" i="78"/>
  <c r="K48" i="78"/>
  <c r="M48" i="78" s="1"/>
  <c r="K47" i="78"/>
  <c r="M47" i="78" s="1"/>
  <c r="K46" i="78"/>
  <c r="M46" i="78" s="1"/>
  <c r="L39" i="78"/>
  <c r="C39" i="78"/>
  <c r="K37" i="78"/>
  <c r="M37" i="78" s="1"/>
  <c r="K36" i="78"/>
  <c r="M36" i="78" s="1"/>
  <c r="K35" i="78"/>
  <c r="M35" i="78" s="1"/>
  <c r="K34" i="78"/>
  <c r="M34" i="78" s="1"/>
  <c r="K33" i="78"/>
  <c r="M33" i="78" s="1"/>
  <c r="K32" i="78"/>
  <c r="M32" i="78" s="1"/>
  <c r="K31" i="78"/>
  <c r="M31" i="78" s="1"/>
  <c r="K30" i="78"/>
  <c r="M30" i="78" s="1"/>
  <c r="K29" i="78"/>
  <c r="M29" i="78" s="1"/>
  <c r="K28" i="78"/>
  <c r="M28" i="78" s="1"/>
  <c r="K27" i="78"/>
  <c r="M27" i="78" s="1"/>
  <c r="K26" i="78"/>
  <c r="M26" i="78" s="1"/>
  <c r="K25" i="78"/>
  <c r="M25" i="78" s="1"/>
  <c r="K24" i="78"/>
  <c r="M24" i="78" s="1"/>
  <c r="K23" i="78"/>
  <c r="M23" i="78" s="1"/>
  <c r="K22" i="78"/>
  <c r="M22" i="78" s="1"/>
  <c r="K21" i="78"/>
  <c r="M21" i="78" s="1"/>
  <c r="G39" i="78"/>
  <c r="K20" i="78"/>
  <c r="M20" i="78" s="1"/>
  <c r="K19" i="78"/>
  <c r="M19" i="78" s="1"/>
  <c r="K18" i="78"/>
  <c r="M18" i="78" s="1"/>
  <c r="K17" i="78"/>
  <c r="M17" i="78" s="1"/>
  <c r="I39" i="78"/>
  <c r="K16" i="78"/>
  <c r="M16" i="78" s="1"/>
  <c r="K15" i="78"/>
  <c r="M15" i="78" s="1"/>
  <c r="K14" i="78"/>
  <c r="M14" i="78" s="1"/>
  <c r="K13" i="78"/>
  <c r="M13" i="78" s="1"/>
  <c r="K12" i="78"/>
  <c r="M12" i="78" s="1"/>
  <c r="K11" i="78"/>
  <c r="M11" i="78" s="1"/>
  <c r="D39" i="78"/>
  <c r="K10" i="78"/>
  <c r="M10" i="78" s="1"/>
  <c r="F39" i="78"/>
  <c r="E51" i="78" s="1"/>
  <c r="L55" i="78" s="1"/>
  <c r="K8" i="78"/>
  <c r="M8" i="78" s="1"/>
  <c r="B8" i="78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J39" i="78" l="1"/>
  <c r="I51" i="78" s="1"/>
  <c r="L57" i="78" s="1"/>
  <c r="I40" i="78"/>
  <c r="D51" i="78"/>
  <c r="L54" i="78" s="1"/>
  <c r="K39" i="78"/>
  <c r="M39" i="78" s="1"/>
  <c r="M7" i="78"/>
  <c r="H39" i="78"/>
  <c r="G51" i="78" s="1"/>
  <c r="L56" i="78" s="1"/>
  <c r="E39" i="78"/>
  <c r="E40" i="78" s="1"/>
  <c r="C40" i="78"/>
  <c r="C55" i="78" l="1"/>
  <c r="G40" i="78"/>
  <c r="D55" i="78"/>
  <c r="L58" i="78"/>
  <c r="D52" i="78"/>
  <c r="C59" i="78" s="1"/>
  <c r="C56" i="78" l="1"/>
  <c r="J26" i="77" l="1"/>
  <c r="I21" i="77" l="1"/>
  <c r="H21" i="77"/>
  <c r="J21" i="77"/>
  <c r="E21" i="77"/>
  <c r="F20" i="77" l="1"/>
  <c r="J20" i="77"/>
  <c r="G20" i="77"/>
  <c r="G19" i="77" l="1"/>
  <c r="J18" i="77" l="1"/>
  <c r="F18" i="77"/>
  <c r="H17" i="77"/>
  <c r="F17" i="77"/>
  <c r="N16" i="77"/>
  <c r="J16" i="77"/>
  <c r="I16" i="77"/>
  <c r="F16" i="77"/>
  <c r="E16" i="77"/>
  <c r="J14" i="77"/>
  <c r="H14" i="77"/>
  <c r="J13" i="77"/>
  <c r="H13" i="77"/>
  <c r="G13" i="77"/>
  <c r="D13" i="77"/>
  <c r="C13" i="77"/>
  <c r="J12" i="77"/>
  <c r="H12" i="77"/>
  <c r="F11" i="77" l="1"/>
  <c r="D11" i="77"/>
  <c r="F10" i="77" l="1"/>
  <c r="D10" i="77"/>
  <c r="F9" i="77" l="1"/>
  <c r="E9" i="77"/>
  <c r="H7" i="77" l="1"/>
  <c r="J7" i="77"/>
  <c r="I50" i="77"/>
  <c r="G50" i="77"/>
  <c r="E50" i="77"/>
  <c r="D50" i="77"/>
  <c r="K48" i="77"/>
  <c r="M48" i="77" s="1"/>
  <c r="K47" i="77"/>
  <c r="M47" i="77" s="1"/>
  <c r="K46" i="77"/>
  <c r="M46" i="77" s="1"/>
  <c r="K45" i="77"/>
  <c r="M45" i="77" s="1"/>
  <c r="L39" i="77"/>
  <c r="G39" i="77"/>
  <c r="D39" i="77"/>
  <c r="K37" i="77"/>
  <c r="M37" i="77" s="1"/>
  <c r="K36" i="77"/>
  <c r="M36" i="77" s="1"/>
  <c r="K35" i="77"/>
  <c r="M35" i="77" s="1"/>
  <c r="E39" i="77"/>
  <c r="K34" i="77"/>
  <c r="M34" i="77" s="1"/>
  <c r="K33" i="77"/>
  <c r="M33" i="77" s="1"/>
  <c r="K32" i="77"/>
  <c r="M32" i="77" s="1"/>
  <c r="K31" i="77"/>
  <c r="M31" i="77" s="1"/>
  <c r="K30" i="77"/>
  <c r="M30" i="77" s="1"/>
  <c r="K29" i="77"/>
  <c r="M29" i="77" s="1"/>
  <c r="K28" i="77"/>
  <c r="M28" i="77" s="1"/>
  <c r="K27" i="77"/>
  <c r="M27" i="77" s="1"/>
  <c r="K26" i="77"/>
  <c r="M26" i="77" s="1"/>
  <c r="K25" i="77"/>
  <c r="M25" i="77" s="1"/>
  <c r="K24" i="77"/>
  <c r="M24" i="77" s="1"/>
  <c r="K23" i="77"/>
  <c r="M23" i="77" s="1"/>
  <c r="K22" i="77"/>
  <c r="M22" i="77" s="1"/>
  <c r="K21" i="77"/>
  <c r="M21" i="77" s="1"/>
  <c r="K20" i="77"/>
  <c r="M20" i="77" s="1"/>
  <c r="K19" i="77"/>
  <c r="M19" i="77" s="1"/>
  <c r="K18" i="77"/>
  <c r="M18" i="77" s="1"/>
  <c r="K17" i="77"/>
  <c r="M17" i="77" s="1"/>
  <c r="K16" i="77"/>
  <c r="M16" i="77" s="1"/>
  <c r="J39" i="77"/>
  <c r="K14" i="77"/>
  <c r="M14" i="77" s="1"/>
  <c r="K13" i="77"/>
  <c r="M13" i="77" s="1"/>
  <c r="K12" i="77"/>
  <c r="M12" i="77" s="1"/>
  <c r="I39" i="77"/>
  <c r="C39" i="77"/>
  <c r="K10" i="77"/>
  <c r="M10" i="77" s="1"/>
  <c r="K9" i="77"/>
  <c r="M9" i="77" s="1"/>
  <c r="K8" i="77"/>
  <c r="M8" i="77" s="1"/>
  <c r="B8" i="77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K7" i="77"/>
  <c r="M7" i="77" s="1"/>
  <c r="F39" i="77"/>
  <c r="F36" i="76"/>
  <c r="E36" i="76"/>
  <c r="C36" i="76"/>
  <c r="E40" i="77" l="1"/>
  <c r="I51" i="77"/>
  <c r="L57" i="77" s="1"/>
  <c r="E51" i="77"/>
  <c r="L55" i="77" s="1"/>
  <c r="C40" i="77"/>
  <c r="C55" i="77"/>
  <c r="I40" i="77"/>
  <c r="H39" i="77"/>
  <c r="K15" i="77"/>
  <c r="M15" i="77" s="1"/>
  <c r="K11" i="77"/>
  <c r="M11" i="77" s="1"/>
  <c r="D51" i="77"/>
  <c r="G51" i="77" l="1"/>
  <c r="L56" i="77" s="1"/>
  <c r="G40" i="77"/>
  <c r="L54" i="77"/>
  <c r="K39" i="77"/>
  <c r="M39" i="77" s="1"/>
  <c r="D55" i="77"/>
  <c r="C56" i="77" s="1"/>
  <c r="D52" i="77" l="1"/>
  <c r="C59" i="77" s="1"/>
  <c r="L58" i="77"/>
  <c r="Q35" i="76" l="1"/>
  <c r="J35" i="76"/>
  <c r="F35" i="76"/>
  <c r="F34" i="76"/>
  <c r="E34" i="76"/>
  <c r="D34" i="76"/>
  <c r="C34" i="76"/>
  <c r="F33" i="76" l="1"/>
  <c r="D32" i="76"/>
  <c r="F29" i="76" l="1"/>
  <c r="E29" i="76"/>
  <c r="D29" i="76"/>
  <c r="F27" i="76" l="1"/>
  <c r="D27" i="76"/>
  <c r="F26" i="76"/>
  <c r="F20" i="76" l="1"/>
  <c r="F19" i="76" l="1"/>
  <c r="E19" i="76"/>
  <c r="H16" i="76" l="1"/>
  <c r="J15" i="76"/>
  <c r="F14" i="76" l="1"/>
  <c r="F13" i="76"/>
  <c r="E13" i="76"/>
  <c r="D13" i="76"/>
  <c r="C13" i="76"/>
  <c r="D12" i="76"/>
  <c r="I11" i="76" l="1"/>
  <c r="F11" i="76"/>
  <c r="E11" i="76"/>
  <c r="D11" i="76"/>
  <c r="C11" i="76"/>
  <c r="F8" i="76" l="1"/>
  <c r="E8" i="76"/>
  <c r="F7" i="76"/>
  <c r="I50" i="76" l="1"/>
  <c r="G50" i="76"/>
  <c r="E50" i="76"/>
  <c r="D50" i="76"/>
  <c r="K48" i="76"/>
  <c r="M48" i="76" s="1"/>
  <c r="K47" i="76"/>
  <c r="M47" i="76" s="1"/>
  <c r="K46" i="76"/>
  <c r="M46" i="76" s="1"/>
  <c r="K45" i="76"/>
  <c r="M45" i="76" s="1"/>
  <c r="L39" i="76"/>
  <c r="J39" i="76"/>
  <c r="I39" i="76"/>
  <c r="H39" i="76"/>
  <c r="G39" i="76"/>
  <c r="K37" i="76"/>
  <c r="M37" i="76" s="1"/>
  <c r="K36" i="76"/>
  <c r="M36" i="76" s="1"/>
  <c r="K35" i="76"/>
  <c r="M35" i="76" s="1"/>
  <c r="K34" i="76"/>
  <c r="M34" i="76" s="1"/>
  <c r="K33" i="76"/>
  <c r="M33" i="76" s="1"/>
  <c r="K32" i="76"/>
  <c r="M32" i="76" s="1"/>
  <c r="K31" i="76"/>
  <c r="M31" i="76" s="1"/>
  <c r="K30" i="76"/>
  <c r="M30" i="76" s="1"/>
  <c r="E39" i="76"/>
  <c r="K29" i="76"/>
  <c r="M29" i="76" s="1"/>
  <c r="K28" i="76"/>
  <c r="M28" i="76" s="1"/>
  <c r="K27" i="76"/>
  <c r="M27" i="76" s="1"/>
  <c r="K26" i="76"/>
  <c r="M26" i="76" s="1"/>
  <c r="K25" i="76"/>
  <c r="M25" i="76" s="1"/>
  <c r="K24" i="76"/>
  <c r="M24" i="76" s="1"/>
  <c r="K23" i="76"/>
  <c r="M23" i="76" s="1"/>
  <c r="K22" i="76"/>
  <c r="M22" i="76" s="1"/>
  <c r="D39" i="76"/>
  <c r="C39" i="76"/>
  <c r="K20" i="76"/>
  <c r="M20" i="76" s="1"/>
  <c r="K19" i="76"/>
  <c r="M19" i="76" s="1"/>
  <c r="K18" i="76"/>
  <c r="M18" i="76" s="1"/>
  <c r="K17" i="76"/>
  <c r="M17" i="76" s="1"/>
  <c r="K16" i="76"/>
  <c r="M16" i="76" s="1"/>
  <c r="K15" i="76"/>
  <c r="M15" i="76" s="1"/>
  <c r="K14" i="76"/>
  <c r="M14" i="76" s="1"/>
  <c r="K13" i="76"/>
  <c r="M13" i="76" s="1"/>
  <c r="K12" i="76"/>
  <c r="M12" i="76" s="1"/>
  <c r="K11" i="76"/>
  <c r="M11" i="76" s="1"/>
  <c r="K10" i="76"/>
  <c r="M10" i="76" s="1"/>
  <c r="K9" i="76"/>
  <c r="M9" i="76" s="1"/>
  <c r="K8" i="76"/>
  <c r="M8" i="76" s="1"/>
  <c r="B8" i="76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K7" i="76"/>
  <c r="G51" i="76" l="1"/>
  <c r="L56" i="76" s="1"/>
  <c r="I40" i="76"/>
  <c r="I51" i="76"/>
  <c r="L57" i="76" s="1"/>
  <c r="C40" i="76"/>
  <c r="C55" i="76"/>
  <c r="D51" i="76"/>
  <c r="G40" i="76"/>
  <c r="M7" i="76"/>
  <c r="K21" i="76"/>
  <c r="M21" i="76" s="1"/>
  <c r="F39" i="76"/>
  <c r="E51" i="76" s="1"/>
  <c r="L55" i="76" s="1"/>
  <c r="E40" i="76" l="1"/>
  <c r="D55" i="76"/>
  <c r="C56" i="76" s="1"/>
  <c r="L54" i="76"/>
  <c r="L58" i="76" s="1"/>
  <c r="D52" i="76"/>
  <c r="C59" i="76" s="1"/>
  <c r="K39" i="76"/>
  <c r="M39" i="76" s="1"/>
  <c r="F37" i="75" l="1"/>
  <c r="D37" i="75"/>
  <c r="C37" i="75"/>
  <c r="D35" i="75" l="1"/>
  <c r="F33" i="75" l="1"/>
  <c r="F32" i="75"/>
  <c r="E32" i="75"/>
  <c r="F31" i="75" l="1"/>
  <c r="F30" i="75"/>
  <c r="E30" i="75"/>
  <c r="F29" i="75"/>
  <c r="D29" i="75"/>
  <c r="J28" i="75" l="1"/>
  <c r="D28" i="75"/>
  <c r="J26" i="75" l="1"/>
  <c r="C24" i="75" l="1"/>
  <c r="D21" i="75" l="1"/>
  <c r="C21" i="75"/>
  <c r="F20" i="75" l="1"/>
  <c r="H19" i="75"/>
  <c r="F18" i="75" l="1"/>
  <c r="F17" i="75" l="1"/>
  <c r="F16" i="75"/>
  <c r="H13" i="75" l="1"/>
  <c r="F13" i="75"/>
  <c r="F10" i="75" l="1"/>
  <c r="F9" i="75" l="1"/>
  <c r="K45" i="75" l="1"/>
  <c r="M45" i="75" s="1"/>
  <c r="I50" i="75"/>
  <c r="G50" i="75"/>
  <c r="E50" i="75"/>
  <c r="D50" i="75"/>
  <c r="K48" i="75"/>
  <c r="M48" i="75" s="1"/>
  <c r="K47" i="75"/>
  <c r="M47" i="75" s="1"/>
  <c r="K46" i="75"/>
  <c r="M46" i="75" s="1"/>
  <c r="L39" i="75"/>
  <c r="I39" i="75"/>
  <c r="G39" i="75"/>
  <c r="K37" i="75"/>
  <c r="M37" i="75" s="1"/>
  <c r="K36" i="75"/>
  <c r="M36" i="75" s="1"/>
  <c r="K35" i="75"/>
  <c r="M35" i="75" s="1"/>
  <c r="K34" i="75"/>
  <c r="M34" i="75" s="1"/>
  <c r="K33" i="75"/>
  <c r="M33" i="75" s="1"/>
  <c r="K32" i="75"/>
  <c r="M32" i="75" s="1"/>
  <c r="K31" i="75"/>
  <c r="M31" i="75" s="1"/>
  <c r="K30" i="75"/>
  <c r="M30" i="75" s="1"/>
  <c r="K29" i="75"/>
  <c r="M29" i="75" s="1"/>
  <c r="K28" i="75"/>
  <c r="M28" i="75" s="1"/>
  <c r="K27" i="75"/>
  <c r="M27" i="75" s="1"/>
  <c r="K26" i="75"/>
  <c r="M26" i="75" s="1"/>
  <c r="K25" i="75"/>
  <c r="M25" i="75" s="1"/>
  <c r="K24" i="75"/>
  <c r="M24" i="75" s="1"/>
  <c r="K23" i="75"/>
  <c r="M23" i="75" s="1"/>
  <c r="K22" i="75"/>
  <c r="M22" i="75" s="1"/>
  <c r="K21" i="75"/>
  <c r="M21" i="75" s="1"/>
  <c r="K20" i="75"/>
  <c r="M20" i="75" s="1"/>
  <c r="K19" i="75"/>
  <c r="M19" i="75" s="1"/>
  <c r="K18" i="75"/>
  <c r="M18" i="75" s="1"/>
  <c r="K17" i="75"/>
  <c r="M17" i="75" s="1"/>
  <c r="K16" i="75"/>
  <c r="M16" i="75" s="1"/>
  <c r="K15" i="75"/>
  <c r="M15" i="75" s="1"/>
  <c r="J39" i="75"/>
  <c r="K14" i="75"/>
  <c r="M14" i="75" s="1"/>
  <c r="F39" i="75"/>
  <c r="K13" i="75"/>
  <c r="M13" i="75" s="1"/>
  <c r="D39" i="75"/>
  <c r="E39" i="75"/>
  <c r="C39" i="75"/>
  <c r="K10" i="75"/>
  <c r="M10" i="75" s="1"/>
  <c r="K9" i="75"/>
  <c r="M9" i="75" s="1"/>
  <c r="K8" i="75"/>
  <c r="M8" i="75" s="1"/>
  <c r="B8" i="75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K7" i="75"/>
  <c r="E51" i="75" l="1"/>
  <c r="L55" i="75" s="1"/>
  <c r="I40" i="75"/>
  <c r="I51" i="75"/>
  <c r="L57" i="75" s="1"/>
  <c r="C40" i="75"/>
  <c r="C55" i="75"/>
  <c r="E40" i="75"/>
  <c r="D51" i="75"/>
  <c r="L54" i="75" s="1"/>
  <c r="H39" i="75"/>
  <c r="D55" i="75" s="1"/>
  <c r="K12" i="75"/>
  <c r="M12" i="75" s="1"/>
  <c r="M7" i="75"/>
  <c r="K11" i="75"/>
  <c r="M11" i="75" s="1"/>
  <c r="C56" i="75" l="1"/>
  <c r="G51" i="75"/>
  <c r="L56" i="75" s="1"/>
  <c r="G40" i="75"/>
  <c r="K39" i="75"/>
  <c r="M39" i="75" s="1"/>
  <c r="D52" i="75" l="1"/>
  <c r="C59" i="75" s="1"/>
  <c r="L58" i="75"/>
  <c r="J35" i="74" l="1"/>
  <c r="E34" i="74" l="1"/>
  <c r="F32" i="74" l="1"/>
  <c r="F31" i="74" l="1"/>
  <c r="H21" i="74" l="1"/>
  <c r="H20" i="74"/>
  <c r="F19" i="74"/>
  <c r="D18" i="74" l="1"/>
  <c r="F17" i="74"/>
  <c r="J14" i="74" l="1"/>
  <c r="F14" i="74"/>
  <c r="F13" i="74"/>
  <c r="D13" i="74"/>
  <c r="D12" i="74" l="1"/>
  <c r="D11" i="74" l="1"/>
  <c r="C11" i="74"/>
  <c r="E11" i="74"/>
  <c r="D10" i="74" l="1"/>
  <c r="I50" i="74"/>
  <c r="G50" i="74"/>
  <c r="E50" i="74"/>
  <c r="D50" i="74"/>
  <c r="K48" i="74"/>
  <c r="M48" i="74" s="1"/>
  <c r="K47" i="74"/>
  <c r="M47" i="74" s="1"/>
  <c r="K46" i="74"/>
  <c r="M46" i="74" s="1"/>
  <c r="K45" i="74"/>
  <c r="M45" i="74" s="1"/>
  <c r="L39" i="74"/>
  <c r="J39" i="74"/>
  <c r="I51" i="74" s="1"/>
  <c r="L57" i="74" s="1"/>
  <c r="H39" i="74"/>
  <c r="G39" i="74"/>
  <c r="E39" i="74"/>
  <c r="C39" i="74"/>
  <c r="K37" i="74"/>
  <c r="M37" i="74" s="1"/>
  <c r="K36" i="74"/>
  <c r="M36" i="74" s="1"/>
  <c r="K35" i="74"/>
  <c r="M35" i="74" s="1"/>
  <c r="K34" i="74"/>
  <c r="M34" i="74" s="1"/>
  <c r="K33" i="74"/>
  <c r="M33" i="74" s="1"/>
  <c r="K32" i="74"/>
  <c r="M32" i="74" s="1"/>
  <c r="K31" i="74"/>
  <c r="M31" i="74" s="1"/>
  <c r="K30" i="74"/>
  <c r="M30" i="74" s="1"/>
  <c r="K29" i="74"/>
  <c r="M29" i="74" s="1"/>
  <c r="K28" i="74"/>
  <c r="M28" i="74" s="1"/>
  <c r="K27" i="74"/>
  <c r="M27" i="74" s="1"/>
  <c r="K26" i="74"/>
  <c r="M26" i="74" s="1"/>
  <c r="K25" i="74"/>
  <c r="M25" i="74" s="1"/>
  <c r="K24" i="74"/>
  <c r="M24" i="74" s="1"/>
  <c r="K23" i="74"/>
  <c r="M23" i="74" s="1"/>
  <c r="K22" i="74"/>
  <c r="M22" i="74" s="1"/>
  <c r="K21" i="74"/>
  <c r="M21" i="74" s="1"/>
  <c r="K20" i="74"/>
  <c r="M20" i="74" s="1"/>
  <c r="K19" i="74"/>
  <c r="M19" i="74" s="1"/>
  <c r="K18" i="74"/>
  <c r="M18" i="74" s="1"/>
  <c r="K17" i="74"/>
  <c r="M17" i="74" s="1"/>
  <c r="K16" i="74"/>
  <c r="M16" i="74" s="1"/>
  <c r="F39" i="74"/>
  <c r="K15" i="74"/>
  <c r="M15" i="74" s="1"/>
  <c r="K14" i="74"/>
  <c r="M14" i="74" s="1"/>
  <c r="K13" i="74"/>
  <c r="M13" i="74" s="1"/>
  <c r="K12" i="74"/>
  <c r="M12" i="74" s="1"/>
  <c r="K11" i="74"/>
  <c r="M11" i="74" s="1"/>
  <c r="K10" i="74"/>
  <c r="M10" i="74" s="1"/>
  <c r="K9" i="74"/>
  <c r="M9" i="74" s="1"/>
  <c r="K8" i="74"/>
  <c r="M8" i="74" s="1"/>
  <c r="B8" i="74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K7" i="74"/>
  <c r="G40" i="74" l="1"/>
  <c r="G51" i="74"/>
  <c r="L56" i="74" s="1"/>
  <c r="E51" i="74"/>
  <c r="L55" i="74" s="1"/>
  <c r="E40" i="74"/>
  <c r="K39" i="74"/>
  <c r="M39" i="74" s="1"/>
  <c r="D39" i="74"/>
  <c r="C40" i="74" s="1"/>
  <c r="M7" i="74"/>
  <c r="I39" i="74"/>
  <c r="I40" i="74" s="1"/>
  <c r="C55" i="74" l="1"/>
  <c r="D51" i="74"/>
  <c r="L54" i="74" s="1"/>
  <c r="D55" i="74"/>
  <c r="C56" i="74" l="1"/>
  <c r="L58" i="74"/>
  <c r="D52" i="74"/>
  <c r="C59" i="74" s="1"/>
  <c r="I50" i="73"/>
  <c r="G50" i="73"/>
  <c r="E50" i="73"/>
  <c r="D50" i="73"/>
  <c r="K48" i="73"/>
  <c r="M48" i="73" s="1"/>
  <c r="K47" i="73"/>
  <c r="M47" i="73" s="1"/>
  <c r="K46" i="73"/>
  <c r="M46" i="73" s="1"/>
  <c r="K45" i="73"/>
  <c r="M45" i="73" s="1"/>
  <c r="L39" i="73"/>
  <c r="J39" i="73"/>
  <c r="H39" i="73"/>
  <c r="G51" i="73" s="1"/>
  <c r="L56" i="73" s="1"/>
  <c r="G39" i="73"/>
  <c r="E39" i="73"/>
  <c r="C39" i="73"/>
  <c r="K37" i="73"/>
  <c r="M37" i="73" s="1"/>
  <c r="I36" i="73"/>
  <c r="I39" i="73" s="1"/>
  <c r="F35" i="73"/>
  <c r="K35" i="73" s="1"/>
  <c r="M35" i="73" s="1"/>
  <c r="D34" i="73"/>
  <c r="K34" i="73" s="1"/>
  <c r="M34" i="73" s="1"/>
  <c r="D33" i="73"/>
  <c r="K33" i="73" s="1"/>
  <c r="M33" i="73" s="1"/>
  <c r="K32" i="73"/>
  <c r="M32" i="73" s="1"/>
  <c r="K31" i="73"/>
  <c r="M31" i="73" s="1"/>
  <c r="K30" i="73"/>
  <c r="M30" i="73" s="1"/>
  <c r="K29" i="73"/>
  <c r="M29" i="73" s="1"/>
  <c r="K28" i="73"/>
  <c r="M28" i="73" s="1"/>
  <c r="D27" i="73"/>
  <c r="K27" i="73" s="1"/>
  <c r="M27" i="73" s="1"/>
  <c r="D26" i="73"/>
  <c r="K26" i="73" s="1"/>
  <c r="M26" i="73" s="1"/>
  <c r="K25" i="73"/>
  <c r="M25" i="73" s="1"/>
  <c r="K24" i="73"/>
  <c r="M24" i="73" s="1"/>
  <c r="K23" i="73"/>
  <c r="M23" i="73" s="1"/>
  <c r="K22" i="73"/>
  <c r="M22" i="73" s="1"/>
  <c r="D21" i="73"/>
  <c r="K21" i="73" s="1"/>
  <c r="M21" i="73" s="1"/>
  <c r="K20" i="73"/>
  <c r="M20" i="73" s="1"/>
  <c r="K19" i="73"/>
  <c r="M19" i="73" s="1"/>
  <c r="K18" i="73"/>
  <c r="M18" i="73" s="1"/>
  <c r="K17" i="73"/>
  <c r="M17" i="73" s="1"/>
  <c r="K16" i="73"/>
  <c r="M16" i="73" s="1"/>
  <c r="F16" i="73"/>
  <c r="D16" i="73"/>
  <c r="F15" i="73"/>
  <c r="D15" i="73"/>
  <c r="K15" i="73" s="1"/>
  <c r="M15" i="73" s="1"/>
  <c r="K14" i="73"/>
  <c r="M14" i="73" s="1"/>
  <c r="K13" i="73"/>
  <c r="M13" i="73" s="1"/>
  <c r="K12" i="73"/>
  <c r="M12" i="73" s="1"/>
  <c r="K11" i="73"/>
  <c r="M11" i="73" s="1"/>
  <c r="K10" i="73"/>
  <c r="M10" i="73" s="1"/>
  <c r="K9" i="73"/>
  <c r="M9" i="73" s="1"/>
  <c r="K8" i="73"/>
  <c r="M8" i="73" s="1"/>
  <c r="B8" i="73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K7" i="73"/>
  <c r="I51" i="73" l="1"/>
  <c r="L57" i="73" s="1"/>
  <c r="F39" i="73"/>
  <c r="K36" i="73"/>
  <c r="M36" i="73" s="1"/>
  <c r="I40" i="73"/>
  <c r="G40" i="73"/>
  <c r="E51" i="73"/>
  <c r="L55" i="73" s="1"/>
  <c r="E40" i="73"/>
  <c r="D39" i="73"/>
  <c r="C55" i="73"/>
  <c r="M7" i="73"/>
  <c r="K39" i="73" l="1"/>
  <c r="M39" i="73" s="1"/>
  <c r="D51" i="73"/>
  <c r="L54" i="73" s="1"/>
  <c r="D55" i="73"/>
  <c r="C56" i="73" s="1"/>
  <c r="C40" i="73"/>
  <c r="L58" i="73" l="1"/>
  <c r="D52" i="73"/>
  <c r="C59" i="73" s="1"/>
  <c r="I36" i="72" l="1"/>
  <c r="F35" i="72" l="1"/>
  <c r="D34" i="72"/>
  <c r="D33" i="72"/>
  <c r="L39" i="72" l="1"/>
  <c r="D26" i="72"/>
  <c r="D27" i="72"/>
  <c r="D21" i="72" l="1"/>
  <c r="F16" i="72" l="1"/>
  <c r="D16" i="72"/>
  <c r="F15" i="72"/>
  <c r="D15" i="72"/>
  <c r="I50" i="72" l="1"/>
  <c r="G50" i="72"/>
  <c r="E50" i="72"/>
  <c r="D50" i="72"/>
  <c r="K48" i="72"/>
  <c r="M48" i="72" s="1"/>
  <c r="K47" i="72"/>
  <c r="M47" i="72" s="1"/>
  <c r="K46" i="72"/>
  <c r="M46" i="72" s="1"/>
  <c r="K45" i="72"/>
  <c r="M45" i="72" s="1"/>
  <c r="J39" i="72"/>
  <c r="I51" i="72" s="1"/>
  <c r="L57" i="72" s="1"/>
  <c r="I39" i="72"/>
  <c r="H39" i="72"/>
  <c r="G39" i="72"/>
  <c r="E39" i="72"/>
  <c r="C39" i="72"/>
  <c r="K37" i="72"/>
  <c r="M37" i="72" s="1"/>
  <c r="K36" i="72"/>
  <c r="M36" i="72" s="1"/>
  <c r="K35" i="72"/>
  <c r="M35" i="72" s="1"/>
  <c r="K34" i="72"/>
  <c r="M34" i="72" s="1"/>
  <c r="K33" i="72"/>
  <c r="M33" i="72" s="1"/>
  <c r="K32" i="72"/>
  <c r="M32" i="72" s="1"/>
  <c r="K31" i="72"/>
  <c r="M31" i="72" s="1"/>
  <c r="K30" i="72"/>
  <c r="M30" i="72" s="1"/>
  <c r="K29" i="72"/>
  <c r="M29" i="72" s="1"/>
  <c r="K28" i="72"/>
  <c r="M28" i="72" s="1"/>
  <c r="K27" i="72"/>
  <c r="M27" i="72" s="1"/>
  <c r="K26" i="72"/>
  <c r="M26" i="72" s="1"/>
  <c r="K25" i="72"/>
  <c r="M25" i="72" s="1"/>
  <c r="K24" i="72"/>
  <c r="M24" i="72" s="1"/>
  <c r="K23" i="72"/>
  <c r="M23" i="72" s="1"/>
  <c r="K22" i="72"/>
  <c r="M22" i="72" s="1"/>
  <c r="K21" i="72"/>
  <c r="M21" i="72" s="1"/>
  <c r="F39" i="72"/>
  <c r="K19" i="72"/>
  <c r="M19" i="72" s="1"/>
  <c r="K18" i="72"/>
  <c r="M18" i="72" s="1"/>
  <c r="K17" i="72"/>
  <c r="M17" i="72" s="1"/>
  <c r="K16" i="72"/>
  <c r="M16" i="72" s="1"/>
  <c r="K15" i="72"/>
  <c r="M15" i="72" s="1"/>
  <c r="K14" i="72"/>
  <c r="M14" i="72" s="1"/>
  <c r="K13" i="72"/>
  <c r="M13" i="72" s="1"/>
  <c r="K12" i="72"/>
  <c r="M12" i="72" s="1"/>
  <c r="K11" i="72"/>
  <c r="M11" i="72" s="1"/>
  <c r="K10" i="72"/>
  <c r="M10" i="72" s="1"/>
  <c r="K9" i="72"/>
  <c r="M9" i="72" s="1"/>
  <c r="K8" i="72"/>
  <c r="M8" i="72" s="1"/>
  <c r="B8" i="72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37" i="72" s="1"/>
  <c r="K7" i="72"/>
  <c r="M7" i="72" s="1"/>
  <c r="I40" i="72" l="1"/>
  <c r="G40" i="72"/>
  <c r="G51" i="72"/>
  <c r="L56" i="72" s="1"/>
  <c r="C55" i="72"/>
  <c r="E51" i="72"/>
  <c r="L55" i="72" s="1"/>
  <c r="E40" i="72"/>
  <c r="K20" i="72"/>
  <c r="M20" i="72" s="1"/>
  <c r="D39" i="72"/>
  <c r="D28" i="71"/>
  <c r="K39" i="72" l="1"/>
  <c r="M39" i="72" s="1"/>
  <c r="D51" i="72"/>
  <c r="L54" i="72" s="1"/>
  <c r="D55" i="72"/>
  <c r="C56" i="72" s="1"/>
  <c r="C40" i="72"/>
  <c r="D27" i="71"/>
  <c r="L58" i="72" l="1"/>
  <c r="D52" i="72"/>
  <c r="C59" i="72" s="1"/>
  <c r="F22" i="71"/>
  <c r="K7" i="71" l="1"/>
  <c r="M7" i="71" s="1"/>
  <c r="K8" i="71"/>
  <c r="F20" i="71" l="1"/>
  <c r="F16" i="71" l="1"/>
  <c r="D12" i="71" l="1"/>
  <c r="F10" i="71"/>
  <c r="F9" i="71"/>
  <c r="I50" i="71" l="1"/>
  <c r="G50" i="71"/>
  <c r="E50" i="71"/>
  <c r="D50" i="71"/>
  <c r="K48" i="71"/>
  <c r="M48" i="71" s="1"/>
  <c r="K47" i="71"/>
  <c r="M47" i="71" s="1"/>
  <c r="K46" i="71"/>
  <c r="M46" i="71" s="1"/>
  <c r="K45" i="71"/>
  <c r="M45" i="71" s="1"/>
  <c r="L39" i="71"/>
  <c r="J39" i="71"/>
  <c r="I39" i="71"/>
  <c r="H39" i="71"/>
  <c r="G39" i="71"/>
  <c r="E39" i="71"/>
  <c r="D39" i="71"/>
  <c r="D51" i="71" s="1"/>
  <c r="L54" i="71" s="1"/>
  <c r="C39" i="71"/>
  <c r="K37" i="71"/>
  <c r="M37" i="71" s="1"/>
  <c r="K36" i="71"/>
  <c r="M36" i="71" s="1"/>
  <c r="K35" i="71"/>
  <c r="M35" i="71" s="1"/>
  <c r="K34" i="71"/>
  <c r="M34" i="71" s="1"/>
  <c r="K33" i="71"/>
  <c r="M33" i="71" s="1"/>
  <c r="K32" i="71"/>
  <c r="M32" i="71" s="1"/>
  <c r="K31" i="71"/>
  <c r="M31" i="71" s="1"/>
  <c r="K30" i="71"/>
  <c r="M30" i="71" s="1"/>
  <c r="K29" i="71"/>
  <c r="M29" i="71" s="1"/>
  <c r="K28" i="71"/>
  <c r="M28" i="71" s="1"/>
  <c r="K27" i="71"/>
  <c r="M27" i="71" s="1"/>
  <c r="K26" i="71"/>
  <c r="M26" i="71" s="1"/>
  <c r="K25" i="71"/>
  <c r="M25" i="71" s="1"/>
  <c r="K24" i="71"/>
  <c r="M24" i="71" s="1"/>
  <c r="K23" i="71"/>
  <c r="M23" i="71" s="1"/>
  <c r="K22" i="71"/>
  <c r="M22" i="71" s="1"/>
  <c r="K21" i="71"/>
  <c r="M21" i="71" s="1"/>
  <c r="K20" i="71"/>
  <c r="M20" i="71" s="1"/>
  <c r="K19" i="71"/>
  <c r="M19" i="71" s="1"/>
  <c r="F39" i="71"/>
  <c r="K18" i="71"/>
  <c r="M18" i="71" s="1"/>
  <c r="K17" i="71"/>
  <c r="M17" i="71" s="1"/>
  <c r="K16" i="71"/>
  <c r="M16" i="71" s="1"/>
  <c r="K15" i="71"/>
  <c r="M15" i="71" s="1"/>
  <c r="K14" i="71"/>
  <c r="M14" i="71" s="1"/>
  <c r="K13" i="71"/>
  <c r="M13" i="71" s="1"/>
  <c r="K12" i="71"/>
  <c r="M12" i="71" s="1"/>
  <c r="K11" i="71"/>
  <c r="M11" i="71" s="1"/>
  <c r="K10" i="71"/>
  <c r="M10" i="71" s="1"/>
  <c r="K9" i="71"/>
  <c r="M9" i="71" s="1"/>
  <c r="B8" i="71"/>
  <c r="B9" i="71" s="1"/>
  <c r="B10" i="71" s="1"/>
  <c r="B11" i="71" s="1"/>
  <c r="B12" i="71" s="1"/>
  <c r="B13" i="71" s="1"/>
  <c r="B14" i="71" s="1"/>
  <c r="B15" i="71" s="1"/>
  <c r="B16" i="71" s="1"/>
  <c r="B17" i="71" s="1"/>
  <c r="B18" i="71" s="1"/>
  <c r="B19" i="71" s="1"/>
  <c r="B20" i="71" s="1"/>
  <c r="B21" i="71" s="1"/>
  <c r="B22" i="71" s="1"/>
  <c r="B23" i="71" s="1"/>
  <c r="B24" i="71" s="1"/>
  <c r="B25" i="71" s="1"/>
  <c r="B26" i="71" s="1"/>
  <c r="B27" i="71" s="1"/>
  <c r="B28" i="71" s="1"/>
  <c r="B29" i="71" s="1"/>
  <c r="B30" i="71" s="1"/>
  <c r="B31" i="71" s="1"/>
  <c r="B32" i="71" s="1"/>
  <c r="B33" i="71" s="1"/>
  <c r="B34" i="71" s="1"/>
  <c r="I40" i="71" l="1"/>
  <c r="I51" i="71"/>
  <c r="L57" i="71" s="1"/>
  <c r="C55" i="71"/>
  <c r="E51" i="71"/>
  <c r="L55" i="71" s="1"/>
  <c r="G40" i="71"/>
  <c r="E40" i="71"/>
  <c r="K39" i="71"/>
  <c r="M39" i="71" s="1"/>
  <c r="G51" i="71"/>
  <c r="L56" i="71" s="1"/>
  <c r="D55" i="71"/>
  <c r="M8" i="71"/>
  <c r="C40" i="71"/>
  <c r="F32" i="70"/>
  <c r="L58" i="71" l="1"/>
  <c r="C56" i="71"/>
  <c r="D52" i="71"/>
  <c r="C59" i="71" s="1"/>
  <c r="F31" i="70"/>
  <c r="F29" i="70" l="1"/>
  <c r="F26" i="70" l="1"/>
  <c r="D26" i="70"/>
  <c r="D25" i="70" l="1"/>
  <c r="F23" i="70" l="1"/>
  <c r="F20" i="70" l="1"/>
  <c r="F19" i="70"/>
  <c r="I50" i="70" l="1"/>
  <c r="G50" i="70"/>
  <c r="E50" i="70"/>
  <c r="D50" i="70"/>
  <c r="K48" i="70"/>
  <c r="M48" i="70" s="1"/>
  <c r="K47" i="70"/>
  <c r="M47" i="70" s="1"/>
  <c r="K46" i="70"/>
  <c r="M46" i="70" s="1"/>
  <c r="K45" i="70"/>
  <c r="M45" i="70" s="1"/>
  <c r="L39" i="70"/>
  <c r="J39" i="70"/>
  <c r="I51" i="70" s="1"/>
  <c r="L57" i="70" s="1"/>
  <c r="I39" i="70"/>
  <c r="G39" i="70"/>
  <c r="C39" i="70"/>
  <c r="K37" i="70"/>
  <c r="M37" i="70" s="1"/>
  <c r="K36" i="70"/>
  <c r="M36" i="70" s="1"/>
  <c r="K35" i="70"/>
  <c r="M35" i="70" s="1"/>
  <c r="K34" i="70"/>
  <c r="M34" i="70" s="1"/>
  <c r="K33" i="70"/>
  <c r="M33" i="70" s="1"/>
  <c r="K32" i="70"/>
  <c r="M32" i="70" s="1"/>
  <c r="K31" i="70"/>
  <c r="M31" i="70" s="1"/>
  <c r="K30" i="70"/>
  <c r="M30" i="70" s="1"/>
  <c r="E39" i="70"/>
  <c r="K29" i="70"/>
  <c r="M29" i="70" s="1"/>
  <c r="K28" i="70"/>
  <c r="M28" i="70" s="1"/>
  <c r="K27" i="70"/>
  <c r="M27" i="70" s="1"/>
  <c r="K26" i="70"/>
  <c r="M26" i="70" s="1"/>
  <c r="K25" i="70"/>
  <c r="M25" i="70" s="1"/>
  <c r="K24" i="70"/>
  <c r="M24" i="70" s="1"/>
  <c r="K23" i="70"/>
  <c r="M23" i="70" s="1"/>
  <c r="K22" i="70"/>
  <c r="M22" i="70" s="1"/>
  <c r="K21" i="70"/>
  <c r="M21" i="70" s="1"/>
  <c r="D39" i="70"/>
  <c r="K20" i="70"/>
  <c r="M20" i="70" s="1"/>
  <c r="K19" i="70"/>
  <c r="M19" i="70" s="1"/>
  <c r="K18" i="70"/>
  <c r="M18" i="70" s="1"/>
  <c r="K17" i="70"/>
  <c r="M17" i="70" s="1"/>
  <c r="K16" i="70"/>
  <c r="M16" i="70" s="1"/>
  <c r="K15" i="70"/>
  <c r="M15" i="70" s="1"/>
  <c r="K14" i="70"/>
  <c r="M14" i="70" s="1"/>
  <c r="K13" i="70"/>
  <c r="M13" i="70" s="1"/>
  <c r="K12" i="70"/>
  <c r="M12" i="70" s="1"/>
  <c r="K11" i="70"/>
  <c r="M11" i="70" s="1"/>
  <c r="H39" i="70"/>
  <c r="K10" i="70"/>
  <c r="M10" i="70" s="1"/>
  <c r="K9" i="70"/>
  <c r="M9" i="70" s="1"/>
  <c r="K8" i="70"/>
  <c r="M8" i="70" s="1"/>
  <c r="B8" i="70"/>
  <c r="B9" i="70" s="1"/>
  <c r="B10" i="70" s="1"/>
  <c r="B11" i="70" s="1"/>
  <c r="B12" i="70" s="1"/>
  <c r="B13" i="70" s="1"/>
  <c r="B14" i="70" s="1"/>
  <c r="B15" i="70" s="1"/>
  <c r="B16" i="70" s="1"/>
  <c r="B17" i="70" s="1"/>
  <c r="B18" i="70" s="1"/>
  <c r="B19" i="70" s="1"/>
  <c r="B20" i="70" s="1"/>
  <c r="B21" i="70" s="1"/>
  <c r="B22" i="70" s="1"/>
  <c r="B23" i="70" s="1"/>
  <c r="B24" i="70" s="1"/>
  <c r="B25" i="70" s="1"/>
  <c r="B26" i="70" s="1"/>
  <c r="B27" i="70" s="1"/>
  <c r="B28" i="70" s="1"/>
  <c r="B29" i="70" s="1"/>
  <c r="B30" i="70" s="1"/>
  <c r="B31" i="70" s="1"/>
  <c r="B32" i="70" s="1"/>
  <c r="B33" i="70" s="1"/>
  <c r="B34" i="70" s="1"/>
  <c r="B35" i="70" s="1"/>
  <c r="B36" i="70" s="1"/>
  <c r="B37" i="70" s="1"/>
  <c r="K7" i="70"/>
  <c r="K39" i="70" l="1"/>
  <c r="M39" i="70" s="1"/>
  <c r="I40" i="70"/>
  <c r="D51" i="70"/>
  <c r="G51" i="70"/>
  <c r="L56" i="70" s="1"/>
  <c r="G40" i="70"/>
  <c r="C55" i="70"/>
  <c r="F39" i="70"/>
  <c r="E51" i="70" s="1"/>
  <c r="L55" i="70" s="1"/>
  <c r="C40" i="70"/>
  <c r="M7" i="70"/>
  <c r="D55" i="70" l="1"/>
  <c r="C56" i="70" s="1"/>
  <c r="E40" i="70"/>
  <c r="L54" i="70"/>
  <c r="L58" i="70" s="1"/>
  <c r="D52" i="70"/>
  <c r="C59" i="70" s="1"/>
  <c r="D33" i="69" l="1"/>
  <c r="D31" i="69"/>
  <c r="D30" i="69"/>
  <c r="F27" i="69" l="1"/>
  <c r="D27" i="69"/>
  <c r="F20" i="69"/>
  <c r="D20" i="69"/>
  <c r="F12" i="69"/>
  <c r="E12" i="69"/>
  <c r="C12" i="69"/>
  <c r="C39" i="69" s="1"/>
  <c r="F11" i="69"/>
  <c r="F7" i="69"/>
  <c r="I50" i="69"/>
  <c r="G50" i="69"/>
  <c r="E50" i="69"/>
  <c r="D50" i="69"/>
  <c r="K48" i="69"/>
  <c r="K47" i="69"/>
  <c r="M47" i="69" s="1"/>
  <c r="K46" i="69"/>
  <c r="M46" i="69" s="1"/>
  <c r="K45" i="69"/>
  <c r="M45" i="69" s="1"/>
  <c r="L39" i="69"/>
  <c r="J39" i="69"/>
  <c r="I39" i="69"/>
  <c r="G39" i="69"/>
  <c r="E39" i="69"/>
  <c r="K37" i="69"/>
  <c r="M37" i="69" s="1"/>
  <c r="K36" i="69"/>
  <c r="M36" i="69" s="1"/>
  <c r="K35" i="69"/>
  <c r="M35" i="69" s="1"/>
  <c r="K34" i="69"/>
  <c r="M34" i="69" s="1"/>
  <c r="K33" i="69"/>
  <c r="M33" i="69" s="1"/>
  <c r="K32" i="69"/>
  <c r="M32" i="69" s="1"/>
  <c r="K31" i="69"/>
  <c r="M31" i="69" s="1"/>
  <c r="K30" i="69"/>
  <c r="M30" i="69" s="1"/>
  <c r="K29" i="69"/>
  <c r="M29" i="69" s="1"/>
  <c r="K28" i="69"/>
  <c r="M28" i="69" s="1"/>
  <c r="K27" i="69"/>
  <c r="M27" i="69" s="1"/>
  <c r="K26" i="69"/>
  <c r="M26" i="69" s="1"/>
  <c r="K25" i="69"/>
  <c r="M25" i="69" s="1"/>
  <c r="K24" i="69"/>
  <c r="M24" i="69" s="1"/>
  <c r="K23" i="69"/>
  <c r="M23" i="69" s="1"/>
  <c r="K22" i="69"/>
  <c r="M22" i="69" s="1"/>
  <c r="K21" i="69"/>
  <c r="M21" i="69" s="1"/>
  <c r="K19" i="69"/>
  <c r="M19" i="69" s="1"/>
  <c r="K18" i="69"/>
  <c r="M18" i="69" s="1"/>
  <c r="K17" i="69"/>
  <c r="M17" i="69" s="1"/>
  <c r="K16" i="69"/>
  <c r="M16" i="69" s="1"/>
  <c r="K15" i="69"/>
  <c r="M15" i="69" s="1"/>
  <c r="K14" i="69"/>
  <c r="M14" i="69" s="1"/>
  <c r="K13" i="69"/>
  <c r="M13" i="69" s="1"/>
  <c r="H39" i="69"/>
  <c r="G51" i="69" s="1"/>
  <c r="L56" i="69" s="1"/>
  <c r="K10" i="69"/>
  <c r="M10" i="69" s="1"/>
  <c r="K9" i="69"/>
  <c r="M9" i="69" s="1"/>
  <c r="K8" i="69"/>
  <c r="M8" i="69" s="1"/>
  <c r="B8" i="69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K12" i="69" l="1"/>
  <c r="M12" i="69" s="1"/>
  <c r="K20" i="69"/>
  <c r="M20" i="69" s="1"/>
  <c r="F39" i="69"/>
  <c r="E51" i="69" s="1"/>
  <c r="L55" i="69" s="1"/>
  <c r="I51" i="69"/>
  <c r="L57" i="69" s="1"/>
  <c r="I40" i="69"/>
  <c r="G40" i="69"/>
  <c r="K11" i="69"/>
  <c r="M11" i="69" s="1"/>
  <c r="D39" i="69"/>
  <c r="C55" i="69"/>
  <c r="K7" i="69"/>
  <c r="E40" i="69" l="1"/>
  <c r="D51" i="69"/>
  <c r="L54" i="69" s="1"/>
  <c r="L58" i="69" s="1"/>
  <c r="D55" i="69"/>
  <c r="C56" i="69" s="1"/>
  <c r="C40" i="69"/>
  <c r="K39" i="69"/>
  <c r="M39" i="69" s="1"/>
  <c r="M7" i="69"/>
  <c r="E30" i="68"/>
  <c r="D52" i="69" l="1"/>
  <c r="C59" i="69" s="1"/>
  <c r="I50" i="68"/>
  <c r="G50" i="68"/>
  <c r="E50" i="68"/>
  <c r="D50" i="68"/>
  <c r="K48" i="68"/>
  <c r="M48" i="68" s="1"/>
  <c r="K47" i="68"/>
  <c r="M47" i="68" s="1"/>
  <c r="K46" i="68"/>
  <c r="M46" i="68" s="1"/>
  <c r="K45" i="68"/>
  <c r="M45" i="68" s="1"/>
  <c r="L39" i="68"/>
  <c r="J39" i="68"/>
  <c r="I51" i="68" s="1"/>
  <c r="L57" i="68" s="1"/>
  <c r="I39" i="68"/>
  <c r="G39" i="68"/>
  <c r="E39" i="68"/>
  <c r="C39" i="68"/>
  <c r="K37" i="68"/>
  <c r="M37" i="68" s="1"/>
  <c r="K36" i="68"/>
  <c r="M36" i="68" s="1"/>
  <c r="K35" i="68"/>
  <c r="M35" i="68" s="1"/>
  <c r="K34" i="68"/>
  <c r="M34" i="68" s="1"/>
  <c r="K33" i="68"/>
  <c r="M33" i="68" s="1"/>
  <c r="K32" i="68"/>
  <c r="M32" i="68" s="1"/>
  <c r="K31" i="68"/>
  <c r="M31" i="68" s="1"/>
  <c r="K30" i="68"/>
  <c r="M30" i="68" s="1"/>
  <c r="K29" i="68"/>
  <c r="M29" i="68" s="1"/>
  <c r="K28" i="68"/>
  <c r="M28" i="68" s="1"/>
  <c r="K27" i="68"/>
  <c r="M27" i="68" s="1"/>
  <c r="K26" i="68"/>
  <c r="M26" i="68" s="1"/>
  <c r="K25" i="68"/>
  <c r="M25" i="68" s="1"/>
  <c r="K24" i="68"/>
  <c r="M24" i="68" s="1"/>
  <c r="K23" i="68"/>
  <c r="M23" i="68" s="1"/>
  <c r="K22" i="68"/>
  <c r="M22" i="68" s="1"/>
  <c r="D21" i="68"/>
  <c r="K21" i="68" s="1"/>
  <c r="M21" i="68" s="1"/>
  <c r="K20" i="68"/>
  <c r="M20" i="68" s="1"/>
  <c r="K19" i="68"/>
  <c r="M19" i="68" s="1"/>
  <c r="K18" i="68"/>
  <c r="M18" i="68" s="1"/>
  <c r="K17" i="68"/>
  <c r="M17" i="68" s="1"/>
  <c r="K16" i="68"/>
  <c r="M16" i="68" s="1"/>
  <c r="K15" i="68"/>
  <c r="M15" i="68" s="1"/>
  <c r="K14" i="68"/>
  <c r="M14" i="68" s="1"/>
  <c r="F13" i="68"/>
  <c r="K12" i="68"/>
  <c r="M12" i="68" s="1"/>
  <c r="H11" i="68"/>
  <c r="H39" i="68" s="1"/>
  <c r="K10" i="68"/>
  <c r="M10" i="68" s="1"/>
  <c r="K9" i="68"/>
  <c r="M9" i="68" s="1"/>
  <c r="D8" i="68"/>
  <c r="K8" i="68" s="1"/>
  <c r="M8" i="68" s="1"/>
  <c r="B8" i="68"/>
  <c r="B9" i="68" s="1"/>
  <c r="B10" i="68" s="1"/>
  <c r="B11" i="68" s="1"/>
  <c r="B12" i="68" s="1"/>
  <c r="B13" i="68" s="1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B36" i="68" s="1"/>
  <c r="B37" i="68" s="1"/>
  <c r="F7" i="68"/>
  <c r="K7" i="68" s="1"/>
  <c r="D39" i="68" l="1"/>
  <c r="F39" i="68"/>
  <c r="E51" i="68" s="1"/>
  <c r="L55" i="68" s="1"/>
  <c r="K11" i="68"/>
  <c r="M11" i="68" s="1"/>
  <c r="G51" i="68"/>
  <c r="L56" i="68" s="1"/>
  <c r="D51" i="68"/>
  <c r="L54" i="68" s="1"/>
  <c r="I40" i="68"/>
  <c r="C55" i="68"/>
  <c r="E40" i="68"/>
  <c r="G40" i="68"/>
  <c r="M7" i="68"/>
  <c r="K13" i="68"/>
  <c r="M13" i="68" s="1"/>
  <c r="D55" i="68"/>
  <c r="C40" i="68"/>
  <c r="D21" i="67"/>
  <c r="D52" i="68" l="1"/>
  <c r="C59" i="68" s="1"/>
  <c r="L58" i="68"/>
  <c r="C56" i="68"/>
  <c r="K39" i="68"/>
  <c r="M39" i="68" s="1"/>
  <c r="F13" i="67"/>
  <c r="K12" i="67" l="1"/>
  <c r="H11" i="67"/>
  <c r="D8" i="67" l="1"/>
  <c r="D39" i="67" s="1"/>
  <c r="F7" i="67"/>
  <c r="K7" i="67" s="1"/>
  <c r="I50" i="67"/>
  <c r="G50" i="67"/>
  <c r="E50" i="67"/>
  <c r="D50" i="67"/>
  <c r="K48" i="67"/>
  <c r="M48" i="67" s="1"/>
  <c r="K47" i="67"/>
  <c r="K46" i="67"/>
  <c r="M46" i="67" s="1"/>
  <c r="K45" i="67"/>
  <c r="M45" i="67" s="1"/>
  <c r="L39" i="67"/>
  <c r="I39" i="67"/>
  <c r="H39" i="67"/>
  <c r="G39" i="67"/>
  <c r="C39" i="67"/>
  <c r="M37" i="67"/>
  <c r="K37" i="67"/>
  <c r="K36" i="67"/>
  <c r="M36" i="67" s="1"/>
  <c r="K35" i="67"/>
  <c r="M35" i="67" s="1"/>
  <c r="K34" i="67"/>
  <c r="M34" i="67" s="1"/>
  <c r="K33" i="67"/>
  <c r="K32" i="67"/>
  <c r="M32" i="67" s="1"/>
  <c r="K31" i="67"/>
  <c r="M31" i="67" s="1"/>
  <c r="E39" i="67"/>
  <c r="K30" i="67"/>
  <c r="M30" i="67" s="1"/>
  <c r="K29" i="67"/>
  <c r="M29" i="67" s="1"/>
  <c r="K28" i="67"/>
  <c r="M28" i="67" s="1"/>
  <c r="K27" i="67"/>
  <c r="M27" i="67" s="1"/>
  <c r="K26" i="67"/>
  <c r="M26" i="67" s="1"/>
  <c r="K25" i="67"/>
  <c r="M25" i="67" s="1"/>
  <c r="K24" i="67"/>
  <c r="M24" i="67" s="1"/>
  <c r="K23" i="67"/>
  <c r="M23" i="67" s="1"/>
  <c r="J39" i="67"/>
  <c r="K22" i="67"/>
  <c r="M22" i="67" s="1"/>
  <c r="K21" i="67"/>
  <c r="M21" i="67" s="1"/>
  <c r="K20" i="67"/>
  <c r="M20" i="67" s="1"/>
  <c r="K19" i="67"/>
  <c r="M19" i="67" s="1"/>
  <c r="K18" i="67"/>
  <c r="M18" i="67" s="1"/>
  <c r="K17" i="67"/>
  <c r="M17" i="67" s="1"/>
  <c r="K16" i="67"/>
  <c r="M16" i="67" s="1"/>
  <c r="K15" i="67"/>
  <c r="M15" i="67" s="1"/>
  <c r="K14" i="67"/>
  <c r="M14" i="67" s="1"/>
  <c r="K13" i="67"/>
  <c r="M13" i="67" s="1"/>
  <c r="M12" i="67"/>
  <c r="K11" i="67"/>
  <c r="M11" i="67" s="1"/>
  <c r="K10" i="67"/>
  <c r="M10" i="67" s="1"/>
  <c r="K8" i="67"/>
  <c r="M8" i="67" s="1"/>
  <c r="B8" i="67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B34" i="67" s="1"/>
  <c r="B35" i="67" s="1"/>
  <c r="B36" i="67" s="1"/>
  <c r="B37" i="67" s="1"/>
  <c r="I51" i="67" l="1"/>
  <c r="L57" i="67" s="1"/>
  <c r="G51" i="67"/>
  <c r="L56" i="67" s="1"/>
  <c r="F39" i="67"/>
  <c r="E51" i="67" s="1"/>
  <c r="L55" i="67" s="1"/>
  <c r="I40" i="67"/>
  <c r="D51" i="67"/>
  <c r="L54" i="67" s="1"/>
  <c r="C40" i="67"/>
  <c r="C55" i="67"/>
  <c r="G40" i="67"/>
  <c r="K9" i="67"/>
  <c r="M9" i="67" s="1"/>
  <c r="M7" i="67"/>
  <c r="D55" i="67" l="1"/>
  <c r="C56" i="67" s="1"/>
  <c r="E40" i="67"/>
  <c r="L58" i="67"/>
  <c r="D52" i="67"/>
  <c r="C59" i="67" s="1"/>
  <c r="K39" i="67"/>
  <c r="M39" i="67" s="1"/>
  <c r="J36" i="66"/>
  <c r="F35" i="66" l="1"/>
  <c r="F31" i="66" l="1"/>
  <c r="E31" i="66"/>
  <c r="D31" i="66"/>
  <c r="D30" i="66" l="1"/>
  <c r="F28" i="66"/>
  <c r="D28" i="66"/>
  <c r="F24" i="66" l="1"/>
  <c r="D23" i="66" l="1"/>
  <c r="K29" i="66" l="1"/>
  <c r="K28" i="66"/>
  <c r="K26" i="66"/>
  <c r="K25" i="66"/>
  <c r="K24" i="66"/>
  <c r="K23" i="66"/>
  <c r="K37" i="66"/>
  <c r="K36" i="66"/>
  <c r="K35" i="66"/>
  <c r="K34" i="66"/>
  <c r="K33" i="66"/>
  <c r="K32" i="66"/>
  <c r="K31" i="66"/>
  <c r="K30" i="66"/>
  <c r="K27" i="66"/>
  <c r="K21" i="66"/>
  <c r="K20" i="66"/>
  <c r="J22" i="66"/>
  <c r="F22" i="66"/>
  <c r="D22" i="66"/>
  <c r="K22" i="66" s="1"/>
  <c r="M20" i="66" l="1"/>
  <c r="K19" i="66"/>
  <c r="K18" i="66"/>
  <c r="M18" i="66"/>
  <c r="K17" i="66"/>
  <c r="F16" i="66"/>
  <c r="K16" i="66" s="1"/>
  <c r="F15" i="66"/>
  <c r="D15" i="66"/>
  <c r="F14" i="66"/>
  <c r="K14" i="66" s="1"/>
  <c r="M14" i="66" s="1"/>
  <c r="K13" i="66"/>
  <c r="M13" i="66" s="1"/>
  <c r="K8" i="66"/>
  <c r="K11" i="66"/>
  <c r="M11" i="66" s="1"/>
  <c r="K10" i="66"/>
  <c r="M10" i="66" s="1"/>
  <c r="F9" i="66"/>
  <c r="K9" i="66" s="1"/>
  <c r="D50" i="66"/>
  <c r="I50" i="66"/>
  <c r="K48" i="66"/>
  <c r="K47" i="66"/>
  <c r="K46" i="66"/>
  <c r="K45" i="66"/>
  <c r="J39" i="66"/>
  <c r="I39" i="66"/>
  <c r="G50" i="66"/>
  <c r="E50" i="66"/>
  <c r="M48" i="66"/>
  <c r="M47" i="66"/>
  <c r="M46" i="66"/>
  <c r="M45" i="66"/>
  <c r="L39" i="66"/>
  <c r="H39" i="66"/>
  <c r="G39" i="66"/>
  <c r="E39" i="66"/>
  <c r="D39" i="66"/>
  <c r="C39" i="66"/>
  <c r="M37" i="66"/>
  <c r="M36" i="66"/>
  <c r="M35" i="66"/>
  <c r="M34" i="66"/>
  <c r="M32" i="66"/>
  <c r="M31" i="66"/>
  <c r="M30" i="66"/>
  <c r="M29" i="66"/>
  <c r="M28" i="66"/>
  <c r="M27" i="66"/>
  <c r="M26" i="66"/>
  <c r="M25" i="66"/>
  <c r="M24" i="66"/>
  <c r="M23" i="66"/>
  <c r="M22" i="66"/>
  <c r="M21" i="66"/>
  <c r="M19" i="66"/>
  <c r="M17" i="66"/>
  <c r="K12" i="66"/>
  <c r="M12" i="66" s="1"/>
  <c r="M8" i="66"/>
  <c r="B8" i="66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K7" i="66"/>
  <c r="M7" i="66" s="1"/>
  <c r="I51" i="66" l="1"/>
  <c r="K15" i="66"/>
  <c r="M15" i="66" s="1"/>
  <c r="D51" i="66"/>
  <c r="L57" i="66"/>
  <c r="G51" i="66"/>
  <c r="L56" i="66" s="1"/>
  <c r="M16" i="66"/>
  <c r="F39" i="66"/>
  <c r="E51" i="66" s="1"/>
  <c r="I40" i="66"/>
  <c r="C55" i="66"/>
  <c r="M9" i="66"/>
  <c r="G40" i="66"/>
  <c r="C40" i="66"/>
  <c r="D52" i="66" l="1"/>
  <c r="C59" i="66" s="1"/>
  <c r="L54" i="66"/>
  <c r="K39" i="66"/>
  <c r="M39" i="66" s="1"/>
  <c r="D55" i="66"/>
  <c r="C56" i="66" s="1"/>
  <c r="E40" i="66"/>
  <c r="L55" i="66"/>
  <c r="L58" i="66" s="1"/>
  <c r="N57" i="98" l="1"/>
  <c r="N58" i="98"/>
  <c r="N55" i="98"/>
  <c r="N54" i="98"/>
  <c r="N56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45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минус от z-отчета 4500 СБП з 27.02.24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45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минус от z-отчета 4500 СБП з 27.02.24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45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минус от z-отчета 4500 СБП з 27.02.24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4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СПБ 6548
</t>
        </r>
      </text>
    </comment>
    <comment ref="O48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СПБ 6548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45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СПБ 6548
</t>
        </r>
      </text>
    </comment>
    <comment ref="O48" authorId="0" shapeId="0" xr:uid="{00000000-0006-0000-17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СПБ 6548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48" authorId="0" shapeId="0" xr:uid="{00000000-0006-0000-18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СПБ 9400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48" authorId="0" shapeId="0" xr:uid="{00000000-0006-0000-19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949656 приход 01.10.
СБП 391500 приход 01.10.
24000 онлайнкасса приход 01.10.24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48" authorId="0" shapeId="0" xr:uid="{00000000-0006-0000-1A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20000 пришли по СБП</t>
        </r>
      </text>
    </comment>
    <comment ref="M48" authorId="0" shapeId="0" xr:uid="{00000000-0006-0000-1A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20000 по СБП 31.10 24</t>
        </r>
      </text>
    </comment>
    <comment ref="O48" authorId="0" shapeId="0" xr:uid="{00000000-0006-0000-1A00-000003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949656 приход 01.10.
СБП 391500 приход 01.10.
24000 онлайнкасса приход 01.10.24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48" authorId="0" shapeId="0" xr:uid="{00000000-0006-0000-1B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10500 пришли по СБП 30.11
</t>
        </r>
      </text>
    </comment>
    <comment ref="M48" authorId="0" shapeId="0" xr:uid="{00000000-0006-0000-1B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10500 по СБП 30.11. 24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48" authorId="0" shapeId="0" xr:uid="{DD28B5A4-89FC-4D3C-943A-94548FEB1E6B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3000 сбп пришло 30.11.25
</t>
        </r>
      </text>
    </comment>
  </commentList>
</comments>
</file>

<file path=xl/sharedStrings.xml><?xml version="1.0" encoding="utf-8"?>
<sst xmlns="http://schemas.openxmlformats.org/spreadsheetml/2006/main" count="4072" uniqueCount="148">
  <si>
    <t>Дата</t>
  </si>
  <si>
    <t>Банк</t>
  </si>
  <si>
    <t>Касса</t>
  </si>
  <si>
    <t>Итого</t>
  </si>
  <si>
    <t>Всего за день</t>
  </si>
  <si>
    <t>Разница</t>
  </si>
  <si>
    <t>Отчет по ВЫРУЧКЕ по кассовым отчетам</t>
  </si>
  <si>
    <t>Из кассового отчета</t>
  </si>
  <si>
    <t>Дата в кассовом отчете</t>
  </si>
  <si>
    <t>Дата по выписке</t>
  </si>
  <si>
    <t>По Банковским выпискам (БАНК) - приход переходящий</t>
  </si>
  <si>
    <t>Всего</t>
  </si>
  <si>
    <t>Сумма в ОТЧЕТ</t>
  </si>
  <si>
    <t xml:space="preserve">Итого </t>
  </si>
  <si>
    <t>Справочно</t>
  </si>
  <si>
    <t>+</t>
  </si>
  <si>
    <t>-</t>
  </si>
  <si>
    <t>Итого фактич.</t>
  </si>
  <si>
    <t>НОЯБРЬ</t>
  </si>
  <si>
    <t xml:space="preserve">Выручка </t>
  </si>
  <si>
    <t>за месяц</t>
  </si>
  <si>
    <t>услуги Банка в Отчет</t>
  </si>
  <si>
    <r>
      <t xml:space="preserve">Разница </t>
    </r>
    <r>
      <rPr>
        <sz val="8"/>
        <color theme="1"/>
        <rFont val="Calibri"/>
        <family val="2"/>
        <charset val="204"/>
        <scheme val="minor"/>
      </rPr>
      <t>(проверка)</t>
    </r>
  </si>
  <si>
    <t xml:space="preserve">ООО "ОМЕГА" </t>
  </si>
  <si>
    <t>Маланичев</t>
  </si>
  <si>
    <t>Погосян</t>
  </si>
  <si>
    <t>Другие хирурги</t>
  </si>
  <si>
    <t>Прочие доходы</t>
  </si>
  <si>
    <t>Др.хирурги</t>
  </si>
  <si>
    <t>Пр.доходы</t>
  </si>
  <si>
    <t>Гарипов</t>
  </si>
  <si>
    <t>проживание</t>
  </si>
  <si>
    <t>Слесарев</t>
  </si>
  <si>
    <t>белье</t>
  </si>
  <si>
    <t>Косметология</t>
  </si>
  <si>
    <t>(50 000 ВОЗВРАТ по б/н) Мал</t>
  </si>
  <si>
    <t>Сумма в отчете - 2 080 000 - плюс 830 000 на р/с - Мал</t>
  </si>
  <si>
    <t>Сумма в отчете - 975 000 - плюс 340 000 на р/с - Погосян</t>
  </si>
  <si>
    <t>ДЕКАБРЬ</t>
  </si>
  <si>
    <t>Закиров</t>
  </si>
  <si>
    <t>(75 000 ВОЗВРАТ нал) Мал</t>
  </si>
  <si>
    <t>ОКТЯБРЬ</t>
  </si>
  <si>
    <t>20000 возврат Веснина (Погосян)</t>
  </si>
  <si>
    <t>220 000 возврат Губайдулина (Погосян)</t>
  </si>
  <si>
    <t>ЯНВАРЬ</t>
  </si>
  <si>
    <t>Хриенко</t>
  </si>
  <si>
    <t>Сумма в отчете - 1 665 000 - плюс 515 000 на р/с - Мал</t>
  </si>
  <si>
    <t>Сумма в отчете - 1 460 100 - 19 000 возврат ошибочно</t>
  </si>
  <si>
    <t>ФЕВРАЛЬ</t>
  </si>
  <si>
    <t>анализы</t>
  </si>
  <si>
    <t>белье, анализы</t>
  </si>
  <si>
    <t>на р/с Погосян Колбина</t>
  </si>
  <si>
    <t>Серозудинов</t>
  </si>
  <si>
    <t>МАРТ</t>
  </si>
  <si>
    <t>QR-1,24%</t>
  </si>
  <si>
    <t>Сумма в отчете - 1 006 000 - плюс 550 000 на р/с - Погосян</t>
  </si>
  <si>
    <t>чулки, пресс-ия</t>
  </si>
  <si>
    <t>2200 - по QR</t>
  </si>
  <si>
    <t>пресс-ия</t>
  </si>
  <si>
    <t>4000 - по QR</t>
  </si>
  <si>
    <t>12500 - по QR</t>
  </si>
  <si>
    <r>
      <t xml:space="preserve">Косм - н-6000+бн-16500  + </t>
    </r>
    <r>
      <rPr>
        <sz val="8"/>
        <rFont val="Calibri"/>
        <family val="2"/>
        <charset val="204"/>
        <scheme val="minor"/>
      </rPr>
      <t>прес-ия-2000</t>
    </r>
  </si>
  <si>
    <t>АПРЕЛЬ</t>
  </si>
  <si>
    <t>3000 - по QR</t>
  </si>
  <si>
    <t>в отчете 1 042 000-360 000 возврат Маланичев</t>
  </si>
  <si>
    <t>Возврат б/н 250000 день-день</t>
  </si>
  <si>
    <t>Покаленьев Н.С.</t>
  </si>
  <si>
    <t>МАЙ</t>
  </si>
  <si>
    <t>102 000 - ФЛ на р/с  02.05.  модели</t>
  </si>
  <si>
    <t xml:space="preserve">Сумма в отчете - 930 000 - плюс 490 000 </t>
  </si>
  <si>
    <t>на р/с - Маланичев 31.03.23</t>
  </si>
  <si>
    <t>Серозудинов 390000+Гарипов 20000</t>
  </si>
  <si>
    <t>124 600 - ФЛ на р/с  02.05.  модели</t>
  </si>
  <si>
    <t>предоплата</t>
  </si>
  <si>
    <t>10 000 - ФЛ на р/с  16.05.  Гарипов</t>
  </si>
  <si>
    <t>Косметология - 3600</t>
  </si>
  <si>
    <t>Косметология - 11 900</t>
  </si>
  <si>
    <t>ИЮНЬ</t>
  </si>
  <si>
    <t>Габеев</t>
  </si>
  <si>
    <t>Возврат б/н 480 000, касса - 5 000 - день-день</t>
  </si>
  <si>
    <t>10 500+ 26 700</t>
  </si>
  <si>
    <t>ИЮЛЬ</t>
  </si>
  <si>
    <t>Маркарян</t>
  </si>
  <si>
    <t>цикатрикс</t>
  </si>
  <si>
    <t>15 000 пробито не правильно - СДЕЛАТЬ ВОЗВРАТ!!!!</t>
  </si>
  <si>
    <t>сумма по б/н не пришла?</t>
  </si>
  <si>
    <t>АВГУСТ</t>
  </si>
  <si>
    <t>косметика</t>
  </si>
  <si>
    <t>11 800 - физ.л на р/с за 18.07</t>
  </si>
  <si>
    <t>53 900 - физ.л на р/с за 18.07</t>
  </si>
  <si>
    <t>Покаленьев</t>
  </si>
  <si>
    <t>белье, косметика</t>
  </si>
  <si>
    <t>стационар</t>
  </si>
  <si>
    <t>Сумма в отчете - 1 260 001 - плюс 200 000 на р/с - Закиров + 1 р. Тест сайта</t>
  </si>
  <si>
    <t xml:space="preserve">Сумма в отчете - 105 200 - плюс 70 000 на р/с - Закиров </t>
  </si>
  <si>
    <t xml:space="preserve">белье </t>
  </si>
  <si>
    <t>белье, стационар</t>
  </si>
  <si>
    <t>чулки</t>
  </si>
  <si>
    <t>QR-1,55%</t>
  </si>
  <si>
    <t>сайт - 2,3%</t>
  </si>
  <si>
    <t>к др.хир. +</t>
  </si>
  <si>
    <t>СЕНТЯБРЬ</t>
  </si>
  <si>
    <t>прессо</t>
  </si>
  <si>
    <t>Косметология 64 400</t>
  </si>
  <si>
    <t>280 000 Возврат б/н на карту Закиров</t>
  </si>
  <si>
    <t>Косметология 6 000</t>
  </si>
  <si>
    <t>Бурдин</t>
  </si>
  <si>
    <t>Косметология 43 300</t>
  </si>
  <si>
    <t>150000 - р/с ф/л</t>
  </si>
  <si>
    <t>1500 - возврат</t>
  </si>
  <si>
    <t>Косметология 65 000</t>
  </si>
  <si>
    <t>11500 - р/с ф/л</t>
  </si>
  <si>
    <t>с суммы 280 000 возврат</t>
  </si>
  <si>
    <t>возврат</t>
  </si>
  <si>
    <t>задвоен аванс?</t>
  </si>
  <si>
    <t>Завиркин</t>
  </si>
  <si>
    <t>физ.лицо на р/с</t>
  </si>
  <si>
    <t>седация ОН</t>
  </si>
  <si>
    <t>по 08.10.23</t>
  </si>
  <si>
    <t xml:space="preserve">Сбербанк </t>
  </si>
  <si>
    <t>Альфа</t>
  </si>
  <si>
    <t>с 08.10.23</t>
  </si>
  <si>
    <t>СБП - 0,4%</t>
  </si>
  <si>
    <t>500-на р/с ф/л</t>
  </si>
  <si>
    <t>по Z-отчету 70 050 - разница 15600 (пробиты 14.11.23). Не была закрыта смена 13.11.23</t>
  </si>
  <si>
    <t>по Z-отчету 906 200 - разница 15600 (пробиты 14.11.23). Не была закрыта смена 13.11.23</t>
  </si>
  <si>
    <t>1500 др.х. СБП</t>
  </si>
  <si>
    <t>%к выручке</t>
  </si>
  <si>
    <r>
      <t xml:space="preserve">Разница </t>
    </r>
    <r>
      <rPr>
        <sz val="8"/>
        <color theme="1"/>
        <rFont val="Calibri"/>
        <family val="2"/>
        <charset val="204"/>
        <scheme val="minor"/>
      </rPr>
      <t xml:space="preserve">(Онлайн-касса) </t>
    </r>
  </si>
  <si>
    <t>650000  приход на р/c прочие</t>
  </si>
  <si>
    <t>15000 пришли по безналу прочие</t>
  </si>
  <si>
    <t>900000 б/н прочие</t>
  </si>
  <si>
    <t>возврат 370000 маркарян</t>
  </si>
  <si>
    <t>31.11.2024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</si>
  <si>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</si>
  <si>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</si>
  <si>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</si>
  <si>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</si>
  <si>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</si>
  <si>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</si>
  <si>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</si>
  <si>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</si>
  <si>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</si>
  <si>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</si>
  <si>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</si>
  <si>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Январь</t>
  </si>
  <si>
    <t>Март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</si>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</sst>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b/>
      <u/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u/>
      <sz val="8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u/>
      <sz val="8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u/>
      <sz val="8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7030A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rgb="FFED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/>
    <xf numFmtId="3" fontId="0" fillId="0" borderId="0" xfId="0" applyNumberFormat="1"/>
    <xf numFmtId="3" fontId="0" fillId="0" borderId="0" xfId="0" applyNumberFormat="1" applyBorder="1"/>
    <xf numFmtId="3" fontId="1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2" borderId="1" xfId="0" applyFill="1" applyBorder="1" applyAlignment="1">
      <alignment horizontal="center" wrapText="1"/>
    </xf>
    <xf numFmtId="3" fontId="0" fillId="2" borderId="1" xfId="0" applyNumberFormat="1" applyFill="1" applyBorder="1"/>
    <xf numFmtId="164" fontId="0" fillId="0" borderId="16" xfId="0" applyNumberFormat="1" applyBorder="1" applyAlignment="1">
      <alignment horizontal="left"/>
    </xf>
    <xf numFmtId="3" fontId="0" fillId="0" borderId="17" xfId="0" applyNumberFormat="1" applyBorder="1"/>
    <xf numFmtId="3" fontId="0" fillId="0" borderId="18" xfId="0" applyNumberFormat="1" applyBorder="1"/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center" wrapText="1"/>
    </xf>
    <xf numFmtId="0" fontId="0" fillId="2" borderId="25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164" fontId="5" fillId="0" borderId="4" xfId="0" applyNumberFormat="1" applyFont="1" applyBorder="1" applyAlignment="1">
      <alignment horizontal="left"/>
    </xf>
    <xf numFmtId="3" fontId="5" fillId="0" borderId="9" xfId="0" applyNumberFormat="1" applyFont="1" applyBorder="1"/>
    <xf numFmtId="3" fontId="5" fillId="2" borderId="10" xfId="0" applyNumberFormat="1" applyFont="1" applyFill="1" applyBorder="1"/>
    <xf numFmtId="3" fontId="0" fillId="0" borderId="10" xfId="0" applyNumberFormat="1" applyBorder="1"/>
    <xf numFmtId="3" fontId="0" fillId="0" borderId="15" xfId="0" applyNumberFormat="1" applyBorder="1"/>
    <xf numFmtId="3" fontId="5" fillId="0" borderId="32" xfId="0" applyNumberFormat="1" applyFont="1" applyBorder="1"/>
    <xf numFmtId="3" fontId="0" fillId="0" borderId="33" xfId="0" applyNumberFormat="1" applyBorder="1"/>
    <xf numFmtId="164" fontId="2" fillId="0" borderId="7" xfId="0" applyNumberFormat="1" applyFont="1" applyBorder="1" applyAlignment="1">
      <alignment horizontal="left"/>
    </xf>
    <xf numFmtId="3" fontId="1" fillId="3" borderId="1" xfId="0" applyNumberFormat="1" applyFont="1" applyFill="1" applyBorder="1"/>
    <xf numFmtId="164" fontId="2" fillId="0" borderId="0" xfId="0" applyNumberFormat="1" applyFont="1" applyBorder="1" applyAlignment="1">
      <alignment horizontal="left"/>
    </xf>
    <xf numFmtId="3" fontId="1" fillId="0" borderId="0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35" xfId="0" applyNumberFormat="1" applyBorder="1"/>
    <xf numFmtId="164" fontId="0" fillId="0" borderId="7" xfId="0" applyNumberFormat="1" applyBorder="1" applyAlignment="1">
      <alignment horizontal="left"/>
    </xf>
    <xf numFmtId="3" fontId="0" fillId="0" borderId="36" xfId="0" applyNumberFormat="1" applyBorder="1"/>
    <xf numFmtId="3" fontId="0" fillId="0" borderId="38" xfId="0" applyNumberFormat="1" applyBorder="1"/>
    <xf numFmtId="0" fontId="3" fillId="0" borderId="0" xfId="0" applyFont="1" applyAlignment="1">
      <alignment horizontal="left"/>
    </xf>
    <xf numFmtId="3" fontId="0" fillId="0" borderId="39" xfId="0" applyNumberFormat="1" applyBorder="1"/>
    <xf numFmtId="0" fontId="0" fillId="2" borderId="40" xfId="0" applyFill="1" applyBorder="1" applyAlignment="1">
      <alignment horizontal="center" wrapText="1"/>
    </xf>
    <xf numFmtId="0" fontId="0" fillId="0" borderId="0" xfId="0" applyFill="1"/>
    <xf numFmtId="3" fontId="0" fillId="0" borderId="19" xfId="0" applyNumberFormat="1" applyBorder="1" applyAlignment="1">
      <alignment horizontal="right"/>
    </xf>
    <xf numFmtId="3" fontId="0" fillId="2" borderId="20" xfId="0" applyNumberFormat="1" applyFill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0" fillId="0" borderId="28" xfId="0" applyNumberFormat="1" applyBorder="1" applyAlignment="1">
      <alignment horizontal="right"/>
    </xf>
    <xf numFmtId="3" fontId="0" fillId="2" borderId="29" xfId="0" applyNumberFormat="1" applyFill="1" applyBorder="1" applyAlignment="1">
      <alignment horizontal="right"/>
    </xf>
    <xf numFmtId="3" fontId="0" fillId="0" borderId="30" xfId="0" applyNumberFormat="1" applyBorder="1" applyAlignment="1">
      <alignment horizontal="right"/>
    </xf>
    <xf numFmtId="3" fontId="0" fillId="2" borderId="37" xfId="0" applyNumberFormat="1" applyFill="1" applyBorder="1" applyAlignment="1">
      <alignment horizontal="right"/>
    </xf>
    <xf numFmtId="3" fontId="0" fillId="0" borderId="22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34" xfId="0" applyNumberFormat="1" applyBorder="1" applyAlignment="1">
      <alignment horizontal="right"/>
    </xf>
    <xf numFmtId="3" fontId="0" fillId="0" borderId="31" xfId="0" applyNumberFormat="1" applyBorder="1" applyAlignment="1">
      <alignment horizontal="right"/>
    </xf>
    <xf numFmtId="3" fontId="0" fillId="0" borderId="35" xfId="0" applyNumberFormat="1" applyBorder="1" applyAlignment="1">
      <alignment horizontal="right"/>
    </xf>
    <xf numFmtId="3" fontId="0" fillId="0" borderId="21" xfId="0" applyNumberFormat="1" applyBorder="1" applyAlignment="1">
      <alignment horizontal="right" wrapText="1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5" fillId="2" borderId="43" xfId="0" applyNumberFormat="1" applyFont="1" applyFill="1" applyBorder="1"/>
    <xf numFmtId="0" fontId="10" fillId="0" borderId="0" xfId="0" applyFont="1" applyBorder="1" applyAlignment="1"/>
    <xf numFmtId="0" fontId="10" fillId="0" borderId="0" xfId="0" applyFont="1" applyFill="1" applyBorder="1" applyAlignment="1"/>
    <xf numFmtId="0" fontId="10" fillId="0" borderId="0" xfId="0" applyFont="1" applyAlignment="1"/>
    <xf numFmtId="0" fontId="9" fillId="0" borderId="1" xfId="0" applyFont="1" applyBorder="1"/>
    <xf numFmtId="4" fontId="0" fillId="0" borderId="1" xfId="0" applyNumberFormat="1" applyBorder="1"/>
    <xf numFmtId="49" fontId="7" fillId="0" borderId="0" xfId="0" applyNumberFormat="1" applyFont="1" applyAlignment="1"/>
    <xf numFmtId="0" fontId="7" fillId="0" borderId="41" xfId="0" applyFont="1" applyBorder="1" applyAlignment="1">
      <alignment horizontal="center" wrapText="1"/>
    </xf>
    <xf numFmtId="3" fontId="6" fillId="0" borderId="0" xfId="0" applyNumberFormat="1" applyFont="1" applyBorder="1"/>
    <xf numFmtId="0" fontId="6" fillId="0" borderId="0" xfId="0" applyFont="1"/>
    <xf numFmtId="3" fontId="0" fillId="0" borderId="9" xfId="0" applyNumberFormat="1" applyBorder="1" applyAlignment="1">
      <alignment horizontal="right"/>
    </xf>
    <xf numFmtId="3" fontId="0" fillId="2" borderId="10" xfId="0" applyNumberFormat="1" applyFill="1" applyBorder="1" applyAlignment="1">
      <alignment horizontal="right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0" fontId="3" fillId="0" borderId="0" xfId="0" applyFont="1" applyAlignment="1"/>
    <xf numFmtId="0" fontId="6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3" fontId="6" fillId="0" borderId="0" xfId="0" applyNumberFormat="1" applyFont="1"/>
    <xf numFmtId="3" fontId="6" fillId="0" borderId="0" xfId="0" applyNumberFormat="1" applyFont="1" applyAlignment="1">
      <alignment horizontal="left"/>
    </xf>
    <xf numFmtId="49" fontId="6" fillId="0" borderId="0" xfId="0" applyNumberFormat="1" applyFont="1" applyAlignment="1"/>
    <xf numFmtId="3" fontId="6" fillId="0" borderId="0" xfId="0" applyNumberFormat="1" applyFont="1" applyFill="1" applyBorder="1"/>
    <xf numFmtId="0" fontId="11" fillId="0" borderId="0" xfId="0" applyFont="1"/>
    <xf numFmtId="0" fontId="6" fillId="0" borderId="1" xfId="0" applyFont="1" applyBorder="1" applyAlignment="1">
      <alignment wrapText="1"/>
    </xf>
    <xf numFmtId="0" fontId="6" fillId="0" borderId="0" xfId="0" applyFont="1" applyAlignment="1"/>
    <xf numFmtId="164" fontId="6" fillId="0" borderId="1" xfId="0" applyNumberFormat="1" applyFont="1" applyBorder="1"/>
    <xf numFmtId="0" fontId="6" fillId="0" borderId="0" xfId="0" applyFont="1" applyFill="1"/>
    <xf numFmtId="10" fontId="6" fillId="0" borderId="0" xfId="0" applyNumberFormat="1" applyFont="1"/>
    <xf numFmtId="9" fontId="6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3" fillId="0" borderId="0" xfId="0" applyNumberFormat="1" applyFont="1" applyBorder="1"/>
    <xf numFmtId="3" fontId="12" fillId="2" borderId="6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4" fillId="2" borderId="6" xfId="0" applyNumberFormat="1" applyFont="1" applyFill="1" applyBorder="1" applyAlignment="1">
      <alignment horizontal="right"/>
    </xf>
    <xf numFmtId="3" fontId="12" fillId="0" borderId="5" xfId="0" applyNumberFormat="1" applyFont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2" fillId="2" borderId="29" xfId="0" applyNumberFormat="1" applyFont="1" applyFill="1" applyBorder="1" applyAlignment="1">
      <alignment horizontal="right"/>
    </xf>
    <xf numFmtId="0" fontId="15" fillId="0" borderId="0" xfId="0" applyFont="1"/>
    <xf numFmtId="3" fontId="14" fillId="0" borderId="5" xfId="0" applyNumberFormat="1" applyFont="1" applyBorder="1" applyAlignment="1">
      <alignment horizontal="right"/>
    </xf>
    <xf numFmtId="3" fontId="14" fillId="2" borderId="29" xfId="0" applyNumberFormat="1" applyFont="1" applyFill="1" applyBorder="1" applyAlignment="1">
      <alignment horizontal="right"/>
    </xf>
    <xf numFmtId="12" fontId="6" fillId="0" borderId="0" xfId="0" applyNumberFormat="1" applyFont="1" applyAlignment="1">
      <alignment horizontal="left"/>
    </xf>
    <xf numFmtId="3" fontId="1" fillId="0" borderId="0" xfId="0" applyNumberFormat="1" applyFont="1" applyFill="1" applyBorder="1" applyAlignment="1">
      <alignment horizontal="center"/>
    </xf>
    <xf numFmtId="3" fontId="16" fillId="0" borderId="0" xfId="0" applyNumberFormat="1" applyFont="1" applyBorder="1"/>
    <xf numFmtId="3" fontId="1" fillId="0" borderId="0" xfId="0" applyNumberFormat="1" applyFont="1" applyFill="1" applyBorder="1" applyAlignment="1">
      <alignment horizontal="center"/>
    </xf>
    <xf numFmtId="3" fontId="12" fillId="0" borderId="28" xfId="0" applyNumberFormat="1" applyFont="1" applyBorder="1" applyAlignment="1">
      <alignment horizontal="right"/>
    </xf>
    <xf numFmtId="0" fontId="16" fillId="0" borderId="0" xfId="0" applyFont="1"/>
    <xf numFmtId="3" fontId="17" fillId="0" borderId="0" xfId="0" applyNumberFormat="1" applyFont="1" applyBorder="1"/>
    <xf numFmtId="3" fontId="16" fillId="0" borderId="0" xfId="0" applyNumberFormat="1" applyFont="1"/>
    <xf numFmtId="12" fontId="16" fillId="0" borderId="0" xfId="0" applyNumberFormat="1" applyFont="1" applyAlignment="1">
      <alignment horizontal="left"/>
    </xf>
    <xf numFmtId="3" fontId="1" fillId="0" borderId="0" xfId="0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3" fontId="15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6" fillId="4" borderId="0" xfId="0" applyFont="1" applyFill="1"/>
    <xf numFmtId="3" fontId="14" fillId="0" borderId="9" xfId="0" applyNumberFormat="1" applyFont="1" applyBorder="1" applyAlignment="1">
      <alignment horizontal="right"/>
    </xf>
    <xf numFmtId="3" fontId="14" fillId="2" borderId="10" xfId="0" applyNumberFormat="1" applyFont="1" applyFill="1" applyBorder="1" applyAlignment="1">
      <alignment horizontal="right"/>
    </xf>
    <xf numFmtId="3" fontId="14" fillId="0" borderId="19" xfId="0" applyNumberFormat="1" applyFont="1" applyBorder="1" applyAlignment="1">
      <alignment horizontal="right"/>
    </xf>
    <xf numFmtId="3" fontId="14" fillId="2" borderId="20" xfId="0" applyNumberFormat="1" applyFont="1" applyFill="1" applyBorder="1" applyAlignment="1">
      <alignment horizontal="right"/>
    </xf>
    <xf numFmtId="0" fontId="16" fillId="0" borderId="0" xfId="0" applyFont="1" applyFill="1"/>
    <xf numFmtId="3" fontId="16" fillId="0" borderId="0" xfId="0" applyNumberFormat="1" applyFont="1" applyFill="1"/>
    <xf numFmtId="3" fontId="17" fillId="0" borderId="0" xfId="0" applyNumberFormat="1" applyFont="1" applyFill="1" applyBorder="1"/>
    <xf numFmtId="12" fontId="16" fillId="0" borderId="0" xfId="0" applyNumberFormat="1" applyFont="1" applyFill="1" applyAlignment="1">
      <alignment horizontal="left"/>
    </xf>
    <xf numFmtId="3" fontId="16" fillId="0" borderId="0" xfId="0" applyNumberFormat="1" applyFont="1" applyFill="1" applyBorder="1"/>
    <xf numFmtId="49" fontId="16" fillId="0" borderId="0" xfId="0" applyNumberFormat="1" applyFont="1" applyFill="1" applyAlignment="1"/>
    <xf numFmtId="3" fontId="1" fillId="0" borderId="0" xfId="0" applyNumberFormat="1" applyFont="1" applyFill="1" applyBorder="1" applyAlignment="1">
      <alignment horizontal="center"/>
    </xf>
    <xf numFmtId="2" fontId="6" fillId="0" borderId="0" xfId="0" applyNumberFormat="1" applyFont="1"/>
    <xf numFmtId="3" fontId="20" fillId="0" borderId="0" xfId="0" applyNumberFormat="1" applyFont="1" applyBorder="1"/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0" fillId="0" borderId="1" xfId="0" applyNumberFormat="1" applyFill="1" applyBorder="1"/>
    <xf numFmtId="3" fontId="0" fillId="0" borderId="0" xfId="0" applyNumberFormat="1" applyFill="1" applyBorder="1"/>
    <xf numFmtId="4" fontId="14" fillId="0" borderId="19" xfId="0" applyNumberFormat="1" applyFont="1" applyBorder="1" applyAlignment="1">
      <alignment horizontal="right"/>
    </xf>
    <xf numFmtId="4" fontId="14" fillId="2" borderId="6" xfId="0" applyNumberFormat="1" applyFont="1" applyFill="1" applyBorder="1" applyAlignment="1">
      <alignment horizontal="right"/>
    </xf>
    <xf numFmtId="4" fontId="14" fillId="0" borderId="5" xfId="0" applyNumberFormat="1" applyFont="1" applyBorder="1" applyAlignment="1">
      <alignment horizontal="right"/>
    </xf>
    <xf numFmtId="4" fontId="5" fillId="0" borderId="9" xfId="0" applyNumberFormat="1" applyFont="1" applyBorder="1"/>
    <xf numFmtId="4" fontId="5" fillId="2" borderId="10" xfId="0" applyNumberFormat="1" applyFont="1" applyFill="1" applyBorder="1"/>
    <xf numFmtId="3" fontId="1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4" fontId="6" fillId="0" borderId="0" xfId="0" applyNumberFormat="1" applyFont="1"/>
    <xf numFmtId="4" fontId="0" fillId="0" borderId="21" xfId="0" applyNumberFormat="1" applyBorder="1" applyAlignment="1">
      <alignment horizontal="right" wrapText="1"/>
    </xf>
    <xf numFmtId="4" fontId="0" fillId="0" borderId="22" xfId="0" applyNumberFormat="1" applyBorder="1" applyAlignment="1">
      <alignment horizontal="right"/>
    </xf>
    <xf numFmtId="4" fontId="0" fillId="0" borderId="15" xfId="0" applyNumberFormat="1" applyBorder="1"/>
    <xf numFmtId="4" fontId="5" fillId="0" borderId="32" xfId="0" applyNumberFormat="1" applyFont="1" applyBorder="1"/>
    <xf numFmtId="3" fontId="1" fillId="0" borderId="0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14" fontId="6" fillId="0" borderId="1" xfId="0" applyNumberFormat="1" applyFont="1" applyBorder="1"/>
    <xf numFmtId="3" fontId="1" fillId="0" borderId="0" xfId="0" applyNumberFormat="1" applyFont="1" applyFill="1" applyBorder="1" applyAlignment="1">
      <alignment horizontal="center"/>
    </xf>
    <xf numFmtId="4" fontId="14" fillId="0" borderId="21" xfId="0" applyNumberFormat="1" applyFont="1" applyBorder="1" applyAlignment="1">
      <alignment horizontal="right" wrapText="1"/>
    </xf>
    <xf numFmtId="4" fontId="14" fillId="0" borderId="22" xfId="0" applyNumberFormat="1" applyFont="1" applyBorder="1" applyAlignment="1">
      <alignment horizontal="right"/>
    </xf>
    <xf numFmtId="3" fontId="14" fillId="0" borderId="34" xfId="0" applyNumberFormat="1" applyFont="1" applyBorder="1" applyAlignment="1">
      <alignment horizontal="right"/>
    </xf>
    <xf numFmtId="3" fontId="14" fillId="0" borderId="21" xfId="0" applyNumberFormat="1" applyFont="1" applyBorder="1" applyAlignment="1">
      <alignment horizontal="right" wrapText="1"/>
    </xf>
    <xf numFmtId="3" fontId="14" fillId="0" borderId="1" xfId="0" applyNumberFormat="1" applyFont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5" fillId="5" borderId="0" xfId="0" applyNumberFormat="1" applyFont="1" applyFill="1" applyBorder="1"/>
    <xf numFmtId="0" fontId="15" fillId="0" borderId="0" xfId="0" applyFont="1" applyFill="1"/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0" fillId="0" borderId="31" xfId="0" applyNumberFormat="1" applyBorder="1" applyAlignment="1">
      <alignment horizontal="right"/>
    </xf>
    <xf numFmtId="3" fontId="12" fillId="2" borderId="6" xfId="0" applyNumberFormat="1" applyFont="1" applyFill="1" applyBorder="1" applyAlignment="1">
      <alignment horizontal="right"/>
    </xf>
    <xf numFmtId="3" fontId="14" fillId="2" borderId="6" xfId="0" applyNumberFormat="1" applyFont="1" applyFill="1" applyBorder="1" applyAlignment="1">
      <alignment horizontal="right"/>
    </xf>
    <xf numFmtId="3" fontId="14" fillId="0" borderId="5" xfId="0" applyNumberFormat="1" applyFont="1" applyBorder="1" applyAlignment="1">
      <alignment horizontal="right"/>
    </xf>
    <xf numFmtId="0" fontId="6" fillId="0" borderId="0" xfId="0" applyFont="1" applyAlignment="1">
      <alignment wrapText="1"/>
    </xf>
    <xf numFmtId="3" fontId="1" fillId="0" borderId="0" xfId="0" applyNumberFormat="1" applyFont="1" applyFill="1" applyBorder="1" applyAlignment="1">
      <alignment horizontal="center"/>
    </xf>
    <xf numFmtId="3" fontId="23" fillId="2" borderId="6" xfId="0" applyNumberFormat="1" applyFont="1" applyFill="1" applyBorder="1" applyAlignment="1">
      <alignment horizontal="right"/>
    </xf>
    <xf numFmtId="3" fontId="23" fillId="2" borderId="20" xfId="0" applyNumberFormat="1" applyFont="1" applyFill="1" applyBorder="1" applyAlignment="1">
      <alignment horizontal="right"/>
    </xf>
    <xf numFmtId="3" fontId="0" fillId="5" borderId="21" xfId="0" applyNumberFormat="1" applyFill="1" applyBorder="1" applyAlignment="1">
      <alignment horizontal="right" wrapText="1"/>
    </xf>
    <xf numFmtId="3" fontId="0" fillId="5" borderId="1" xfId="0" applyNumberFormat="1" applyFill="1" applyBorder="1" applyAlignment="1">
      <alignment horizontal="right"/>
    </xf>
    <xf numFmtId="3" fontId="0" fillId="5" borderId="34" xfId="0" applyNumberFormat="1" applyFill="1" applyBorder="1" applyAlignment="1">
      <alignment horizontal="right"/>
    </xf>
    <xf numFmtId="4" fontId="23" fillId="2" borderId="6" xfId="0" applyNumberFormat="1" applyFont="1" applyFill="1" applyBorder="1" applyAlignment="1">
      <alignment horizontal="right"/>
    </xf>
    <xf numFmtId="4" fontId="14" fillId="5" borderId="22" xfId="0" applyNumberFormat="1" applyFont="1" applyFill="1" applyBorder="1" applyAlignment="1">
      <alignment horizontal="right"/>
    </xf>
    <xf numFmtId="3" fontId="14" fillId="5" borderId="34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0" fillId="5" borderId="22" xfId="0" applyNumberForma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0" fillId="0" borderId="19" xfId="0" applyNumberFormat="1" applyBorder="1" applyAlignment="1">
      <alignment horizontal="right"/>
    </xf>
    <xf numFmtId="3" fontId="0" fillId="2" borderId="20" xfId="0" applyNumberFormat="1" applyFill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14" fillId="2" borderId="6" xfId="0" applyNumberFormat="1" applyFont="1" applyFill="1" applyBorder="1" applyAlignment="1">
      <alignment horizontal="right"/>
    </xf>
    <xf numFmtId="3" fontId="14" fillId="0" borderId="5" xfId="0" applyNumberFormat="1" applyFont="1" applyBorder="1" applyAlignment="1">
      <alignment horizontal="right"/>
    </xf>
    <xf numFmtId="3" fontId="14" fillId="0" borderId="9" xfId="0" applyNumberFormat="1" applyFont="1" applyBorder="1" applyAlignment="1">
      <alignment horizontal="right"/>
    </xf>
    <xf numFmtId="3" fontId="14" fillId="2" borderId="10" xfId="0" applyNumberFormat="1" applyFont="1" applyFill="1" applyBorder="1" applyAlignment="1">
      <alignment horizontal="right"/>
    </xf>
    <xf numFmtId="3" fontId="14" fillId="0" borderId="19" xfId="0" applyNumberFormat="1" applyFont="1" applyBorder="1" applyAlignment="1">
      <alignment horizontal="right"/>
    </xf>
    <xf numFmtId="3" fontId="14" fillId="2" borderId="20" xfId="0" applyNumberFormat="1" applyFont="1" applyFill="1" applyBorder="1" applyAlignment="1">
      <alignment horizontal="right"/>
    </xf>
    <xf numFmtId="4" fontId="14" fillId="0" borderId="19" xfId="0" applyNumberFormat="1" applyFont="1" applyBorder="1" applyAlignment="1">
      <alignment horizontal="right"/>
    </xf>
    <xf numFmtId="4" fontId="14" fillId="2" borderId="6" xfId="0" applyNumberFormat="1" applyFont="1" applyFill="1" applyBorder="1" applyAlignment="1">
      <alignment horizontal="right"/>
    </xf>
    <xf numFmtId="4" fontId="14" fillId="0" borderId="5" xfId="0" applyNumberFormat="1" applyFont="1" applyBorder="1" applyAlignment="1">
      <alignment horizontal="right"/>
    </xf>
    <xf numFmtId="3" fontId="23" fillId="2" borderId="6" xfId="0" applyNumberFormat="1" applyFont="1" applyFill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4" fontId="0" fillId="2" borderId="6" xfId="0" applyNumberFormat="1" applyFill="1" applyBorder="1" applyAlignment="1">
      <alignment horizontal="right"/>
    </xf>
    <xf numFmtId="3" fontId="0" fillId="0" borderId="1" xfId="0" applyNumberFormat="1" applyBorder="1"/>
    <xf numFmtId="3" fontId="0" fillId="0" borderId="22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31" xfId="0" applyNumberFormat="1" applyBorder="1" applyAlignment="1">
      <alignment horizontal="right"/>
    </xf>
    <xf numFmtId="3" fontId="14" fillId="0" borderId="1" xfId="0" applyNumberFormat="1" applyFont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4" fontId="14" fillId="5" borderId="22" xfId="0" applyNumberFormat="1" applyFont="1" applyFill="1" applyBorder="1" applyAlignment="1">
      <alignment horizontal="right"/>
    </xf>
    <xf numFmtId="3" fontId="0" fillId="5" borderId="22" xfId="0" applyNumberFormat="1" applyFill="1" applyBorder="1" applyAlignment="1">
      <alignment horizontal="right"/>
    </xf>
    <xf numFmtId="4" fontId="0" fillId="0" borderId="0" xfId="0" applyNumberFormat="1"/>
    <xf numFmtId="3" fontId="1" fillId="5" borderId="1" xfId="0" applyNumberFormat="1" applyFont="1" applyFill="1" applyBorder="1"/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4" fillId="5" borderId="22" xfId="0" applyNumberFormat="1" applyFont="1" applyFill="1" applyBorder="1" applyAlignment="1">
      <alignment horizontal="right"/>
    </xf>
    <xf numFmtId="3" fontId="14" fillId="5" borderId="5" xfId="0" applyNumberFormat="1" applyFont="1" applyFill="1" applyBorder="1" applyAlignment="1">
      <alignment horizontal="right"/>
    </xf>
    <xf numFmtId="3" fontId="14" fillId="5" borderId="6" xfId="0" applyNumberFormat="1" applyFont="1" applyFill="1" applyBorder="1" applyAlignment="1">
      <alignment horizontal="right"/>
    </xf>
    <xf numFmtId="3" fontId="14" fillId="5" borderId="19" xfId="0" applyNumberFormat="1" applyFont="1" applyFill="1" applyBorder="1" applyAlignment="1">
      <alignment horizontal="right"/>
    </xf>
    <xf numFmtId="3" fontId="14" fillId="5" borderId="2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0" fillId="5" borderId="35" xfId="0" applyNumberFormat="1" applyFill="1" applyBorder="1" applyAlignment="1">
      <alignment horizontal="right"/>
    </xf>
    <xf numFmtId="3" fontId="14" fillId="5" borderId="35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2" fontId="0" fillId="0" borderId="34" xfId="0" applyNumberFormat="1" applyBorder="1" applyAlignment="1">
      <alignment horizontal="right"/>
    </xf>
    <xf numFmtId="2" fontId="0" fillId="5" borderId="34" xfId="0" applyNumberFormat="1" applyFill="1" applyBorder="1" applyAlignment="1">
      <alignment horizontal="right"/>
    </xf>
    <xf numFmtId="2" fontId="14" fillId="5" borderId="34" xfId="0" applyNumberFormat="1" applyFont="1" applyFill="1" applyBorder="1" applyAlignment="1">
      <alignment horizontal="right"/>
    </xf>
    <xf numFmtId="1" fontId="0" fillId="5" borderId="34" xfId="0" applyNumberForma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164" fontId="0" fillId="5" borderId="16" xfId="0" applyNumberFormat="1" applyFill="1" applyBorder="1" applyAlignment="1">
      <alignment horizontal="left"/>
    </xf>
    <xf numFmtId="3" fontId="0" fillId="5" borderId="5" xfId="0" applyNumberFormat="1" applyFill="1" applyBorder="1" applyAlignment="1">
      <alignment horizontal="right"/>
    </xf>
    <xf numFmtId="3" fontId="0" fillId="5" borderId="6" xfId="0" applyNumberFormat="1" applyFill="1" applyBorder="1" applyAlignment="1">
      <alignment horizontal="right"/>
    </xf>
    <xf numFmtId="3" fontId="23" fillId="5" borderId="6" xfId="0" applyNumberFormat="1" applyFont="1" applyFill="1" applyBorder="1" applyAlignment="1">
      <alignment horizontal="right"/>
    </xf>
    <xf numFmtId="4" fontId="14" fillId="5" borderId="19" xfId="0" applyNumberFormat="1" applyFont="1" applyFill="1" applyBorder="1" applyAlignment="1">
      <alignment horizontal="right"/>
    </xf>
    <xf numFmtId="3" fontId="0" fillId="5" borderId="20" xfId="0" applyNumberFormat="1" applyFill="1" applyBorder="1" applyAlignment="1">
      <alignment horizontal="right"/>
    </xf>
    <xf numFmtId="4" fontId="14" fillId="5" borderId="6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164" fontId="24" fillId="0" borderId="16" xfId="0" applyNumberFormat="1" applyFont="1" applyBorder="1" applyAlignment="1">
      <alignment horizontal="left"/>
    </xf>
    <xf numFmtId="3" fontId="12" fillId="5" borderId="5" xfId="0" applyNumberFormat="1" applyFont="1" applyFill="1" applyBorder="1" applyAlignment="1">
      <alignment horizontal="right"/>
    </xf>
    <xf numFmtId="3" fontId="12" fillId="5" borderId="6" xfId="0" applyNumberFormat="1" applyFont="1" applyFill="1" applyBorder="1" applyAlignment="1">
      <alignment horizontal="right"/>
    </xf>
    <xf numFmtId="3" fontId="25" fillId="5" borderId="5" xfId="0" applyNumberFormat="1" applyFont="1" applyFill="1" applyBorder="1" applyAlignment="1">
      <alignment horizontal="right"/>
    </xf>
    <xf numFmtId="3" fontId="25" fillId="5" borderId="6" xfId="0" applyNumberFormat="1" applyFont="1" applyFill="1" applyBorder="1" applyAlignment="1">
      <alignment horizontal="right"/>
    </xf>
    <xf numFmtId="3" fontId="25" fillId="5" borderId="19" xfId="0" applyNumberFormat="1" applyFont="1" applyFill="1" applyBorder="1" applyAlignment="1">
      <alignment horizontal="right"/>
    </xf>
    <xf numFmtId="3" fontId="24" fillId="5" borderId="5" xfId="0" applyNumberFormat="1" applyFont="1" applyFill="1" applyBorder="1" applyAlignment="1">
      <alignment horizontal="right"/>
    </xf>
    <xf numFmtId="3" fontId="24" fillId="5" borderId="6" xfId="0" applyNumberFormat="1" applyFont="1" applyFill="1" applyBorder="1" applyAlignment="1">
      <alignment horizontal="right"/>
    </xf>
    <xf numFmtId="4" fontId="24" fillId="5" borderId="6" xfId="0" applyNumberFormat="1" applyFont="1" applyFill="1" applyBorder="1" applyAlignment="1">
      <alignment horizontal="right"/>
    </xf>
    <xf numFmtId="3" fontId="14" fillId="5" borderId="21" xfId="0" applyNumberFormat="1" applyFont="1" applyFill="1" applyBorder="1" applyAlignment="1">
      <alignment horizontal="right" wrapText="1"/>
    </xf>
    <xf numFmtId="3" fontId="14" fillId="5" borderId="1" xfId="0" applyNumberFormat="1" applyFont="1" applyFill="1" applyBorder="1" applyAlignment="1">
      <alignment horizontal="right"/>
    </xf>
    <xf numFmtId="164" fontId="14" fillId="0" borderId="16" xfId="0" applyNumberFormat="1" applyFont="1" applyBorder="1" applyAlignment="1">
      <alignment horizontal="left"/>
    </xf>
    <xf numFmtId="0" fontId="2" fillId="0" borderId="42" xfId="0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0" xfId="0" applyFont="1" applyAlignment="1">
      <alignment horizontal="left"/>
    </xf>
    <xf numFmtId="4" fontId="1" fillId="0" borderId="7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0" xfId="0" applyNumberFormat="1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4" fontId="1" fillId="5" borderId="3" xfId="0" applyNumberFormat="1" applyFont="1" applyFill="1" applyBorder="1" applyAlignment="1">
      <alignment horizontal="center"/>
    </xf>
    <xf numFmtId="4" fontId="1" fillId="0" borderId="4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topLeftCell="A31" workbookViewId="0">
      <selection activeCell="L58" sqref="L58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7109375" customWidth="1"/>
    <col min="14" max="14" width="7.85546875" style="68" customWidth="1"/>
    <col min="15" max="15" width="7.7109375" style="68" customWidth="1"/>
    <col min="16" max="16" width="3.140625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41</v>
      </c>
      <c r="E3" s="274"/>
      <c r="F3" s="274"/>
      <c r="G3" s="274"/>
      <c r="H3" s="39">
        <v>2022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44835</v>
      </c>
      <c r="C7" s="45">
        <v>0</v>
      </c>
      <c r="D7" s="46">
        <v>0</v>
      </c>
      <c r="E7" s="45">
        <v>0</v>
      </c>
      <c r="F7" s="46">
        <f>420000+340000</f>
        <v>760000</v>
      </c>
      <c r="G7" s="69">
        <v>0</v>
      </c>
      <c r="H7" s="70">
        <v>0</v>
      </c>
      <c r="I7" s="69">
        <v>0</v>
      </c>
      <c r="J7" s="70">
        <v>0</v>
      </c>
      <c r="K7" s="56">
        <f>SUM(C7:H7)</f>
        <v>760000</v>
      </c>
      <c r="L7" s="52">
        <v>760000</v>
      </c>
      <c r="M7" s="53">
        <f t="shared" ref="M7:M37" si="0">L7-K7</f>
        <v>0</v>
      </c>
      <c r="V7" s="68"/>
      <c r="W7" s="68"/>
      <c r="X7" s="78"/>
      <c r="Y7" s="68"/>
      <c r="Z7" s="68"/>
    </row>
    <row r="8" spans="2:26" x14ac:dyDescent="0.25">
      <c r="B8" s="15">
        <f t="shared" ref="B8:B37" si="1">B7+1</f>
        <v>44836</v>
      </c>
      <c r="C8" s="43">
        <v>0</v>
      </c>
      <c r="D8" s="46">
        <v>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>SUM(C8:J8)</f>
        <v>0</v>
      </c>
      <c r="L8" s="52">
        <v>0</v>
      </c>
      <c r="M8" s="53">
        <f t="shared" si="0"/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44837</v>
      </c>
      <c r="C9" s="45">
        <v>525000</v>
      </c>
      <c r="D9" s="44">
        <v>0</v>
      </c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56">
        <f>SUM(C9:J9)</f>
        <v>525000</v>
      </c>
      <c r="L9" s="51">
        <v>525000</v>
      </c>
      <c r="M9" s="53">
        <f t="shared" si="0"/>
        <v>0</v>
      </c>
      <c r="V9" s="67"/>
      <c r="W9" s="67"/>
      <c r="X9" s="78"/>
      <c r="Y9" s="78"/>
      <c r="Z9" s="68"/>
    </row>
    <row r="10" spans="2:26" x14ac:dyDescent="0.25">
      <c r="B10" s="15">
        <f t="shared" si="1"/>
        <v>44838</v>
      </c>
      <c r="C10" s="43">
        <v>520000</v>
      </c>
      <c r="D10" s="46">
        <v>300000</v>
      </c>
      <c r="E10" s="45">
        <v>0</v>
      </c>
      <c r="F10" s="46">
        <v>310000</v>
      </c>
      <c r="G10" s="43">
        <v>0</v>
      </c>
      <c r="H10" s="46">
        <v>0</v>
      </c>
      <c r="I10" s="43">
        <v>0</v>
      </c>
      <c r="J10" s="46">
        <v>0</v>
      </c>
      <c r="K10" s="56">
        <f>SUM(C10:J10)</f>
        <v>1130000</v>
      </c>
      <c r="L10" s="52">
        <v>1130000</v>
      </c>
      <c r="M10" s="53">
        <f t="shared" si="0"/>
        <v>0</v>
      </c>
      <c r="V10" s="67"/>
      <c r="Y10" s="78"/>
      <c r="Z10" s="68"/>
    </row>
    <row r="11" spans="2:26" x14ac:dyDescent="0.25">
      <c r="B11" s="15">
        <f t="shared" si="1"/>
        <v>44839</v>
      </c>
      <c r="C11" s="45">
        <v>0</v>
      </c>
      <c r="D11" s="46">
        <v>440000</v>
      </c>
      <c r="E11" s="45">
        <v>110000</v>
      </c>
      <c r="F11" s="46">
        <f>30000+420000+340000</f>
        <v>790000</v>
      </c>
      <c r="G11" s="45">
        <v>0</v>
      </c>
      <c r="H11" s="46">
        <v>0</v>
      </c>
      <c r="I11" s="45">
        <v>0</v>
      </c>
      <c r="J11" s="46">
        <v>15000</v>
      </c>
      <c r="K11" s="56">
        <f>SUM(C11:J11)</f>
        <v>1355000</v>
      </c>
      <c r="L11" s="52">
        <v>1355000</v>
      </c>
      <c r="M11" s="53">
        <f t="shared" si="0"/>
        <v>0</v>
      </c>
      <c r="O11" s="78" t="s">
        <v>31</v>
      </c>
      <c r="V11" s="68"/>
      <c r="W11" s="68"/>
      <c r="X11" s="78"/>
      <c r="Y11" s="78"/>
      <c r="Z11" s="68"/>
    </row>
    <row r="12" spans="2:26" x14ac:dyDescent="0.25">
      <c r="B12" s="15">
        <f t="shared" si="1"/>
        <v>44840</v>
      </c>
      <c r="C12" s="45">
        <f>350000+180000</f>
        <v>530000</v>
      </c>
      <c r="D12" s="46">
        <v>260000</v>
      </c>
      <c r="E12" s="45">
        <f>5000</f>
        <v>5000</v>
      </c>
      <c r="F12" s="46">
        <f>25000+60000+485000</f>
        <v>570000</v>
      </c>
      <c r="G12" s="45">
        <v>0</v>
      </c>
      <c r="H12" s="46">
        <v>0</v>
      </c>
      <c r="I12" s="45">
        <v>0</v>
      </c>
      <c r="J12" s="46">
        <v>0</v>
      </c>
      <c r="K12" s="56">
        <f>SUM(C12:J12)</f>
        <v>1365000</v>
      </c>
      <c r="L12" s="51">
        <v>1365000</v>
      </c>
      <c r="M12" s="53">
        <f t="shared" si="0"/>
        <v>0</v>
      </c>
      <c r="V12" s="68"/>
      <c r="W12" s="67"/>
      <c r="X12" s="78"/>
      <c r="Y12" s="78"/>
      <c r="Z12" s="68"/>
    </row>
    <row r="13" spans="2:26" x14ac:dyDescent="0.25">
      <c r="B13" s="15">
        <f t="shared" si="1"/>
        <v>44841</v>
      </c>
      <c r="C13" s="45">
        <v>500000</v>
      </c>
      <c r="D13" s="46">
        <v>90000</v>
      </c>
      <c r="E13" s="45">
        <v>0</v>
      </c>
      <c r="F13" s="46">
        <v>430000</v>
      </c>
      <c r="G13" s="45">
        <v>0</v>
      </c>
      <c r="H13" s="46">
        <v>0</v>
      </c>
      <c r="I13" s="45">
        <v>0</v>
      </c>
      <c r="J13" s="46">
        <v>0</v>
      </c>
      <c r="K13" s="56">
        <f t="shared" ref="K13:K26" si="2">SUM(C13:J13)</f>
        <v>1020000</v>
      </c>
      <c r="L13" s="52">
        <v>1020000</v>
      </c>
      <c r="M13" s="53">
        <f t="shared" si="0"/>
        <v>0</v>
      </c>
      <c r="N13" s="67"/>
      <c r="P13" s="67"/>
      <c r="V13" s="68"/>
      <c r="W13" s="67"/>
      <c r="X13" s="78"/>
      <c r="Y13" s="79"/>
      <c r="Z13" s="68"/>
    </row>
    <row r="14" spans="2:26" x14ac:dyDescent="0.25">
      <c r="B14" s="15">
        <f t="shared" si="1"/>
        <v>44842</v>
      </c>
      <c r="C14" s="43">
        <v>0</v>
      </c>
      <c r="D14" s="46">
        <v>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46">
        <v>0</v>
      </c>
      <c r="K14" s="56">
        <f t="shared" si="2"/>
        <v>0</v>
      </c>
      <c r="L14" s="52">
        <v>0</v>
      </c>
      <c r="M14" s="53">
        <f t="shared" si="0"/>
        <v>0</v>
      </c>
      <c r="V14" s="68"/>
      <c r="X14" s="68"/>
      <c r="Y14" s="78"/>
      <c r="Z14" s="68"/>
    </row>
    <row r="15" spans="2:26" x14ac:dyDescent="0.25">
      <c r="B15" s="15">
        <f t="shared" si="1"/>
        <v>44843</v>
      </c>
      <c r="C15" s="45">
        <v>0</v>
      </c>
      <c r="D15" s="46">
        <v>0</v>
      </c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2"/>
        <v>0</v>
      </c>
      <c r="L15" s="51">
        <v>0</v>
      </c>
      <c r="M15" s="53">
        <f t="shared" si="0"/>
        <v>0</v>
      </c>
      <c r="R15" s="80"/>
      <c r="S15" s="80"/>
      <c r="T15" s="80"/>
      <c r="U15" s="80"/>
      <c r="W15" s="67"/>
      <c r="X15" s="80"/>
      <c r="Y15" s="80"/>
      <c r="Z15" s="80"/>
    </row>
    <row r="16" spans="2:26" x14ac:dyDescent="0.25">
      <c r="B16" s="15">
        <f t="shared" si="1"/>
        <v>44844</v>
      </c>
      <c r="C16" s="43">
        <v>450000</v>
      </c>
      <c r="D16" s="46">
        <v>0</v>
      </c>
      <c r="E16" s="45">
        <v>0</v>
      </c>
      <c r="F16" s="46">
        <v>330000</v>
      </c>
      <c r="G16" s="43">
        <v>0</v>
      </c>
      <c r="H16" s="46">
        <v>0</v>
      </c>
      <c r="I16" s="43">
        <v>0</v>
      </c>
      <c r="J16" s="46"/>
      <c r="K16" s="56">
        <f>SUM(C16:J16)</f>
        <v>780000</v>
      </c>
      <c r="L16" s="52">
        <v>780000</v>
      </c>
      <c r="M16" s="53">
        <f t="shared" si="0"/>
        <v>0</v>
      </c>
      <c r="R16" s="80"/>
      <c r="S16" s="80"/>
      <c r="T16" s="80"/>
      <c r="U16" s="80"/>
      <c r="V16" s="65"/>
      <c r="W16" s="68"/>
      <c r="X16" s="68"/>
      <c r="Y16" s="80"/>
      <c r="Z16" s="80"/>
    </row>
    <row r="17" spans="2:26" x14ac:dyDescent="0.25">
      <c r="B17" s="15">
        <f t="shared" si="1"/>
        <v>44845</v>
      </c>
      <c r="C17" s="45">
        <v>105000</v>
      </c>
      <c r="D17" s="46">
        <v>255000</v>
      </c>
      <c r="E17" s="43">
        <v>0</v>
      </c>
      <c r="F17" s="44">
        <v>225000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2"/>
        <v>585000</v>
      </c>
      <c r="L17" s="52">
        <v>585000</v>
      </c>
      <c r="M17" s="53">
        <f t="shared" si="0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44846</v>
      </c>
      <c r="C18" s="43">
        <v>0</v>
      </c>
      <c r="D18" s="46">
        <v>100000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2"/>
        <v>100000</v>
      </c>
      <c r="L18" s="51">
        <v>100000</v>
      </c>
      <c r="M18" s="53">
        <f t="shared" si="0"/>
        <v>0</v>
      </c>
      <c r="V18" s="67"/>
      <c r="W18" s="81"/>
      <c r="X18" s="78"/>
      <c r="Y18" s="78"/>
      <c r="Z18" s="68"/>
    </row>
    <row r="19" spans="2:26" x14ac:dyDescent="0.25">
      <c r="B19" s="15">
        <f t="shared" si="1"/>
        <v>44847</v>
      </c>
      <c r="C19" s="45">
        <v>0</v>
      </c>
      <c r="D19" s="46">
        <v>0</v>
      </c>
      <c r="E19" s="45">
        <v>0</v>
      </c>
      <c r="F19" s="46">
        <v>1250000</v>
      </c>
      <c r="G19" s="45">
        <v>0</v>
      </c>
      <c r="H19" s="46">
        <v>0</v>
      </c>
      <c r="I19" s="45">
        <v>0</v>
      </c>
      <c r="J19" s="46">
        <v>0</v>
      </c>
      <c r="K19" s="56">
        <f t="shared" si="2"/>
        <v>1250000</v>
      </c>
      <c r="L19" s="52">
        <v>1250000</v>
      </c>
      <c r="M19" s="53">
        <f t="shared" si="0"/>
        <v>0</v>
      </c>
      <c r="V19" s="67"/>
      <c r="W19" s="67"/>
      <c r="X19" s="78"/>
      <c r="Y19" s="78"/>
      <c r="Z19" s="68"/>
    </row>
    <row r="20" spans="2:26" x14ac:dyDescent="0.25">
      <c r="B20" s="15">
        <f t="shared" si="1"/>
        <v>44848</v>
      </c>
      <c r="C20" s="45">
        <v>260000</v>
      </c>
      <c r="D20" s="44">
        <f>100000+140000+50000</f>
        <v>290000</v>
      </c>
      <c r="E20" s="45">
        <v>235000</v>
      </c>
      <c r="F20" s="46">
        <f>125000+20000</f>
        <v>145000</v>
      </c>
      <c r="G20" s="45">
        <v>0</v>
      </c>
      <c r="H20" s="46">
        <v>0</v>
      </c>
      <c r="I20" s="45">
        <v>0</v>
      </c>
      <c r="J20" s="46">
        <v>0</v>
      </c>
      <c r="K20" s="56">
        <f t="shared" si="2"/>
        <v>930000</v>
      </c>
      <c r="L20" s="52">
        <v>930000</v>
      </c>
      <c r="M20" s="53">
        <f t="shared" si="0"/>
        <v>0</v>
      </c>
      <c r="V20" s="67"/>
      <c r="W20" s="67"/>
      <c r="Y20" s="78"/>
      <c r="Z20" s="68"/>
    </row>
    <row r="21" spans="2:26" x14ac:dyDescent="0.25">
      <c r="B21" s="15">
        <f>B20+1</f>
        <v>44849</v>
      </c>
      <c r="C21" s="45">
        <v>0</v>
      </c>
      <c r="D21" s="46">
        <v>0</v>
      </c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56">
        <f t="shared" si="2"/>
        <v>0</v>
      </c>
      <c r="L21" s="51">
        <v>0</v>
      </c>
      <c r="M21" s="53">
        <f t="shared" si="0"/>
        <v>0</v>
      </c>
      <c r="N21" s="68" t="s">
        <v>30</v>
      </c>
      <c r="X21" s="78"/>
      <c r="Y21" s="78"/>
      <c r="Z21" s="68"/>
    </row>
    <row r="22" spans="2:26" x14ac:dyDescent="0.25">
      <c r="B22" s="15">
        <f t="shared" si="1"/>
        <v>44850</v>
      </c>
      <c r="C22" s="45">
        <v>0</v>
      </c>
      <c r="D22" s="46">
        <v>0</v>
      </c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56">
        <f t="shared" si="2"/>
        <v>0</v>
      </c>
      <c r="L22" s="52">
        <v>0</v>
      </c>
      <c r="M22" s="53">
        <f t="shared" si="0"/>
        <v>0</v>
      </c>
      <c r="W22" s="67"/>
      <c r="X22" s="78"/>
      <c r="Y22" s="78"/>
      <c r="Z22" s="68"/>
    </row>
    <row r="23" spans="2:26" x14ac:dyDescent="0.25">
      <c r="B23" s="15">
        <f t="shared" si="1"/>
        <v>44851</v>
      </c>
      <c r="C23" s="45">
        <v>0</v>
      </c>
      <c r="D23" s="46">
        <v>0</v>
      </c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2"/>
        <v>0</v>
      </c>
      <c r="L23" s="52">
        <v>0</v>
      </c>
      <c r="M23" s="53">
        <f t="shared" si="0"/>
        <v>0</v>
      </c>
      <c r="N23" s="68" t="s">
        <v>39</v>
      </c>
      <c r="W23" s="67"/>
      <c r="X23" s="78"/>
      <c r="Y23" s="78"/>
      <c r="Z23" s="68"/>
    </row>
    <row r="24" spans="2:26" x14ac:dyDescent="0.25">
      <c r="B24" s="15">
        <f t="shared" si="1"/>
        <v>44852</v>
      </c>
      <c r="C24" s="43">
        <v>0</v>
      </c>
      <c r="D24" s="46">
        <v>545000</v>
      </c>
      <c r="E24" s="45">
        <v>400000</v>
      </c>
      <c r="F24" s="46">
        <v>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2"/>
        <v>945000</v>
      </c>
      <c r="L24" s="51">
        <v>945000</v>
      </c>
      <c r="M24" s="53">
        <f t="shared" si="0"/>
        <v>0</v>
      </c>
      <c r="V24" s="67"/>
      <c r="W24" s="67"/>
      <c r="Y24" s="78"/>
      <c r="Z24" s="68"/>
    </row>
    <row r="25" spans="2:26" x14ac:dyDescent="0.25">
      <c r="B25" s="15">
        <f t="shared" si="1"/>
        <v>44853</v>
      </c>
      <c r="C25" s="45">
        <v>0</v>
      </c>
      <c r="D25" s="46">
        <v>650000</v>
      </c>
      <c r="E25" s="45">
        <v>810000</v>
      </c>
      <c r="F25" s="46">
        <v>0</v>
      </c>
      <c r="G25" s="45">
        <v>250000</v>
      </c>
      <c r="H25" s="46">
        <v>0</v>
      </c>
      <c r="I25" s="45">
        <v>0</v>
      </c>
      <c r="J25" s="46">
        <v>0</v>
      </c>
      <c r="K25" s="56">
        <f t="shared" si="2"/>
        <v>1710000</v>
      </c>
      <c r="L25" s="52">
        <v>1710000</v>
      </c>
      <c r="M25" s="53">
        <f t="shared" si="0"/>
        <v>0</v>
      </c>
      <c r="N25" s="67" t="s">
        <v>32</v>
      </c>
      <c r="V25" s="67"/>
      <c r="W25" s="67"/>
      <c r="Y25" s="78"/>
      <c r="Z25" s="68"/>
    </row>
    <row r="26" spans="2:26" x14ac:dyDescent="0.25">
      <c r="B26" s="15">
        <f t="shared" si="1"/>
        <v>44854</v>
      </c>
      <c r="C26" s="43">
        <v>75000</v>
      </c>
      <c r="D26" s="46">
        <v>520000</v>
      </c>
      <c r="E26" s="45">
        <v>0</v>
      </c>
      <c r="F26" s="46">
        <v>670000</v>
      </c>
      <c r="G26" s="43">
        <v>0</v>
      </c>
      <c r="H26" s="46">
        <v>0</v>
      </c>
      <c r="I26" s="43">
        <v>0</v>
      </c>
      <c r="J26" s="46">
        <v>0</v>
      </c>
      <c r="K26" s="56">
        <f t="shared" si="2"/>
        <v>1265000</v>
      </c>
      <c r="L26" s="52">
        <v>1265000</v>
      </c>
      <c r="M26" s="53">
        <f t="shared" si="0"/>
        <v>0</v>
      </c>
      <c r="W26" s="67"/>
      <c r="X26" s="78"/>
      <c r="Y26" s="78"/>
      <c r="Z26" s="68"/>
    </row>
    <row r="27" spans="2:26" x14ac:dyDescent="0.25">
      <c r="B27" s="15">
        <f t="shared" si="1"/>
        <v>44855</v>
      </c>
      <c r="C27" s="45">
        <v>120000</v>
      </c>
      <c r="D27" s="46">
        <f>310000</f>
        <v>310000</v>
      </c>
      <c r="E27" s="45">
        <v>0</v>
      </c>
      <c r="F27" s="46">
        <f>870000+125000-20000</f>
        <v>975000</v>
      </c>
      <c r="G27" s="45">
        <v>0</v>
      </c>
      <c r="H27" s="46">
        <v>0</v>
      </c>
      <c r="I27" s="45">
        <v>15000</v>
      </c>
      <c r="J27" s="46">
        <v>0</v>
      </c>
      <c r="K27" s="56">
        <f t="shared" ref="K27:K37" si="3">SUM(C27:J27)</f>
        <v>1420000</v>
      </c>
      <c r="L27" s="51">
        <v>1440000</v>
      </c>
      <c r="M27" s="53">
        <f t="shared" si="0"/>
        <v>20000</v>
      </c>
      <c r="N27" s="78"/>
      <c r="O27" s="78" t="s">
        <v>31</v>
      </c>
      <c r="Q27" s="67" t="s">
        <v>42</v>
      </c>
      <c r="W27" s="68"/>
      <c r="X27" s="78"/>
      <c r="Y27" s="68"/>
      <c r="Z27" s="68"/>
    </row>
    <row r="28" spans="2:26" x14ac:dyDescent="0.25">
      <c r="B28" s="15">
        <f t="shared" si="1"/>
        <v>44856</v>
      </c>
      <c r="C28" s="43">
        <v>0</v>
      </c>
      <c r="D28" s="46">
        <v>0</v>
      </c>
      <c r="E28" s="45">
        <v>0</v>
      </c>
      <c r="F28" s="46">
        <v>0</v>
      </c>
      <c r="G28" s="43">
        <v>0</v>
      </c>
      <c r="H28" s="46">
        <v>0</v>
      </c>
      <c r="I28" s="43">
        <v>0</v>
      </c>
      <c r="J28" s="46">
        <v>0</v>
      </c>
      <c r="K28" s="56">
        <f>SUM(C28:J28)</f>
        <v>0</v>
      </c>
      <c r="L28" s="52">
        <v>0</v>
      </c>
      <c r="M28" s="53">
        <f t="shared" si="0"/>
        <v>0</v>
      </c>
      <c r="W28" s="68"/>
      <c r="Y28" s="68"/>
      <c r="Z28" s="68"/>
    </row>
    <row r="29" spans="2:26" x14ac:dyDescent="0.25">
      <c r="B29" s="15">
        <f t="shared" si="1"/>
        <v>44857</v>
      </c>
      <c r="C29" s="45">
        <v>0</v>
      </c>
      <c r="D29" s="46">
        <v>0</v>
      </c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46"/>
      <c r="K29" s="56">
        <f>SUM(C29:J29)</f>
        <v>0</v>
      </c>
      <c r="L29" s="52">
        <v>0</v>
      </c>
      <c r="M29" s="53">
        <f t="shared" si="0"/>
        <v>0</v>
      </c>
      <c r="W29" s="67"/>
      <c r="Y29" s="78"/>
      <c r="Z29" s="68"/>
    </row>
    <row r="30" spans="2:26" x14ac:dyDescent="0.25">
      <c r="B30" s="15">
        <f t="shared" si="1"/>
        <v>44858</v>
      </c>
      <c r="C30" s="43">
        <v>0</v>
      </c>
      <c r="D30" s="46">
        <f>600000+440000</f>
        <v>1040000</v>
      </c>
      <c r="E30" s="45">
        <v>0</v>
      </c>
      <c r="F30" s="46">
        <v>0</v>
      </c>
      <c r="G30" s="43">
        <v>0</v>
      </c>
      <c r="H30" s="46">
        <v>0</v>
      </c>
      <c r="I30" s="43">
        <v>0</v>
      </c>
      <c r="J30" s="46">
        <v>0</v>
      </c>
      <c r="K30" s="56">
        <f t="shared" si="3"/>
        <v>1040000</v>
      </c>
      <c r="L30" s="51">
        <v>1040000</v>
      </c>
      <c r="M30" s="53">
        <f t="shared" si="0"/>
        <v>0</v>
      </c>
      <c r="W30" s="67"/>
      <c r="X30" s="78"/>
      <c r="Y30" s="78"/>
      <c r="Z30" s="68"/>
    </row>
    <row r="31" spans="2:26" x14ac:dyDescent="0.25">
      <c r="B31" s="15">
        <f t="shared" si="1"/>
        <v>44859</v>
      </c>
      <c r="C31" s="43">
        <v>0</v>
      </c>
      <c r="D31" s="46">
        <f>35000+525000</f>
        <v>560000</v>
      </c>
      <c r="E31" s="45">
        <v>310000</v>
      </c>
      <c r="F31" s="46">
        <v>20000</v>
      </c>
      <c r="G31" s="43">
        <v>0</v>
      </c>
      <c r="H31" s="46">
        <v>0</v>
      </c>
      <c r="I31" s="43">
        <v>0</v>
      </c>
      <c r="J31" s="46">
        <v>0</v>
      </c>
      <c r="K31" s="56">
        <f t="shared" si="3"/>
        <v>890000</v>
      </c>
      <c r="L31" s="52">
        <v>890000</v>
      </c>
      <c r="M31" s="53">
        <f t="shared" si="0"/>
        <v>0</v>
      </c>
      <c r="W31" s="68"/>
      <c r="X31" s="78"/>
      <c r="Y31" s="78"/>
      <c r="Z31" s="67"/>
    </row>
    <row r="32" spans="2:26" x14ac:dyDescent="0.25">
      <c r="B32" s="15">
        <f t="shared" si="1"/>
        <v>44860</v>
      </c>
      <c r="C32" s="43">
        <v>0</v>
      </c>
      <c r="D32" s="46">
        <v>0</v>
      </c>
      <c r="E32" s="43">
        <v>340000</v>
      </c>
      <c r="F32" s="46">
        <v>53500</v>
      </c>
      <c r="G32" s="43">
        <v>0</v>
      </c>
      <c r="H32" s="46">
        <v>260000</v>
      </c>
      <c r="I32" s="43">
        <v>0</v>
      </c>
      <c r="J32" s="46">
        <v>0</v>
      </c>
      <c r="K32" s="56">
        <f t="shared" si="3"/>
        <v>653500</v>
      </c>
      <c r="L32" s="52">
        <v>653500</v>
      </c>
      <c r="M32" s="53">
        <f t="shared" si="0"/>
        <v>0</v>
      </c>
      <c r="N32" s="68" t="s">
        <v>30</v>
      </c>
      <c r="W32" s="68"/>
      <c r="X32" s="67"/>
      <c r="Y32" s="78"/>
      <c r="Z32" s="68"/>
    </row>
    <row r="33" spans="1:26" x14ac:dyDescent="0.25">
      <c r="B33" s="15">
        <f t="shared" si="1"/>
        <v>44861</v>
      </c>
      <c r="C33" s="45">
        <v>0</v>
      </c>
      <c r="D33" s="46">
        <f>850000+690000</f>
        <v>1540000</v>
      </c>
      <c r="E33" s="45">
        <v>-220000</v>
      </c>
      <c r="F33" s="46">
        <v>240000</v>
      </c>
      <c r="G33" s="45">
        <v>0</v>
      </c>
      <c r="H33" s="46">
        <v>0</v>
      </c>
      <c r="I33" s="45">
        <v>0</v>
      </c>
      <c r="J33" s="46">
        <v>0</v>
      </c>
      <c r="K33" s="56">
        <f t="shared" si="3"/>
        <v>1560000</v>
      </c>
      <c r="L33" s="51">
        <v>1780000</v>
      </c>
      <c r="M33" s="53">
        <f t="shared" si="0"/>
        <v>220000</v>
      </c>
      <c r="Q33" s="67" t="s">
        <v>43</v>
      </c>
      <c r="W33" s="68"/>
      <c r="X33" s="78"/>
      <c r="Y33" s="78"/>
      <c r="Z33" s="68"/>
    </row>
    <row r="34" spans="1:26" x14ac:dyDescent="0.25">
      <c r="B34" s="15">
        <f t="shared" si="1"/>
        <v>44862</v>
      </c>
      <c r="C34" s="45">
        <v>15000</v>
      </c>
      <c r="D34" s="46">
        <v>0</v>
      </c>
      <c r="E34" s="45">
        <v>0</v>
      </c>
      <c r="F34" s="46">
        <v>420000</v>
      </c>
      <c r="G34" s="45">
        <v>0</v>
      </c>
      <c r="H34" s="46">
        <v>0</v>
      </c>
      <c r="I34" s="45">
        <v>0</v>
      </c>
      <c r="J34" s="46">
        <v>30000</v>
      </c>
      <c r="K34" s="56">
        <f t="shared" si="3"/>
        <v>465000</v>
      </c>
      <c r="L34" s="52">
        <v>465000</v>
      </c>
      <c r="M34" s="53">
        <f t="shared" si="0"/>
        <v>0</v>
      </c>
      <c r="O34" s="78" t="s">
        <v>31</v>
      </c>
      <c r="W34" s="68"/>
      <c r="X34" s="78"/>
      <c r="Y34" s="78"/>
      <c r="Z34" s="68"/>
    </row>
    <row r="35" spans="1:26" x14ac:dyDescent="0.25">
      <c r="B35" s="15">
        <f t="shared" si="1"/>
        <v>44863</v>
      </c>
      <c r="C35" s="47">
        <v>0</v>
      </c>
      <c r="D35" s="48">
        <v>0</v>
      </c>
      <c r="E35" s="49">
        <v>427000</v>
      </c>
      <c r="F35" s="50">
        <v>0</v>
      </c>
      <c r="G35" s="47">
        <v>0</v>
      </c>
      <c r="H35" s="48">
        <v>0</v>
      </c>
      <c r="I35" s="47">
        <v>0</v>
      </c>
      <c r="J35" s="48">
        <v>0</v>
      </c>
      <c r="K35" s="56">
        <f t="shared" si="3"/>
        <v>427000</v>
      </c>
      <c r="L35" s="54">
        <v>427000</v>
      </c>
      <c r="M35" s="55">
        <f t="shared" si="0"/>
        <v>0</v>
      </c>
      <c r="W35" s="68"/>
      <c r="X35" s="78"/>
      <c r="Y35" s="78"/>
      <c r="Z35" s="68"/>
    </row>
    <row r="36" spans="1:26" x14ac:dyDescent="0.25">
      <c r="B36" s="15">
        <f t="shared" si="1"/>
        <v>44864</v>
      </c>
      <c r="C36" s="47">
        <v>0</v>
      </c>
      <c r="D36" s="48">
        <v>0</v>
      </c>
      <c r="E36" s="49">
        <v>0</v>
      </c>
      <c r="F36" s="50">
        <v>0</v>
      </c>
      <c r="G36" s="47">
        <v>0</v>
      </c>
      <c r="H36" s="48">
        <v>0</v>
      </c>
      <c r="I36" s="47">
        <v>0</v>
      </c>
      <c r="J36" s="48">
        <v>0</v>
      </c>
      <c r="K36" s="56">
        <f t="shared" si="3"/>
        <v>0</v>
      </c>
      <c r="L36" s="54">
        <v>0</v>
      </c>
      <c r="M36" s="55">
        <f t="shared" si="0"/>
        <v>0</v>
      </c>
      <c r="W36" s="68"/>
      <c r="X36" s="78"/>
      <c r="Y36" s="78"/>
      <c r="Z36" s="68"/>
    </row>
    <row r="37" spans="1:26" x14ac:dyDescent="0.25">
      <c r="B37" s="15">
        <f t="shared" si="1"/>
        <v>44865</v>
      </c>
      <c r="C37" s="47">
        <v>0</v>
      </c>
      <c r="D37" s="48">
        <v>360000</v>
      </c>
      <c r="E37" s="49">
        <v>0</v>
      </c>
      <c r="F37" s="50">
        <v>0</v>
      </c>
      <c r="G37" s="47">
        <v>0</v>
      </c>
      <c r="H37" s="48">
        <v>0</v>
      </c>
      <c r="I37" s="47">
        <v>0</v>
      </c>
      <c r="J37" s="48">
        <v>3200</v>
      </c>
      <c r="K37" s="56">
        <f t="shared" si="3"/>
        <v>363200</v>
      </c>
      <c r="L37" s="54">
        <v>363200</v>
      </c>
      <c r="M37" s="55">
        <f t="shared" si="0"/>
        <v>0</v>
      </c>
      <c r="O37" s="78" t="s">
        <v>33</v>
      </c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3100000</v>
      </c>
      <c r="D39" s="25">
        <f>SUM(D7:D38)</f>
        <v>7260000</v>
      </c>
      <c r="E39" s="24">
        <f t="shared" ref="E39:J39" si="4">SUM(E7:E38)</f>
        <v>2417000</v>
      </c>
      <c r="F39" s="59">
        <f t="shared" si="4"/>
        <v>7188500</v>
      </c>
      <c r="G39" s="24">
        <f t="shared" si="4"/>
        <v>250000</v>
      </c>
      <c r="H39" s="25">
        <f t="shared" si="4"/>
        <v>260000</v>
      </c>
      <c r="I39" s="24">
        <f t="shared" si="4"/>
        <v>15000</v>
      </c>
      <c r="J39" s="25">
        <f t="shared" si="4"/>
        <v>48200</v>
      </c>
      <c r="K39" s="28">
        <f>SUM(K7:K38)</f>
        <v>20538700</v>
      </c>
      <c r="L39" s="27">
        <f>SUM(L7:L38)</f>
        <v>20778700</v>
      </c>
      <c r="M39" s="26">
        <f>L39-K39</f>
        <v>240000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10360000</v>
      </c>
      <c r="D40" s="268"/>
      <c r="E40" s="267">
        <f>SUM(E39:F39)</f>
        <v>9605500</v>
      </c>
      <c r="F40" s="269"/>
      <c r="G40" s="267">
        <f>SUM(G39:H39)</f>
        <v>510000</v>
      </c>
      <c r="H40" s="268"/>
      <c r="I40" s="267">
        <f>SUM(I39:J39)</f>
        <v>63200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/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0</v>
      </c>
      <c r="L45" s="3">
        <v>0</v>
      </c>
      <c r="M45" s="3">
        <f>L45-K45</f>
        <v>0</v>
      </c>
      <c r="N45" s="85"/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44865</v>
      </c>
      <c r="C48" s="3">
        <v>0</v>
      </c>
      <c r="D48" s="14">
        <v>360000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3200</v>
      </c>
      <c r="K48" s="3">
        <f>SUM(C48:J48)</f>
        <v>363200</v>
      </c>
      <c r="L48" s="3">
        <v>0</v>
      </c>
      <c r="M48" s="3">
        <v>363200</v>
      </c>
      <c r="N48" s="85">
        <v>44866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-360000</v>
      </c>
      <c r="E50" s="262">
        <f>F45+F46-F47-F48</f>
        <v>0</v>
      </c>
      <c r="F50" s="263"/>
      <c r="G50" s="262">
        <f>H45+H46-H47-H48</f>
        <v>0</v>
      </c>
      <c r="H50" s="263"/>
      <c r="I50" s="262">
        <f>J45+J46-J47-J48</f>
        <v>-3200</v>
      </c>
      <c r="J50" s="263"/>
    </row>
    <row r="51" spans="2:24" x14ac:dyDescent="0.25">
      <c r="B51" s="264" t="s">
        <v>12</v>
      </c>
      <c r="C51" s="264"/>
      <c r="D51" s="31">
        <f>D39+D50</f>
        <v>6900000</v>
      </c>
      <c r="E51" s="265">
        <f>F39+E50</f>
        <v>7188500</v>
      </c>
      <c r="F51" s="266"/>
      <c r="G51" s="265">
        <f>H39+G50</f>
        <v>260000</v>
      </c>
      <c r="H51" s="266"/>
      <c r="I51" s="265">
        <f>J39+I50</f>
        <v>45000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14393500</v>
      </c>
      <c r="E52" s="258"/>
      <c r="F52" s="258"/>
      <c r="G52" s="258"/>
      <c r="H52" s="258"/>
      <c r="I52" s="91"/>
      <c r="J52" s="91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D51*0.016</f>
        <v>110400</v>
      </c>
      <c r="N54" s="87">
        <v>1.6E-2</v>
      </c>
      <c r="W54" s="4"/>
    </row>
    <row r="55" spans="2:24" x14ac:dyDescent="0.25">
      <c r="B55" s="72" t="s">
        <v>13</v>
      </c>
      <c r="C55" s="34">
        <f>C39+G39+E39+I39</f>
        <v>5782000</v>
      </c>
      <c r="D55" s="34">
        <f>D39+H39+F39+J39</f>
        <v>14756700</v>
      </c>
      <c r="E55" s="58"/>
      <c r="F55" s="58"/>
      <c r="K55" s="63" t="s">
        <v>25</v>
      </c>
      <c r="L55" s="64">
        <f>E51*0.016</f>
        <v>115016</v>
      </c>
      <c r="N55" s="88"/>
      <c r="X55" s="71"/>
    </row>
    <row r="56" spans="2:24" x14ac:dyDescent="0.25">
      <c r="C56" s="259">
        <f>SUM(C55:D55)</f>
        <v>20538700</v>
      </c>
      <c r="D56" s="260"/>
      <c r="E56" s="57"/>
      <c r="F56" s="57"/>
      <c r="K56" s="63" t="s">
        <v>28</v>
      </c>
      <c r="L56" s="64">
        <f>G51*0.016</f>
        <v>4160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I51*0.016+320</f>
        <v>1040</v>
      </c>
      <c r="W57" s="4"/>
    </row>
    <row r="58" spans="2:24" x14ac:dyDescent="0.25">
      <c r="J58" t="s">
        <v>3</v>
      </c>
      <c r="L58" s="64">
        <f>SUM(L54:L57)</f>
        <v>230616</v>
      </c>
      <c r="W58" s="4"/>
    </row>
    <row r="59" spans="2:24" x14ac:dyDescent="0.25">
      <c r="B59" s="1" t="s">
        <v>19</v>
      </c>
      <c r="C59" s="259">
        <f>C39+D52+E39+G39+I39</f>
        <v>20175500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1"/>
  <sheetViews>
    <sheetView topLeftCell="A7" workbookViewId="0">
      <selection activeCell="O28" sqref="O28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5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5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5" ht="18.75" x14ac:dyDescent="0.3">
      <c r="B3" s="273"/>
      <c r="C3" s="273"/>
      <c r="D3" s="274" t="s">
        <v>18</v>
      </c>
      <c r="E3" s="274"/>
      <c r="F3" s="274"/>
      <c r="G3" s="274"/>
      <c r="H3" s="39">
        <v>2022</v>
      </c>
      <c r="I3" s="39"/>
      <c r="J3" s="39"/>
    </row>
    <row r="4" spans="2:25" ht="15.75" thickBot="1" x14ac:dyDescent="0.3"/>
    <row r="5" spans="2:25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5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5" x14ac:dyDescent="0.25">
      <c r="B7" s="15">
        <v>44866</v>
      </c>
      <c r="C7" s="45">
        <v>0</v>
      </c>
      <c r="D7" s="46">
        <v>0</v>
      </c>
      <c r="E7" s="45">
        <v>0</v>
      </c>
      <c r="F7" s="46">
        <v>352000</v>
      </c>
      <c r="G7" s="69">
        <v>0</v>
      </c>
      <c r="H7" s="70">
        <v>0</v>
      </c>
      <c r="I7" s="69">
        <v>0</v>
      </c>
      <c r="J7" s="70">
        <v>0</v>
      </c>
      <c r="K7" s="56">
        <f>SUM(C7:H7)</f>
        <v>352000</v>
      </c>
      <c r="L7" s="52">
        <v>352000</v>
      </c>
      <c r="M7" s="53">
        <f t="shared" ref="M7:M37" si="0">L7-K7</f>
        <v>0</v>
      </c>
      <c r="O7" s="78"/>
      <c r="V7" s="68"/>
      <c r="Y7" s="68"/>
    </row>
    <row r="8" spans="2:25" x14ac:dyDescent="0.25">
      <c r="B8" s="15">
        <f t="shared" ref="B8:B37" si="1">B7+1</f>
        <v>44867</v>
      </c>
      <c r="C8" s="43">
        <v>0</v>
      </c>
      <c r="D8" s="46">
        <v>310000</v>
      </c>
      <c r="E8" s="45">
        <v>0</v>
      </c>
      <c r="F8" s="46">
        <v>45000</v>
      </c>
      <c r="G8" s="43">
        <v>0</v>
      </c>
      <c r="H8" s="46">
        <v>0</v>
      </c>
      <c r="I8" s="43">
        <v>0</v>
      </c>
      <c r="J8" s="46">
        <v>0</v>
      </c>
      <c r="K8" s="56">
        <f>SUM(C8:J8)</f>
        <v>355000</v>
      </c>
      <c r="L8" s="52">
        <v>355000</v>
      </c>
      <c r="M8" s="53">
        <f t="shared" si="0"/>
        <v>0</v>
      </c>
      <c r="O8" s="78"/>
      <c r="P8" s="78"/>
      <c r="V8" s="68"/>
      <c r="Y8" s="68"/>
    </row>
    <row r="9" spans="2:25" x14ac:dyDescent="0.25">
      <c r="B9" s="15">
        <f t="shared" si="1"/>
        <v>44868</v>
      </c>
      <c r="C9" s="45">
        <v>0</v>
      </c>
      <c r="D9" s="44">
        <v>500000</v>
      </c>
      <c r="E9" s="45">
        <v>0</v>
      </c>
      <c r="F9" s="46">
        <f>45000+740000</f>
        <v>785000</v>
      </c>
      <c r="G9" s="45">
        <v>0</v>
      </c>
      <c r="H9" s="46">
        <v>0</v>
      </c>
      <c r="I9" s="45">
        <v>0</v>
      </c>
      <c r="J9" s="46">
        <v>0</v>
      </c>
      <c r="K9" s="56">
        <f>SUM(C9:J9)</f>
        <v>1285000</v>
      </c>
      <c r="L9" s="51">
        <v>1285000</v>
      </c>
      <c r="M9" s="53">
        <f t="shared" si="0"/>
        <v>0</v>
      </c>
      <c r="N9" s="67"/>
      <c r="O9" s="78"/>
      <c r="P9" s="78"/>
      <c r="V9" s="67"/>
      <c r="Y9" s="68"/>
    </row>
    <row r="10" spans="2:25" x14ac:dyDescent="0.25">
      <c r="B10" s="15">
        <f t="shared" si="1"/>
        <v>44869</v>
      </c>
      <c r="C10" s="43">
        <v>30000</v>
      </c>
      <c r="D10" s="46">
        <v>460000</v>
      </c>
      <c r="E10" s="45">
        <v>140000</v>
      </c>
      <c r="F10" s="46">
        <v>200000</v>
      </c>
      <c r="G10" s="43">
        <v>0</v>
      </c>
      <c r="H10" s="46">
        <v>280000</v>
      </c>
      <c r="I10" s="43">
        <v>10000</v>
      </c>
      <c r="J10" s="46">
        <v>30000</v>
      </c>
      <c r="K10" s="56">
        <f>SUM(C10:J10)</f>
        <v>1150000</v>
      </c>
      <c r="L10" s="52">
        <v>1150000</v>
      </c>
      <c r="M10" s="53">
        <f t="shared" si="0"/>
        <v>0</v>
      </c>
      <c r="N10" s="68" t="s">
        <v>30</v>
      </c>
      <c r="O10" s="78" t="s">
        <v>31</v>
      </c>
      <c r="P10" s="78"/>
      <c r="V10" s="67"/>
      <c r="Y10" s="68"/>
    </row>
    <row r="11" spans="2:25" x14ac:dyDescent="0.25">
      <c r="B11" s="15">
        <f t="shared" si="1"/>
        <v>44870</v>
      </c>
      <c r="C11" s="45">
        <v>0</v>
      </c>
      <c r="D11" s="46">
        <v>0</v>
      </c>
      <c r="E11" s="45">
        <v>0</v>
      </c>
      <c r="F11" s="46">
        <v>0</v>
      </c>
      <c r="G11" s="45">
        <v>0</v>
      </c>
      <c r="H11" s="46">
        <v>240000</v>
      </c>
      <c r="I11" s="45">
        <v>0</v>
      </c>
      <c r="J11" s="46">
        <v>0</v>
      </c>
      <c r="K11" s="56">
        <f>SUM(C11:J11)</f>
        <v>240000</v>
      </c>
      <c r="L11" s="52">
        <v>240000</v>
      </c>
      <c r="M11" s="53">
        <f t="shared" si="0"/>
        <v>0</v>
      </c>
      <c r="N11" s="68" t="s">
        <v>30</v>
      </c>
      <c r="O11" s="78"/>
      <c r="P11" s="78"/>
      <c r="V11" s="68"/>
      <c r="Y11" s="68"/>
    </row>
    <row r="12" spans="2:25" x14ac:dyDescent="0.25">
      <c r="B12" s="15">
        <f t="shared" si="1"/>
        <v>44871</v>
      </c>
      <c r="C12" s="45">
        <v>0</v>
      </c>
      <c r="D12" s="46">
        <v>0</v>
      </c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56">
        <f>SUM(C12:H12)</f>
        <v>0</v>
      </c>
      <c r="L12" s="51">
        <v>0</v>
      </c>
      <c r="M12" s="53">
        <f t="shared" si="0"/>
        <v>0</v>
      </c>
      <c r="N12" s="67"/>
      <c r="O12" s="78"/>
      <c r="P12" s="78"/>
      <c r="V12" s="68"/>
      <c r="Y12" s="68"/>
    </row>
    <row r="13" spans="2:25" x14ac:dyDescent="0.25">
      <c r="B13" s="15">
        <f t="shared" si="1"/>
        <v>44872</v>
      </c>
      <c r="C13" s="45">
        <v>0</v>
      </c>
      <c r="D13" s="46">
        <v>670000</v>
      </c>
      <c r="E13" s="45">
        <v>0</v>
      </c>
      <c r="F13" s="46">
        <v>30000</v>
      </c>
      <c r="G13" s="45">
        <v>0</v>
      </c>
      <c r="H13" s="46">
        <v>0</v>
      </c>
      <c r="I13" s="45">
        <v>0</v>
      </c>
      <c r="J13" s="46">
        <v>15000</v>
      </c>
      <c r="K13" s="56">
        <f t="shared" ref="K13:K19" si="2">SUM(C13:J13)</f>
        <v>715000</v>
      </c>
      <c r="L13" s="52">
        <v>715000</v>
      </c>
      <c r="M13" s="53">
        <f t="shared" si="0"/>
        <v>0</v>
      </c>
      <c r="N13" s="67"/>
      <c r="O13" s="78" t="s">
        <v>31</v>
      </c>
      <c r="P13" s="79"/>
      <c r="V13" s="68"/>
      <c r="Y13" s="68"/>
    </row>
    <row r="14" spans="2:25" x14ac:dyDescent="0.25">
      <c r="B14" s="15">
        <f t="shared" si="1"/>
        <v>44873</v>
      </c>
      <c r="C14" s="43">
        <v>0</v>
      </c>
      <c r="D14" s="46">
        <v>0</v>
      </c>
      <c r="E14" s="45">
        <v>120000</v>
      </c>
      <c r="F14" s="46">
        <f>340000+10000</f>
        <v>350000</v>
      </c>
      <c r="G14" s="43">
        <v>270000</v>
      </c>
      <c r="H14" s="46">
        <v>0</v>
      </c>
      <c r="I14" s="43">
        <v>0</v>
      </c>
      <c r="J14" s="46">
        <v>15000</v>
      </c>
      <c r="K14" s="56">
        <f t="shared" si="2"/>
        <v>755000</v>
      </c>
      <c r="L14" s="52">
        <v>755000</v>
      </c>
      <c r="M14" s="53">
        <f t="shared" si="0"/>
        <v>0</v>
      </c>
      <c r="N14" s="67" t="s">
        <v>32</v>
      </c>
      <c r="O14" s="68" t="s">
        <v>31</v>
      </c>
      <c r="P14" s="78"/>
      <c r="V14" s="68"/>
      <c r="Y14" s="68"/>
    </row>
    <row r="15" spans="2:25" x14ac:dyDescent="0.25">
      <c r="B15" s="15">
        <f t="shared" si="1"/>
        <v>44874</v>
      </c>
      <c r="C15" s="45">
        <v>0</v>
      </c>
      <c r="D15" s="46">
        <f>15000+490000+100000</f>
        <v>605000</v>
      </c>
      <c r="E15" s="45">
        <v>60000</v>
      </c>
      <c r="F15" s="46">
        <f>400000+40000</f>
        <v>440000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2"/>
        <v>1105000</v>
      </c>
      <c r="L15" s="51">
        <v>1105000</v>
      </c>
      <c r="M15" s="53">
        <f t="shared" si="0"/>
        <v>0</v>
      </c>
      <c r="N15" s="67"/>
      <c r="O15" s="80"/>
      <c r="P15" s="80"/>
      <c r="Q15" s="80"/>
      <c r="R15" s="80"/>
      <c r="S15" s="80"/>
      <c r="T15" s="80"/>
      <c r="U15" s="80"/>
      <c r="W15" s="65"/>
    </row>
    <row r="16" spans="2:25" x14ac:dyDescent="0.25">
      <c r="B16" s="15">
        <f t="shared" si="1"/>
        <v>44875</v>
      </c>
      <c r="C16" s="43">
        <v>0</v>
      </c>
      <c r="D16" s="46">
        <v>530000</v>
      </c>
      <c r="E16" s="45">
        <v>60000</v>
      </c>
      <c r="F16" s="46">
        <f>120000+360000</f>
        <v>480000</v>
      </c>
      <c r="G16" s="43">
        <v>0</v>
      </c>
      <c r="H16" s="46">
        <v>0</v>
      </c>
      <c r="I16" s="43">
        <v>0</v>
      </c>
      <c r="J16" s="46">
        <v>15000</v>
      </c>
      <c r="K16" s="56">
        <f>SUM(C16:J16)</f>
        <v>1085000</v>
      </c>
      <c r="L16" s="52">
        <v>1085000</v>
      </c>
      <c r="M16" s="53">
        <f t="shared" si="0"/>
        <v>0</v>
      </c>
      <c r="O16" s="68" t="s">
        <v>31</v>
      </c>
      <c r="P16" s="80"/>
      <c r="Q16" s="80"/>
      <c r="R16" s="80"/>
      <c r="S16" s="80"/>
      <c r="T16" s="80"/>
      <c r="U16" s="80"/>
      <c r="V16" s="65"/>
      <c r="W16" s="65"/>
    </row>
    <row r="17" spans="2:22" x14ac:dyDescent="0.25">
      <c r="B17" s="15">
        <f t="shared" si="1"/>
        <v>44876</v>
      </c>
      <c r="C17" s="45">
        <v>0</v>
      </c>
      <c r="D17" s="46">
        <v>610000</v>
      </c>
      <c r="E17" s="43">
        <v>410000</v>
      </c>
      <c r="F17" s="44">
        <v>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2"/>
        <v>1020000</v>
      </c>
      <c r="L17" s="52">
        <v>1020000</v>
      </c>
      <c r="M17" s="53">
        <f t="shared" si="0"/>
        <v>0</v>
      </c>
      <c r="N17" s="67"/>
      <c r="O17" s="78"/>
      <c r="P17" s="78"/>
      <c r="V17" s="67"/>
    </row>
    <row r="18" spans="2:22" x14ac:dyDescent="0.25">
      <c r="B18" s="15">
        <f t="shared" si="1"/>
        <v>44877</v>
      </c>
      <c r="C18" s="43">
        <v>0</v>
      </c>
      <c r="D18" s="46">
        <v>0</v>
      </c>
      <c r="E18" s="45">
        <v>500000</v>
      </c>
      <c r="F18" s="46">
        <v>10000</v>
      </c>
      <c r="G18" s="43">
        <v>0</v>
      </c>
      <c r="H18" s="46">
        <v>0</v>
      </c>
      <c r="I18" s="43">
        <v>15000</v>
      </c>
      <c r="J18" s="46">
        <v>0</v>
      </c>
      <c r="K18" s="56">
        <f t="shared" si="2"/>
        <v>525000</v>
      </c>
      <c r="L18" s="51">
        <v>525000</v>
      </c>
      <c r="M18" s="53">
        <f t="shared" si="0"/>
        <v>0</v>
      </c>
      <c r="N18" s="81"/>
      <c r="O18" s="78" t="s">
        <v>31</v>
      </c>
      <c r="P18" s="78"/>
      <c r="V18" s="67"/>
    </row>
    <row r="19" spans="2:22" x14ac:dyDescent="0.25">
      <c r="B19" s="15">
        <f t="shared" si="1"/>
        <v>44878</v>
      </c>
      <c r="C19" s="45">
        <v>0</v>
      </c>
      <c r="D19" s="46">
        <v>0</v>
      </c>
      <c r="E19" s="45">
        <v>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56">
        <f t="shared" si="2"/>
        <v>0</v>
      </c>
      <c r="L19" s="52">
        <v>0</v>
      </c>
      <c r="M19" s="53">
        <f t="shared" si="0"/>
        <v>0</v>
      </c>
      <c r="N19" s="67"/>
      <c r="O19" s="78"/>
      <c r="P19" s="78"/>
      <c r="V19" s="67"/>
    </row>
    <row r="20" spans="2:22" x14ac:dyDescent="0.25">
      <c r="B20" s="15">
        <f t="shared" si="1"/>
        <v>44879</v>
      </c>
      <c r="C20" s="45">
        <v>0</v>
      </c>
      <c r="D20" s="44">
        <v>0</v>
      </c>
      <c r="E20" s="45">
        <v>0</v>
      </c>
      <c r="F20" s="46">
        <v>0</v>
      </c>
      <c r="G20" s="45">
        <v>0</v>
      </c>
      <c r="H20" s="46">
        <v>0</v>
      </c>
      <c r="I20" s="45">
        <v>0</v>
      </c>
      <c r="J20" s="46">
        <v>9600</v>
      </c>
      <c r="K20" s="56">
        <f t="shared" ref="K20:K26" si="3">SUM(C20:J20)</f>
        <v>9600</v>
      </c>
      <c r="L20" s="52">
        <v>9600</v>
      </c>
      <c r="M20" s="53">
        <f t="shared" si="0"/>
        <v>0</v>
      </c>
      <c r="N20" s="67"/>
      <c r="O20" s="78" t="s">
        <v>33</v>
      </c>
      <c r="P20" s="78"/>
      <c r="V20" s="67"/>
    </row>
    <row r="21" spans="2:22" x14ac:dyDescent="0.25">
      <c r="B21" s="15">
        <f>B20+1</f>
        <v>44880</v>
      </c>
      <c r="C21" s="45">
        <v>140000</v>
      </c>
      <c r="D21" s="46">
        <v>170000</v>
      </c>
      <c r="E21" s="45">
        <v>400000</v>
      </c>
      <c r="F21" s="46">
        <v>20000</v>
      </c>
      <c r="G21" s="45">
        <v>5000</v>
      </c>
      <c r="H21" s="46">
        <v>26000</v>
      </c>
      <c r="I21" s="45">
        <v>0</v>
      </c>
      <c r="J21" s="46">
        <v>0</v>
      </c>
      <c r="K21" s="56">
        <f t="shared" si="3"/>
        <v>761000</v>
      </c>
      <c r="L21" s="51">
        <v>761000</v>
      </c>
      <c r="M21" s="53">
        <f t="shared" si="0"/>
        <v>0</v>
      </c>
      <c r="N21" s="67" t="s">
        <v>34</v>
      </c>
      <c r="O21" s="78"/>
      <c r="P21" s="78"/>
    </row>
    <row r="22" spans="2:22" x14ac:dyDescent="0.25">
      <c r="B22" s="15">
        <f t="shared" si="1"/>
        <v>44881</v>
      </c>
      <c r="C22" s="45">
        <v>0</v>
      </c>
      <c r="D22" s="46">
        <f>150000+290000</f>
        <v>440000</v>
      </c>
      <c r="E22" s="45">
        <v>0</v>
      </c>
      <c r="F22" s="46">
        <f>100000+450000</f>
        <v>550000</v>
      </c>
      <c r="G22" s="45">
        <v>0</v>
      </c>
      <c r="H22" s="46">
        <v>0</v>
      </c>
      <c r="I22" s="45">
        <v>0</v>
      </c>
      <c r="J22" s="46">
        <f>3200+3200</f>
        <v>6400</v>
      </c>
      <c r="K22" s="56">
        <f t="shared" si="3"/>
        <v>996400</v>
      </c>
      <c r="L22" s="52">
        <v>996400</v>
      </c>
      <c r="M22" s="53">
        <f t="shared" si="0"/>
        <v>0</v>
      </c>
      <c r="N22" s="67"/>
      <c r="O22" s="78" t="s">
        <v>33</v>
      </c>
      <c r="P22" s="78"/>
    </row>
    <row r="23" spans="2:22" x14ac:dyDescent="0.25">
      <c r="B23" s="15">
        <f t="shared" si="1"/>
        <v>44882</v>
      </c>
      <c r="C23" s="45">
        <v>0</v>
      </c>
      <c r="D23" s="46">
        <f>600000+550000</f>
        <v>1150000</v>
      </c>
      <c r="E23" s="45">
        <v>400000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3"/>
        <v>1550000</v>
      </c>
      <c r="L23" s="52">
        <v>1550000</v>
      </c>
      <c r="M23" s="53">
        <f t="shared" si="0"/>
        <v>0</v>
      </c>
      <c r="N23" s="67"/>
      <c r="O23" s="78"/>
      <c r="P23" s="78"/>
    </row>
    <row r="24" spans="2:22" x14ac:dyDescent="0.25">
      <c r="B24" s="15">
        <f t="shared" si="1"/>
        <v>44883</v>
      </c>
      <c r="C24" s="43">
        <v>0</v>
      </c>
      <c r="D24" s="46">
        <v>0</v>
      </c>
      <c r="E24" s="45">
        <v>0</v>
      </c>
      <c r="F24" s="46">
        <f>360000+550000</f>
        <v>910000</v>
      </c>
      <c r="G24" s="43">
        <v>0</v>
      </c>
      <c r="H24" s="46">
        <v>0</v>
      </c>
      <c r="I24" s="43">
        <v>0</v>
      </c>
      <c r="J24" s="46">
        <v>4000</v>
      </c>
      <c r="K24" s="56">
        <f t="shared" si="3"/>
        <v>914000</v>
      </c>
      <c r="L24" s="51">
        <v>914000</v>
      </c>
      <c r="M24" s="53">
        <f t="shared" si="0"/>
        <v>0</v>
      </c>
      <c r="N24" s="67"/>
      <c r="O24" s="78" t="s">
        <v>33</v>
      </c>
      <c r="P24" s="78"/>
      <c r="V24" s="67"/>
    </row>
    <row r="25" spans="2:22" x14ac:dyDescent="0.25">
      <c r="B25" s="15">
        <f t="shared" si="1"/>
        <v>44884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30000</v>
      </c>
      <c r="K25" s="56">
        <f t="shared" si="3"/>
        <v>30000</v>
      </c>
      <c r="L25" s="52">
        <v>30000</v>
      </c>
      <c r="M25" s="53">
        <f t="shared" si="0"/>
        <v>0</v>
      </c>
      <c r="N25" s="67"/>
      <c r="O25" s="78" t="s">
        <v>31</v>
      </c>
      <c r="P25" s="78"/>
      <c r="V25" s="67"/>
    </row>
    <row r="26" spans="2:22" x14ac:dyDescent="0.25">
      <c r="B26" s="15">
        <f t="shared" si="1"/>
        <v>44885</v>
      </c>
      <c r="C26" s="43">
        <v>0</v>
      </c>
      <c r="D26" s="46">
        <v>0</v>
      </c>
      <c r="E26" s="45">
        <v>0</v>
      </c>
      <c r="F26" s="46">
        <v>0</v>
      </c>
      <c r="G26" s="43">
        <v>0</v>
      </c>
      <c r="H26" s="46">
        <v>0</v>
      </c>
      <c r="I26" s="43">
        <v>0</v>
      </c>
      <c r="J26" s="46">
        <v>0</v>
      </c>
      <c r="K26" s="56">
        <f t="shared" si="3"/>
        <v>0</v>
      </c>
      <c r="L26" s="52">
        <v>0</v>
      </c>
      <c r="M26" s="53">
        <f t="shared" si="0"/>
        <v>0</v>
      </c>
      <c r="N26" s="67"/>
      <c r="O26" s="78"/>
      <c r="P26" s="78"/>
    </row>
    <row r="27" spans="2:22" x14ac:dyDescent="0.25">
      <c r="B27" s="15">
        <f t="shared" si="1"/>
        <v>44886</v>
      </c>
      <c r="C27" s="45">
        <v>0</v>
      </c>
      <c r="D27" s="46">
        <v>310000</v>
      </c>
      <c r="E27" s="45">
        <v>0</v>
      </c>
      <c r="F27" s="46">
        <v>0</v>
      </c>
      <c r="G27" s="45">
        <v>0</v>
      </c>
      <c r="H27" s="46">
        <v>0</v>
      </c>
      <c r="I27" s="45">
        <v>0</v>
      </c>
      <c r="J27" s="46">
        <v>0</v>
      </c>
      <c r="K27" s="56">
        <f t="shared" ref="K27:K37" si="4">SUM(C27:J27)</f>
        <v>310000</v>
      </c>
      <c r="L27" s="51">
        <v>310000</v>
      </c>
      <c r="M27" s="53">
        <f t="shared" si="0"/>
        <v>0</v>
      </c>
      <c r="O27" s="78"/>
    </row>
    <row r="28" spans="2:22" x14ac:dyDescent="0.25">
      <c r="B28" s="15">
        <f t="shared" si="1"/>
        <v>44887</v>
      </c>
      <c r="C28" s="43">
        <v>0</v>
      </c>
      <c r="D28" s="46">
        <f>100000+310000</f>
        <v>410000</v>
      </c>
      <c r="E28" s="45">
        <v>0</v>
      </c>
      <c r="F28" s="46">
        <f>500000+340000</f>
        <v>840000</v>
      </c>
      <c r="G28" s="43">
        <v>0</v>
      </c>
      <c r="H28" s="46">
        <v>0</v>
      </c>
      <c r="I28" s="43">
        <v>0</v>
      </c>
      <c r="J28" s="46">
        <v>0</v>
      </c>
      <c r="K28" s="56">
        <f>SUM(C28:J28)</f>
        <v>1250000</v>
      </c>
      <c r="L28" s="52">
        <v>1250000</v>
      </c>
      <c r="M28" s="53">
        <f t="shared" si="0"/>
        <v>0</v>
      </c>
      <c r="O28" s="67" t="s">
        <v>36</v>
      </c>
    </row>
    <row r="29" spans="2:22" x14ac:dyDescent="0.25">
      <c r="B29" s="15">
        <f t="shared" si="1"/>
        <v>44888</v>
      </c>
      <c r="C29" s="45">
        <v>0</v>
      </c>
      <c r="D29" s="46">
        <v>440000</v>
      </c>
      <c r="E29" s="45">
        <v>370000</v>
      </c>
      <c r="F29" s="46">
        <v>0</v>
      </c>
      <c r="G29" s="45">
        <v>0</v>
      </c>
      <c r="H29" s="46">
        <v>0</v>
      </c>
      <c r="I29" s="45">
        <v>3200</v>
      </c>
      <c r="J29" s="46">
        <v>0</v>
      </c>
      <c r="K29" s="56">
        <f>SUM(C29:J29)</f>
        <v>813200</v>
      </c>
      <c r="L29" s="52">
        <v>813200</v>
      </c>
      <c r="M29" s="53">
        <f t="shared" si="0"/>
        <v>0</v>
      </c>
      <c r="N29" s="67"/>
      <c r="O29" s="78" t="s">
        <v>33</v>
      </c>
      <c r="P29" s="78"/>
    </row>
    <row r="30" spans="2:22" x14ac:dyDescent="0.25">
      <c r="B30" s="15">
        <f t="shared" si="1"/>
        <v>44889</v>
      </c>
      <c r="C30" s="43">
        <v>170000</v>
      </c>
      <c r="D30" s="46">
        <f>50000+270000</f>
        <v>320000</v>
      </c>
      <c r="E30" s="45">
        <v>440000</v>
      </c>
      <c r="F30" s="46">
        <v>0</v>
      </c>
      <c r="G30" s="43">
        <v>0</v>
      </c>
      <c r="H30" s="46">
        <v>0</v>
      </c>
      <c r="I30" s="43">
        <v>0</v>
      </c>
      <c r="J30" s="46">
        <v>0</v>
      </c>
      <c r="K30" s="56">
        <f t="shared" si="4"/>
        <v>930000</v>
      </c>
      <c r="L30" s="51">
        <v>930000</v>
      </c>
      <c r="M30" s="53">
        <f t="shared" si="0"/>
        <v>0</v>
      </c>
      <c r="N30" s="67"/>
      <c r="O30" s="78"/>
      <c r="P30" s="78"/>
    </row>
    <row r="31" spans="2:22" x14ac:dyDescent="0.25">
      <c r="B31" s="15">
        <f t="shared" si="1"/>
        <v>44890</v>
      </c>
      <c r="C31" s="43">
        <v>0</v>
      </c>
      <c r="D31" s="46">
        <f>100000+390000</f>
        <v>490000</v>
      </c>
      <c r="E31" s="45">
        <f>420000+360000</f>
        <v>780000</v>
      </c>
      <c r="F31" s="46">
        <f>310000</f>
        <v>310000</v>
      </c>
      <c r="G31" s="43">
        <v>0</v>
      </c>
      <c r="H31" s="46">
        <v>0</v>
      </c>
      <c r="I31" s="43">
        <v>0</v>
      </c>
      <c r="J31" s="46">
        <v>30000</v>
      </c>
      <c r="K31" s="56">
        <f t="shared" si="4"/>
        <v>1610000</v>
      </c>
      <c r="L31" s="52">
        <v>1610000</v>
      </c>
      <c r="M31" s="53">
        <f t="shared" si="0"/>
        <v>0</v>
      </c>
      <c r="O31" s="78" t="s">
        <v>31</v>
      </c>
      <c r="P31" s="78"/>
      <c r="Q31" s="67" t="s">
        <v>35</v>
      </c>
    </row>
    <row r="32" spans="2:22" x14ac:dyDescent="0.25">
      <c r="B32" s="15">
        <f t="shared" si="1"/>
        <v>44891</v>
      </c>
      <c r="C32" s="43">
        <v>0</v>
      </c>
      <c r="D32" s="46">
        <v>0</v>
      </c>
      <c r="E32" s="43">
        <v>0</v>
      </c>
      <c r="F32" s="46">
        <v>360000</v>
      </c>
      <c r="G32" s="43">
        <v>0</v>
      </c>
      <c r="H32" s="46">
        <v>275000</v>
      </c>
      <c r="I32" s="43">
        <v>0</v>
      </c>
      <c r="J32" s="46">
        <v>0</v>
      </c>
      <c r="K32" s="56">
        <f t="shared" si="4"/>
        <v>635000</v>
      </c>
      <c r="L32" s="52">
        <v>635000</v>
      </c>
      <c r="M32" s="53">
        <f t="shared" si="0"/>
        <v>0</v>
      </c>
      <c r="N32" s="68" t="s">
        <v>30</v>
      </c>
      <c r="O32" s="67" t="s">
        <v>37</v>
      </c>
      <c r="P32" s="78"/>
    </row>
    <row r="33" spans="1:21" x14ac:dyDescent="0.25">
      <c r="B33" s="15">
        <f t="shared" si="1"/>
        <v>44892</v>
      </c>
      <c r="C33" s="45">
        <v>0</v>
      </c>
      <c r="D33" s="46">
        <v>0</v>
      </c>
      <c r="E33" s="45">
        <v>0</v>
      </c>
      <c r="F33" s="46">
        <v>0</v>
      </c>
      <c r="G33" s="45">
        <v>0</v>
      </c>
      <c r="H33" s="46">
        <v>0</v>
      </c>
      <c r="I33" s="45">
        <v>0</v>
      </c>
      <c r="J33" s="46">
        <v>0</v>
      </c>
      <c r="K33" s="56">
        <f t="shared" si="4"/>
        <v>0</v>
      </c>
      <c r="L33" s="51">
        <v>0</v>
      </c>
      <c r="M33" s="53">
        <v>0</v>
      </c>
      <c r="O33" s="78"/>
      <c r="P33" s="78"/>
    </row>
    <row r="34" spans="1:21" x14ac:dyDescent="0.25">
      <c r="B34" s="15">
        <f t="shared" si="1"/>
        <v>44893</v>
      </c>
      <c r="C34" s="45">
        <v>0</v>
      </c>
      <c r="D34" s="46">
        <v>0</v>
      </c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46">
        <v>0</v>
      </c>
      <c r="K34" s="56">
        <f t="shared" si="4"/>
        <v>0</v>
      </c>
      <c r="L34" s="52">
        <v>0</v>
      </c>
      <c r="M34" s="53">
        <f t="shared" si="0"/>
        <v>0</v>
      </c>
      <c r="O34" s="78"/>
      <c r="P34" s="78"/>
    </row>
    <row r="35" spans="1:21" x14ac:dyDescent="0.25">
      <c r="B35" s="15">
        <f t="shared" si="1"/>
        <v>44894</v>
      </c>
      <c r="C35" s="47">
        <v>440000</v>
      </c>
      <c r="D35" s="48">
        <v>210000</v>
      </c>
      <c r="E35" s="49">
        <v>0</v>
      </c>
      <c r="F35" s="50">
        <f>99000+360000</f>
        <v>459000</v>
      </c>
      <c r="G35" s="47">
        <v>0</v>
      </c>
      <c r="H35" s="48">
        <v>5000</v>
      </c>
      <c r="I35" s="47">
        <v>0</v>
      </c>
      <c r="J35" s="48">
        <v>0</v>
      </c>
      <c r="K35" s="56">
        <f t="shared" si="4"/>
        <v>1114000</v>
      </c>
      <c r="L35" s="54">
        <v>1114000</v>
      </c>
      <c r="M35" s="55">
        <f t="shared" si="0"/>
        <v>0</v>
      </c>
      <c r="N35" s="68" t="s">
        <v>30</v>
      </c>
      <c r="O35" s="78"/>
      <c r="P35" s="78"/>
    </row>
    <row r="36" spans="1:21" x14ac:dyDescent="0.25">
      <c r="B36" s="15">
        <f t="shared" si="1"/>
        <v>44895</v>
      </c>
      <c r="C36" s="47">
        <v>900000</v>
      </c>
      <c r="D36" s="48">
        <v>0</v>
      </c>
      <c r="E36" s="49">
        <v>0</v>
      </c>
      <c r="F36" s="50">
        <v>0</v>
      </c>
      <c r="G36" s="47">
        <v>0</v>
      </c>
      <c r="H36" s="48">
        <v>0</v>
      </c>
      <c r="I36" s="47">
        <v>30000</v>
      </c>
      <c r="J36" s="48">
        <f>4000+4000</f>
        <v>8000</v>
      </c>
      <c r="K36" s="56">
        <f t="shared" si="4"/>
        <v>938000</v>
      </c>
      <c r="L36" s="54">
        <v>938000</v>
      </c>
      <c r="M36" s="55">
        <f t="shared" si="0"/>
        <v>0</v>
      </c>
      <c r="O36" s="78" t="s">
        <v>31</v>
      </c>
      <c r="P36" s="78" t="s">
        <v>33</v>
      </c>
    </row>
    <row r="37" spans="1:21" x14ac:dyDescent="0.25">
      <c r="B37" s="15">
        <f t="shared" si="1"/>
        <v>44896</v>
      </c>
      <c r="C37" s="47"/>
      <c r="D37" s="48"/>
      <c r="E37" s="49"/>
      <c r="F37" s="50"/>
      <c r="G37" s="47"/>
      <c r="H37" s="48"/>
      <c r="I37" s="47"/>
      <c r="J37" s="48"/>
      <c r="K37" s="56">
        <f t="shared" si="4"/>
        <v>0</v>
      </c>
      <c r="L37" s="54"/>
      <c r="M37" s="55">
        <f t="shared" si="0"/>
        <v>0</v>
      </c>
      <c r="O37" s="78"/>
      <c r="P37" s="78"/>
    </row>
    <row r="38" spans="1:21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1" ht="15.75" x14ac:dyDescent="0.25">
      <c r="B39" s="23" t="s">
        <v>3</v>
      </c>
      <c r="C39" s="24">
        <f t="shared" ref="C39:L39" si="5">SUM(C7:C38)</f>
        <v>1680000</v>
      </c>
      <c r="D39" s="25">
        <f t="shared" si="5"/>
        <v>7625000</v>
      </c>
      <c r="E39" s="24">
        <f t="shared" si="5"/>
        <v>3680000</v>
      </c>
      <c r="F39" s="59">
        <f t="shared" si="5"/>
        <v>6141000</v>
      </c>
      <c r="G39" s="24">
        <f t="shared" si="5"/>
        <v>275000</v>
      </c>
      <c r="H39" s="25">
        <f t="shared" si="5"/>
        <v>826000</v>
      </c>
      <c r="I39" s="24">
        <f t="shared" si="5"/>
        <v>58200</v>
      </c>
      <c r="J39" s="25">
        <f t="shared" si="5"/>
        <v>163000</v>
      </c>
      <c r="K39" s="28">
        <f t="shared" si="5"/>
        <v>20448200</v>
      </c>
      <c r="L39" s="27">
        <f t="shared" si="5"/>
        <v>20448200</v>
      </c>
      <c r="M39" s="26">
        <f>L39-K39</f>
        <v>0</v>
      </c>
      <c r="N39" s="67"/>
      <c r="O39" s="78"/>
      <c r="P39" s="78"/>
    </row>
    <row r="40" spans="1:21" ht="15.75" thickBot="1" x14ac:dyDescent="0.3">
      <c r="B40" s="30" t="s">
        <v>11</v>
      </c>
      <c r="C40" s="267">
        <f>SUM(C39:D39)</f>
        <v>9305000</v>
      </c>
      <c r="D40" s="268"/>
      <c r="E40" s="267">
        <f>SUM(E39:F39)</f>
        <v>9821000</v>
      </c>
      <c r="F40" s="269"/>
      <c r="G40" s="267">
        <f>SUM(G39:H39)</f>
        <v>1101000</v>
      </c>
      <c r="H40" s="268"/>
      <c r="I40" s="267">
        <f>SUM(I39:J39)</f>
        <v>221200</v>
      </c>
      <c r="J40" s="268"/>
      <c r="K40" s="29"/>
      <c r="L40" s="16"/>
      <c r="M40" s="17"/>
      <c r="N40" s="67"/>
    </row>
    <row r="41" spans="1:21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1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1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1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1" x14ac:dyDescent="0.25">
      <c r="A45" t="s">
        <v>15</v>
      </c>
      <c r="B45" s="2">
        <v>44865</v>
      </c>
      <c r="C45" s="3">
        <v>0</v>
      </c>
      <c r="D45" s="14">
        <v>360000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3200</v>
      </c>
      <c r="K45" s="3">
        <f>SUM(C45:J45)</f>
        <v>363200</v>
      </c>
      <c r="L45" s="3">
        <v>363200</v>
      </c>
      <c r="M45" s="3">
        <f>L45-K45</f>
        <v>0</v>
      </c>
      <c r="N45" s="85">
        <v>44866</v>
      </c>
    </row>
    <row r="46" spans="1:21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1" x14ac:dyDescent="0.25">
      <c r="A47" t="s">
        <v>16</v>
      </c>
      <c r="B47" s="2"/>
      <c r="C47" s="3"/>
      <c r="D47" s="14">
        <v>0</v>
      </c>
      <c r="E47" s="3"/>
      <c r="F47" s="14">
        <v>0</v>
      </c>
      <c r="G47" s="3">
        <v>0</v>
      </c>
      <c r="H47" s="14">
        <v>0</v>
      </c>
      <c r="I47" s="3">
        <v>0</v>
      </c>
      <c r="J47" s="14">
        <v>0</v>
      </c>
      <c r="K47" s="3">
        <f>SUM(C47:J47)</f>
        <v>0</v>
      </c>
      <c r="L47" s="3">
        <v>0</v>
      </c>
      <c r="M47" s="3">
        <f>L47-K47</f>
        <v>0</v>
      </c>
      <c r="N47" s="85"/>
    </row>
    <row r="48" spans="1:21" x14ac:dyDescent="0.25">
      <c r="A48" t="s">
        <v>16</v>
      </c>
      <c r="B48" s="2">
        <v>44895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8000</v>
      </c>
      <c r="K48" s="3">
        <f>SUM(C48:J48)</f>
        <v>8000</v>
      </c>
      <c r="L48" s="3">
        <v>8000</v>
      </c>
      <c r="M48" s="3">
        <f>L48-K48</f>
        <v>0</v>
      </c>
      <c r="N48" s="85">
        <v>44896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360000</v>
      </c>
      <c r="E50" s="262">
        <f>F45+F46-F47-F48</f>
        <v>0</v>
      </c>
      <c r="F50" s="263"/>
      <c r="G50" s="262">
        <f>H45+H46-H47-H48</f>
        <v>0</v>
      </c>
      <c r="H50" s="263"/>
      <c r="I50" s="262">
        <f>J45+J46-J47-J48</f>
        <v>-4800</v>
      </c>
      <c r="J50" s="263"/>
    </row>
    <row r="51" spans="2:24" x14ac:dyDescent="0.25">
      <c r="B51" s="264" t="s">
        <v>12</v>
      </c>
      <c r="C51" s="264"/>
      <c r="D51" s="31">
        <f>D39+D50</f>
        <v>7985000</v>
      </c>
      <c r="E51" s="265">
        <f>F39+E50</f>
        <v>6141000</v>
      </c>
      <c r="F51" s="266"/>
      <c r="G51" s="265">
        <f>H39+G50</f>
        <v>826000</v>
      </c>
      <c r="H51" s="266"/>
      <c r="I51" s="265">
        <f>J39+I50</f>
        <v>158200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15110200</v>
      </c>
      <c r="E52" s="258"/>
      <c r="F52" s="258"/>
      <c r="G52" s="258"/>
      <c r="H52" s="258"/>
      <c r="I52" s="74"/>
      <c r="J52" s="74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D51*0.0155+181.6</f>
        <v>123949.1</v>
      </c>
      <c r="N54" s="87">
        <v>1.55E-2</v>
      </c>
      <c r="W54" s="4"/>
    </row>
    <row r="55" spans="2:24" x14ac:dyDescent="0.25">
      <c r="B55" s="72" t="s">
        <v>13</v>
      </c>
      <c r="C55" s="34">
        <f>C39+G39+E39+I39</f>
        <v>5693200</v>
      </c>
      <c r="D55" s="34">
        <f>D39+H39+F39+J39</f>
        <v>14755000</v>
      </c>
      <c r="E55" s="58"/>
      <c r="F55" s="58"/>
      <c r="K55" s="63" t="s">
        <v>25</v>
      </c>
      <c r="L55" s="64">
        <f>E51*0.0155</f>
        <v>95185.5</v>
      </c>
      <c r="N55" s="88"/>
      <c r="X55" s="71"/>
    </row>
    <row r="56" spans="2:24" x14ac:dyDescent="0.25">
      <c r="C56" s="259">
        <f>SUM(C55:D55)</f>
        <v>20448200</v>
      </c>
      <c r="D56" s="260"/>
      <c r="E56" s="57"/>
      <c r="F56" s="57"/>
      <c r="K56" s="63" t="s">
        <v>28</v>
      </c>
      <c r="L56" s="64">
        <f>G51*0.0155</f>
        <v>12803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2452.1</v>
      </c>
      <c r="W57" s="4"/>
    </row>
    <row r="58" spans="2:24" x14ac:dyDescent="0.25">
      <c r="J58" t="s">
        <v>3</v>
      </c>
      <c r="L58" s="64">
        <f>SUM(L54:L57)</f>
        <v>234389.7</v>
      </c>
      <c r="W58" s="4"/>
    </row>
    <row r="59" spans="2:24" x14ac:dyDescent="0.25">
      <c r="B59" s="1" t="s">
        <v>19</v>
      </c>
      <c r="C59" s="259">
        <f>C39+D52+E39+G39+I39</f>
        <v>20803400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I40:J40"/>
    <mergeCell ref="I43:J43"/>
    <mergeCell ref="I50:J50"/>
    <mergeCell ref="I51:J51"/>
    <mergeCell ref="B52:C52"/>
    <mergeCell ref="D52:H52"/>
    <mergeCell ref="C40:D40"/>
    <mergeCell ref="E40:F40"/>
    <mergeCell ref="G40:H40"/>
    <mergeCell ref="C43:D43"/>
    <mergeCell ref="E43:F43"/>
    <mergeCell ref="G43:H43"/>
    <mergeCell ref="C56:D56"/>
    <mergeCell ref="C59:D59"/>
    <mergeCell ref="B50:C50"/>
    <mergeCell ref="E50:F50"/>
    <mergeCell ref="G50:H50"/>
    <mergeCell ref="B51:C51"/>
    <mergeCell ref="E51:F51"/>
    <mergeCell ref="G51:H51"/>
    <mergeCell ref="B2:K2"/>
    <mergeCell ref="B3:C3"/>
    <mergeCell ref="D3:G3"/>
    <mergeCell ref="C5:D5"/>
    <mergeCell ref="E5:F5"/>
    <mergeCell ref="G5:H5"/>
    <mergeCell ref="I5:J5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1"/>
  <sheetViews>
    <sheetView topLeftCell="A28" workbookViewId="0">
      <selection activeCell="M48" sqref="M48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38</v>
      </c>
      <c r="E3" s="274"/>
      <c r="F3" s="274"/>
      <c r="G3" s="274"/>
      <c r="H3" s="39">
        <v>2022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44896</v>
      </c>
      <c r="C7" s="45">
        <v>450000</v>
      </c>
      <c r="D7" s="46">
        <v>0</v>
      </c>
      <c r="E7" s="45">
        <v>0</v>
      </c>
      <c r="F7" s="46">
        <f>40000+380000</f>
        <v>420000</v>
      </c>
      <c r="G7" s="69">
        <v>0</v>
      </c>
      <c r="H7" s="70">
        <v>0</v>
      </c>
      <c r="I7" s="69">
        <v>0</v>
      </c>
      <c r="J7" s="70">
        <v>0</v>
      </c>
      <c r="K7" s="56">
        <f>SUM(C7:H7)</f>
        <v>870000</v>
      </c>
      <c r="L7" s="52">
        <v>870000</v>
      </c>
      <c r="M7" s="53">
        <f t="shared" ref="M7:M37" si="0">L7-K7</f>
        <v>0</v>
      </c>
      <c r="V7" s="68"/>
      <c r="W7" s="68"/>
      <c r="X7" s="78"/>
      <c r="Y7" s="68"/>
      <c r="Z7" s="68"/>
    </row>
    <row r="8" spans="2:26" x14ac:dyDescent="0.25">
      <c r="B8" s="15">
        <f t="shared" ref="B8:B37" si="1">B7+1</f>
        <v>44897</v>
      </c>
      <c r="C8" s="43">
        <v>0</v>
      </c>
      <c r="D8" s="46">
        <f>15000+110000+120000</f>
        <v>245000</v>
      </c>
      <c r="E8" s="45">
        <v>0</v>
      </c>
      <c r="F8" s="46">
        <v>45000</v>
      </c>
      <c r="G8" s="43">
        <v>0</v>
      </c>
      <c r="H8" s="46">
        <v>0</v>
      </c>
      <c r="I8" s="43">
        <v>0</v>
      </c>
      <c r="J8" s="46">
        <v>0</v>
      </c>
      <c r="K8" s="56">
        <f>SUM(C8:J8)</f>
        <v>290000</v>
      </c>
      <c r="L8" s="52">
        <v>290000</v>
      </c>
      <c r="M8" s="53">
        <f t="shared" si="0"/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44898</v>
      </c>
      <c r="C9" s="45">
        <v>0</v>
      </c>
      <c r="D9" s="44">
        <v>0</v>
      </c>
      <c r="E9" s="45">
        <v>0</v>
      </c>
      <c r="F9" s="46">
        <v>0</v>
      </c>
      <c r="G9" s="45">
        <v>0</v>
      </c>
      <c r="H9" s="46">
        <v>230000</v>
      </c>
      <c r="I9" s="45">
        <v>0</v>
      </c>
      <c r="J9" s="46">
        <v>0</v>
      </c>
      <c r="K9" s="56">
        <f>SUM(C9:J9)</f>
        <v>230000</v>
      </c>
      <c r="L9" s="51">
        <v>230000</v>
      </c>
      <c r="M9" s="53">
        <f t="shared" si="0"/>
        <v>0</v>
      </c>
      <c r="N9" s="68" t="s">
        <v>39</v>
      </c>
      <c r="V9" s="67"/>
      <c r="W9" s="67"/>
      <c r="X9" s="78"/>
      <c r="Y9" s="78"/>
      <c r="Z9" s="68"/>
    </row>
    <row r="10" spans="2:26" x14ac:dyDescent="0.25">
      <c r="B10" s="15">
        <f t="shared" si="1"/>
        <v>44899</v>
      </c>
      <c r="C10" s="43">
        <v>0</v>
      </c>
      <c r="D10" s="46">
        <v>0</v>
      </c>
      <c r="E10" s="45">
        <v>0</v>
      </c>
      <c r="F10" s="46">
        <v>0</v>
      </c>
      <c r="G10" s="43">
        <v>0</v>
      </c>
      <c r="H10" s="46">
        <v>0</v>
      </c>
      <c r="I10" s="43">
        <v>0</v>
      </c>
      <c r="J10" s="46">
        <v>0</v>
      </c>
      <c r="K10" s="56">
        <f>SUM(C10:J10)</f>
        <v>0</v>
      </c>
      <c r="L10" s="52">
        <v>0</v>
      </c>
      <c r="M10" s="53">
        <f t="shared" si="0"/>
        <v>0</v>
      </c>
      <c r="V10" s="67"/>
      <c r="Y10" s="78"/>
      <c r="Z10" s="68"/>
    </row>
    <row r="11" spans="2:26" x14ac:dyDescent="0.25">
      <c r="B11" s="15">
        <f t="shared" si="1"/>
        <v>44900</v>
      </c>
      <c r="C11" s="45">
        <v>515000</v>
      </c>
      <c r="D11" s="46">
        <v>140000</v>
      </c>
      <c r="E11" s="45">
        <v>0</v>
      </c>
      <c r="F11" s="46">
        <v>0</v>
      </c>
      <c r="G11" s="45">
        <v>50000</v>
      </c>
      <c r="H11" s="46">
        <f>230000+250000</f>
        <v>480000</v>
      </c>
      <c r="I11" s="45">
        <v>0</v>
      </c>
      <c r="J11" s="46">
        <v>0</v>
      </c>
      <c r="K11" s="56">
        <f>SUM(C11:J11)</f>
        <v>1185000</v>
      </c>
      <c r="L11" s="52">
        <v>1185000</v>
      </c>
      <c r="M11" s="53">
        <f t="shared" si="0"/>
        <v>0</v>
      </c>
      <c r="N11" s="68" t="s">
        <v>30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44901</v>
      </c>
      <c r="C12" s="45">
        <v>0</v>
      </c>
      <c r="D12" s="46">
        <v>40000</v>
      </c>
      <c r="E12" s="45">
        <v>0</v>
      </c>
      <c r="F12" s="46">
        <v>85000</v>
      </c>
      <c r="G12" s="45">
        <v>240000</v>
      </c>
      <c r="H12" s="46">
        <v>0</v>
      </c>
      <c r="I12" s="45">
        <v>0</v>
      </c>
      <c r="J12" s="46">
        <v>0</v>
      </c>
      <c r="K12" s="56">
        <f>SUM(C12:J12)</f>
        <v>365000</v>
      </c>
      <c r="L12" s="51">
        <v>365000</v>
      </c>
      <c r="M12" s="53">
        <f t="shared" si="0"/>
        <v>0</v>
      </c>
      <c r="N12" s="68" t="s">
        <v>30</v>
      </c>
      <c r="V12" s="68"/>
      <c r="W12" s="67"/>
      <c r="X12" s="78"/>
      <c r="Y12" s="78"/>
      <c r="Z12" s="68"/>
    </row>
    <row r="13" spans="2:26" x14ac:dyDescent="0.25">
      <c r="B13" s="15">
        <f t="shared" si="1"/>
        <v>44902</v>
      </c>
      <c r="C13" s="45">
        <v>-75000</v>
      </c>
      <c r="D13" s="46">
        <v>0</v>
      </c>
      <c r="E13" s="45">
        <v>0</v>
      </c>
      <c r="F13" s="46">
        <f>60000+390000</f>
        <v>450000</v>
      </c>
      <c r="G13" s="45">
        <v>0</v>
      </c>
      <c r="H13" s="46">
        <v>0</v>
      </c>
      <c r="I13" s="45">
        <v>0</v>
      </c>
      <c r="J13" s="46">
        <v>500</v>
      </c>
      <c r="K13" s="56">
        <f t="shared" ref="K13:K26" si="2">SUM(C13:J13)</f>
        <v>375500</v>
      </c>
      <c r="L13" s="52">
        <v>450500</v>
      </c>
      <c r="M13" s="53">
        <f t="shared" si="0"/>
        <v>75000</v>
      </c>
      <c r="N13" s="67" t="s">
        <v>34</v>
      </c>
      <c r="P13" s="67" t="s">
        <v>40</v>
      </c>
      <c r="V13" s="68"/>
      <c r="W13" s="67"/>
      <c r="X13" s="78" t="s">
        <v>31</v>
      </c>
      <c r="Y13" s="79"/>
      <c r="Z13" s="68"/>
    </row>
    <row r="14" spans="2:26" x14ac:dyDescent="0.25">
      <c r="B14" s="15">
        <f t="shared" si="1"/>
        <v>44903</v>
      </c>
      <c r="C14" s="43">
        <v>0</v>
      </c>
      <c r="D14" s="46">
        <v>515000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46">
        <v>0</v>
      </c>
      <c r="K14" s="56">
        <f t="shared" si="2"/>
        <v>515000</v>
      </c>
      <c r="L14" s="52">
        <v>515000</v>
      </c>
      <c r="M14" s="53">
        <f t="shared" si="0"/>
        <v>0</v>
      </c>
      <c r="V14" s="68"/>
      <c r="W14" s="67" t="s">
        <v>32</v>
      </c>
      <c r="X14" s="68" t="s">
        <v>31</v>
      </c>
      <c r="Y14" s="78"/>
      <c r="Z14" s="68"/>
    </row>
    <row r="15" spans="2:26" x14ac:dyDescent="0.25">
      <c r="B15" s="15">
        <f t="shared" si="1"/>
        <v>44904</v>
      </c>
      <c r="C15" s="45">
        <v>0</v>
      </c>
      <c r="D15" s="46">
        <v>35000</v>
      </c>
      <c r="E15" s="45">
        <v>0</v>
      </c>
      <c r="F15" s="46">
        <v>340000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2"/>
        <v>375000</v>
      </c>
      <c r="L15" s="51">
        <v>375000</v>
      </c>
      <c r="M15" s="53">
        <f t="shared" si="0"/>
        <v>0</v>
      </c>
      <c r="R15" s="80"/>
      <c r="S15" s="80"/>
      <c r="T15" s="80"/>
      <c r="U15" s="80"/>
      <c r="W15" s="67"/>
      <c r="X15" s="80"/>
      <c r="Y15" s="80"/>
      <c r="Z15" s="80"/>
    </row>
    <row r="16" spans="2:26" x14ac:dyDescent="0.25">
      <c r="B16" s="15">
        <f t="shared" si="1"/>
        <v>44905</v>
      </c>
      <c r="C16" s="43">
        <v>0</v>
      </c>
      <c r="D16" s="46">
        <v>0</v>
      </c>
      <c r="E16" s="45">
        <v>420000</v>
      </c>
      <c r="F16" s="46">
        <v>0</v>
      </c>
      <c r="G16" s="43">
        <v>0</v>
      </c>
      <c r="H16" s="46">
        <v>0</v>
      </c>
      <c r="I16" s="43">
        <v>0</v>
      </c>
      <c r="J16" s="46">
        <v>15000</v>
      </c>
      <c r="K16" s="56">
        <f>SUM(C16:J16)</f>
        <v>435000</v>
      </c>
      <c r="L16" s="52">
        <v>435000</v>
      </c>
      <c r="M16" s="53">
        <f t="shared" si="0"/>
        <v>0</v>
      </c>
      <c r="O16" s="78" t="s">
        <v>31</v>
      </c>
      <c r="R16" s="80"/>
      <c r="S16" s="80"/>
      <c r="T16" s="80"/>
      <c r="U16" s="80"/>
      <c r="V16" s="65"/>
      <c r="W16" s="68"/>
      <c r="X16" s="68" t="s">
        <v>31</v>
      </c>
      <c r="Y16" s="80"/>
      <c r="Z16" s="80"/>
    </row>
    <row r="17" spans="2:26" x14ac:dyDescent="0.25">
      <c r="B17" s="15">
        <f t="shared" si="1"/>
        <v>44906</v>
      </c>
      <c r="C17" s="45">
        <v>0</v>
      </c>
      <c r="D17" s="46">
        <v>0</v>
      </c>
      <c r="E17" s="43">
        <v>0</v>
      </c>
      <c r="F17" s="44">
        <v>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2"/>
        <v>0</v>
      </c>
      <c r="L17" s="52">
        <v>0</v>
      </c>
      <c r="M17" s="53">
        <f t="shared" si="0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44907</v>
      </c>
      <c r="C18" s="43">
        <v>0</v>
      </c>
      <c r="D18" s="46">
        <v>710000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2"/>
        <v>710000</v>
      </c>
      <c r="L18" s="51">
        <v>710000</v>
      </c>
      <c r="M18" s="53">
        <f t="shared" si="0"/>
        <v>0</v>
      </c>
      <c r="V18" s="67"/>
      <c r="W18" s="81"/>
      <c r="X18" s="78" t="s">
        <v>31</v>
      </c>
      <c r="Y18" s="78"/>
      <c r="Z18" s="68"/>
    </row>
    <row r="19" spans="2:26" x14ac:dyDescent="0.25">
      <c r="B19" s="15">
        <f t="shared" si="1"/>
        <v>44908</v>
      </c>
      <c r="C19" s="45">
        <v>0</v>
      </c>
      <c r="D19" s="46">
        <v>0</v>
      </c>
      <c r="E19" s="45">
        <v>550000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56">
        <f t="shared" si="2"/>
        <v>550000</v>
      </c>
      <c r="L19" s="52">
        <v>550000</v>
      </c>
      <c r="M19" s="53">
        <f t="shared" si="0"/>
        <v>0</v>
      </c>
      <c r="V19" s="67"/>
      <c r="W19" s="67"/>
      <c r="X19" s="78"/>
      <c r="Y19" s="78"/>
      <c r="Z19" s="68"/>
    </row>
    <row r="20" spans="2:26" x14ac:dyDescent="0.25">
      <c r="B20" s="15">
        <f t="shared" si="1"/>
        <v>44909</v>
      </c>
      <c r="C20" s="45">
        <v>0</v>
      </c>
      <c r="D20" s="44">
        <v>440000</v>
      </c>
      <c r="E20" s="45">
        <v>420000</v>
      </c>
      <c r="F20" s="46">
        <v>380000</v>
      </c>
      <c r="G20" s="45">
        <v>0</v>
      </c>
      <c r="H20" s="46">
        <v>0</v>
      </c>
      <c r="I20" s="45">
        <v>0</v>
      </c>
      <c r="J20" s="46">
        <v>0</v>
      </c>
      <c r="K20" s="56">
        <f t="shared" si="2"/>
        <v>1240000</v>
      </c>
      <c r="L20" s="52">
        <v>1240000</v>
      </c>
      <c r="M20" s="53">
        <f t="shared" si="0"/>
        <v>0</v>
      </c>
      <c r="V20" s="67"/>
      <c r="W20" s="67"/>
      <c r="X20" s="78" t="s">
        <v>33</v>
      </c>
      <c r="Y20" s="78"/>
      <c r="Z20" s="68"/>
    </row>
    <row r="21" spans="2:26" x14ac:dyDescent="0.25">
      <c r="B21" s="15">
        <f>B20+1</f>
        <v>44910</v>
      </c>
      <c r="C21" s="45">
        <v>0</v>
      </c>
      <c r="D21" s="46">
        <f>210000+510000</f>
        <v>720000</v>
      </c>
      <c r="E21" s="45">
        <v>390000</v>
      </c>
      <c r="F21" s="46">
        <v>0</v>
      </c>
      <c r="G21" s="45">
        <v>260000</v>
      </c>
      <c r="H21" s="46">
        <v>0</v>
      </c>
      <c r="I21" s="45">
        <v>0</v>
      </c>
      <c r="J21" s="46">
        <v>0</v>
      </c>
      <c r="K21" s="56">
        <f t="shared" si="2"/>
        <v>1370000</v>
      </c>
      <c r="L21" s="51">
        <v>1370000</v>
      </c>
      <c r="M21" s="53">
        <f t="shared" si="0"/>
        <v>0</v>
      </c>
      <c r="N21" s="68" t="s">
        <v>30</v>
      </c>
      <c r="X21" s="78"/>
      <c r="Y21" s="78"/>
      <c r="Z21" s="68"/>
    </row>
    <row r="22" spans="2:26" x14ac:dyDescent="0.25">
      <c r="B22" s="15">
        <f t="shared" si="1"/>
        <v>44911</v>
      </c>
      <c r="C22" s="45">
        <v>0</v>
      </c>
      <c r="D22" s="46">
        <v>620000</v>
      </c>
      <c r="E22" s="45">
        <v>0</v>
      </c>
      <c r="F22" s="46">
        <v>340000</v>
      </c>
      <c r="G22" s="45">
        <v>0</v>
      </c>
      <c r="H22" s="46">
        <v>0</v>
      </c>
      <c r="I22" s="45">
        <v>0</v>
      </c>
      <c r="J22" s="46">
        <v>0</v>
      </c>
      <c r="K22" s="56">
        <f t="shared" si="2"/>
        <v>960000</v>
      </c>
      <c r="L22" s="52">
        <v>960000</v>
      </c>
      <c r="M22" s="53">
        <f t="shared" si="0"/>
        <v>0</v>
      </c>
      <c r="W22" s="67"/>
      <c r="X22" s="78" t="s">
        <v>33</v>
      </c>
      <c r="Y22" s="78"/>
      <c r="Z22" s="68"/>
    </row>
    <row r="23" spans="2:26" x14ac:dyDescent="0.25">
      <c r="B23" s="15">
        <f t="shared" si="1"/>
        <v>44912</v>
      </c>
      <c r="C23" s="45">
        <v>0</v>
      </c>
      <c r="D23" s="46">
        <v>0</v>
      </c>
      <c r="E23" s="45">
        <v>0</v>
      </c>
      <c r="F23" s="46">
        <v>0</v>
      </c>
      <c r="G23" s="45">
        <v>230000</v>
      </c>
      <c r="H23" s="46">
        <v>0</v>
      </c>
      <c r="I23" s="45">
        <v>0</v>
      </c>
      <c r="J23" s="46">
        <v>0</v>
      </c>
      <c r="K23" s="56">
        <f t="shared" si="2"/>
        <v>230000</v>
      </c>
      <c r="L23" s="52">
        <v>230000</v>
      </c>
      <c r="M23" s="53">
        <f t="shared" si="0"/>
        <v>0</v>
      </c>
      <c r="N23" s="68" t="s">
        <v>39</v>
      </c>
      <c r="W23" s="67"/>
      <c r="X23" s="78"/>
      <c r="Y23" s="78"/>
      <c r="Z23" s="68"/>
    </row>
    <row r="24" spans="2:26" x14ac:dyDescent="0.25">
      <c r="B24" s="15">
        <f t="shared" si="1"/>
        <v>44913</v>
      </c>
      <c r="C24" s="43">
        <v>0</v>
      </c>
      <c r="D24" s="46">
        <v>0</v>
      </c>
      <c r="E24" s="45">
        <v>0</v>
      </c>
      <c r="F24" s="46">
        <v>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2"/>
        <v>0</v>
      </c>
      <c r="L24" s="51">
        <v>0</v>
      </c>
      <c r="M24" s="53">
        <f t="shared" si="0"/>
        <v>0</v>
      </c>
      <c r="V24" s="67"/>
      <c r="W24" s="67"/>
      <c r="X24" s="78" t="s">
        <v>33</v>
      </c>
      <c r="Y24" s="78"/>
      <c r="Z24" s="68"/>
    </row>
    <row r="25" spans="2:26" x14ac:dyDescent="0.25">
      <c r="B25" s="15">
        <f t="shared" si="1"/>
        <v>44914</v>
      </c>
      <c r="C25" s="45">
        <v>350000</v>
      </c>
      <c r="D25" s="46">
        <v>100000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2"/>
        <v>450000</v>
      </c>
      <c r="L25" s="52">
        <v>450000</v>
      </c>
      <c r="M25" s="53">
        <f t="shared" si="0"/>
        <v>0</v>
      </c>
      <c r="V25" s="67"/>
      <c r="W25" s="67"/>
      <c r="X25" s="78" t="s">
        <v>31</v>
      </c>
      <c r="Y25" s="78"/>
      <c r="Z25" s="68"/>
    </row>
    <row r="26" spans="2:26" x14ac:dyDescent="0.25">
      <c r="B26" s="15">
        <f t="shared" si="1"/>
        <v>44915</v>
      </c>
      <c r="C26" s="43"/>
      <c r="D26" s="46"/>
      <c r="E26" s="45"/>
      <c r="F26" s="46"/>
      <c r="G26" s="43"/>
      <c r="H26" s="46"/>
      <c r="I26" s="43"/>
      <c r="J26" s="46"/>
      <c r="K26" s="56">
        <f t="shared" si="2"/>
        <v>0</v>
      </c>
      <c r="L26" s="52"/>
      <c r="M26" s="53">
        <f t="shared" si="0"/>
        <v>0</v>
      </c>
      <c r="W26" s="67"/>
      <c r="X26" s="78"/>
      <c r="Y26" s="78"/>
      <c r="Z26" s="68"/>
    </row>
    <row r="27" spans="2:26" x14ac:dyDescent="0.25">
      <c r="B27" s="15">
        <f t="shared" si="1"/>
        <v>44916</v>
      </c>
      <c r="C27" s="45"/>
      <c r="D27" s="46"/>
      <c r="E27" s="45"/>
      <c r="F27" s="46"/>
      <c r="G27" s="45"/>
      <c r="H27" s="46"/>
      <c r="I27" s="45"/>
      <c r="J27" s="46"/>
      <c r="K27" s="56">
        <f t="shared" ref="K27:K37" si="3">SUM(C27:J27)</f>
        <v>0</v>
      </c>
      <c r="L27" s="51"/>
      <c r="M27" s="53">
        <f t="shared" si="0"/>
        <v>0</v>
      </c>
      <c r="W27" s="68"/>
      <c r="X27" s="78"/>
      <c r="Y27" s="68"/>
      <c r="Z27" s="68"/>
    </row>
    <row r="28" spans="2:26" x14ac:dyDescent="0.25">
      <c r="B28" s="15">
        <f t="shared" si="1"/>
        <v>44917</v>
      </c>
      <c r="C28" s="43"/>
      <c r="D28" s="46"/>
      <c r="E28" s="45"/>
      <c r="F28" s="46"/>
      <c r="G28" s="43"/>
      <c r="H28" s="46"/>
      <c r="I28" s="43"/>
      <c r="J28" s="46"/>
      <c r="K28" s="56">
        <f>SUM(C28:J28)</f>
        <v>0</v>
      </c>
      <c r="L28" s="52"/>
      <c r="M28" s="53">
        <f t="shared" si="0"/>
        <v>0</v>
      </c>
      <c r="W28" s="68"/>
      <c r="X28" s="67" t="s">
        <v>36</v>
      </c>
      <c r="Y28" s="68"/>
      <c r="Z28" s="68"/>
    </row>
    <row r="29" spans="2:26" x14ac:dyDescent="0.25">
      <c r="B29" s="15">
        <f t="shared" si="1"/>
        <v>44918</v>
      </c>
      <c r="C29" s="45"/>
      <c r="D29" s="46"/>
      <c r="E29" s="45"/>
      <c r="F29" s="46"/>
      <c r="G29" s="45"/>
      <c r="H29" s="46"/>
      <c r="I29" s="45"/>
      <c r="J29" s="46"/>
      <c r="K29" s="56">
        <f>SUM(C29:J29)</f>
        <v>0</v>
      </c>
      <c r="L29" s="52"/>
      <c r="M29" s="53">
        <f t="shared" si="0"/>
        <v>0</v>
      </c>
      <c r="W29" s="67"/>
      <c r="X29" s="78" t="s">
        <v>33</v>
      </c>
      <c r="Y29" s="78"/>
      <c r="Z29" s="68"/>
    </row>
    <row r="30" spans="2:26" x14ac:dyDescent="0.25">
      <c r="B30" s="15">
        <f t="shared" si="1"/>
        <v>44919</v>
      </c>
      <c r="C30" s="43"/>
      <c r="D30" s="46"/>
      <c r="E30" s="45"/>
      <c r="F30" s="46"/>
      <c r="G30" s="43"/>
      <c r="H30" s="46"/>
      <c r="I30" s="43"/>
      <c r="J30" s="46"/>
      <c r="K30" s="56">
        <f t="shared" si="3"/>
        <v>0</v>
      </c>
      <c r="L30" s="51"/>
      <c r="M30" s="53">
        <f t="shared" si="0"/>
        <v>0</v>
      </c>
      <c r="W30" s="67"/>
      <c r="X30" s="78"/>
      <c r="Y30" s="78"/>
      <c r="Z30" s="68"/>
    </row>
    <row r="31" spans="2:26" x14ac:dyDescent="0.25">
      <c r="B31" s="15">
        <f t="shared" si="1"/>
        <v>44920</v>
      </c>
      <c r="C31" s="43"/>
      <c r="D31" s="46"/>
      <c r="E31" s="45"/>
      <c r="F31" s="46"/>
      <c r="G31" s="43"/>
      <c r="H31" s="46"/>
      <c r="I31" s="43"/>
      <c r="J31" s="46"/>
      <c r="K31" s="56">
        <f t="shared" si="3"/>
        <v>0</v>
      </c>
      <c r="L31" s="52"/>
      <c r="M31" s="53">
        <f t="shared" si="0"/>
        <v>0</v>
      </c>
      <c r="W31" s="68"/>
      <c r="X31" s="78" t="s">
        <v>31</v>
      </c>
      <c r="Y31" s="78"/>
      <c r="Z31" s="67" t="s">
        <v>35</v>
      </c>
    </row>
    <row r="32" spans="2:26" x14ac:dyDescent="0.25">
      <c r="B32" s="15">
        <f t="shared" si="1"/>
        <v>44921</v>
      </c>
      <c r="C32" s="43"/>
      <c r="D32" s="46"/>
      <c r="E32" s="43"/>
      <c r="F32" s="46"/>
      <c r="G32" s="43"/>
      <c r="H32" s="46"/>
      <c r="I32" s="43"/>
      <c r="J32" s="46"/>
      <c r="K32" s="56">
        <f t="shared" si="3"/>
        <v>0</v>
      </c>
      <c r="L32" s="52"/>
      <c r="M32" s="53">
        <f t="shared" si="0"/>
        <v>0</v>
      </c>
      <c r="W32" s="68" t="s">
        <v>30</v>
      </c>
      <c r="X32" s="67" t="s">
        <v>37</v>
      </c>
      <c r="Y32" s="78"/>
      <c r="Z32" s="68"/>
    </row>
    <row r="33" spans="1:26" x14ac:dyDescent="0.25">
      <c r="B33" s="15">
        <f t="shared" si="1"/>
        <v>44922</v>
      </c>
      <c r="C33" s="45"/>
      <c r="D33" s="46"/>
      <c r="E33" s="45"/>
      <c r="F33" s="46"/>
      <c r="G33" s="45"/>
      <c r="H33" s="46"/>
      <c r="I33" s="45"/>
      <c r="J33" s="46"/>
      <c r="K33" s="56">
        <f t="shared" si="3"/>
        <v>0</v>
      </c>
      <c r="L33" s="51"/>
      <c r="M33" s="53">
        <v>0</v>
      </c>
      <c r="W33" s="68"/>
      <c r="X33" s="78"/>
      <c r="Y33" s="78"/>
      <c r="Z33" s="68"/>
    </row>
    <row r="34" spans="1:26" x14ac:dyDescent="0.25">
      <c r="B34" s="15">
        <f t="shared" si="1"/>
        <v>44923</v>
      </c>
      <c r="C34" s="45"/>
      <c r="D34" s="46"/>
      <c r="E34" s="45"/>
      <c r="F34" s="46"/>
      <c r="G34" s="45"/>
      <c r="H34" s="46"/>
      <c r="I34" s="45"/>
      <c r="J34" s="46"/>
      <c r="K34" s="56">
        <f t="shared" si="3"/>
        <v>0</v>
      </c>
      <c r="L34" s="52"/>
      <c r="M34" s="53">
        <f t="shared" si="0"/>
        <v>0</v>
      </c>
      <c r="W34" s="68"/>
      <c r="X34" s="78"/>
      <c r="Y34" s="78"/>
      <c r="Z34" s="68"/>
    </row>
    <row r="35" spans="1:26" x14ac:dyDescent="0.25">
      <c r="B35" s="15">
        <f t="shared" si="1"/>
        <v>44924</v>
      </c>
      <c r="C35" s="47"/>
      <c r="D35" s="48"/>
      <c r="E35" s="49"/>
      <c r="F35" s="50"/>
      <c r="G35" s="47"/>
      <c r="H35" s="48"/>
      <c r="I35" s="47"/>
      <c r="J35" s="48"/>
      <c r="K35" s="56">
        <f t="shared" si="3"/>
        <v>0</v>
      </c>
      <c r="L35" s="54"/>
      <c r="M35" s="55">
        <f t="shared" si="0"/>
        <v>0</v>
      </c>
      <c r="W35" s="68" t="s">
        <v>30</v>
      </c>
      <c r="X35" s="78"/>
      <c r="Y35" s="78"/>
      <c r="Z35" s="68"/>
    </row>
    <row r="36" spans="1:26" x14ac:dyDescent="0.25">
      <c r="B36" s="15">
        <f t="shared" si="1"/>
        <v>44925</v>
      </c>
      <c r="C36" s="47"/>
      <c r="D36" s="48"/>
      <c r="E36" s="49"/>
      <c r="F36" s="50"/>
      <c r="G36" s="47"/>
      <c r="H36" s="48"/>
      <c r="I36" s="47"/>
      <c r="J36" s="48"/>
      <c r="K36" s="56">
        <f t="shared" si="3"/>
        <v>0</v>
      </c>
      <c r="L36" s="54"/>
      <c r="M36" s="55">
        <f t="shared" si="0"/>
        <v>0</v>
      </c>
      <c r="W36" s="68"/>
      <c r="X36" s="78" t="s">
        <v>31</v>
      </c>
      <c r="Y36" s="78" t="s">
        <v>33</v>
      </c>
      <c r="Z36" s="68"/>
    </row>
    <row r="37" spans="1:26" x14ac:dyDescent="0.25">
      <c r="B37" s="15">
        <f t="shared" si="1"/>
        <v>44926</v>
      </c>
      <c r="C37" s="47"/>
      <c r="D37" s="48"/>
      <c r="E37" s="49"/>
      <c r="F37" s="50"/>
      <c r="G37" s="47"/>
      <c r="H37" s="48"/>
      <c r="I37" s="47"/>
      <c r="J37" s="48"/>
      <c r="K37" s="56">
        <f t="shared" si="3"/>
        <v>0</v>
      </c>
      <c r="L37" s="54"/>
      <c r="M37" s="55">
        <f t="shared" si="0"/>
        <v>0</v>
      </c>
      <c r="O37" s="78"/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1240000</v>
      </c>
      <c r="D39" s="25">
        <f>SUM(D7:D38)</f>
        <v>3565000</v>
      </c>
      <c r="E39" s="24">
        <f t="shared" ref="E39:J39" si="4">SUM(E7:E38)</f>
        <v>1780000</v>
      </c>
      <c r="F39" s="59">
        <f t="shared" si="4"/>
        <v>2060000</v>
      </c>
      <c r="G39" s="24">
        <f t="shared" si="4"/>
        <v>780000</v>
      </c>
      <c r="H39" s="25">
        <f t="shared" si="4"/>
        <v>710000</v>
      </c>
      <c r="I39" s="24">
        <f t="shared" si="4"/>
        <v>0</v>
      </c>
      <c r="J39" s="25">
        <f t="shared" si="4"/>
        <v>15500</v>
      </c>
      <c r="K39" s="28">
        <f>SUM(K7:K38)</f>
        <v>10150500</v>
      </c>
      <c r="L39" s="27">
        <f>SUM(L7:L38)</f>
        <v>10225500</v>
      </c>
      <c r="M39" s="26">
        <f>L39-K39</f>
        <v>75000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4805000</v>
      </c>
      <c r="D40" s="268"/>
      <c r="E40" s="267">
        <f>SUM(E39:F39)</f>
        <v>3840000</v>
      </c>
      <c r="F40" s="269"/>
      <c r="G40" s="267">
        <f>SUM(G39:H39)</f>
        <v>1490000</v>
      </c>
      <c r="H40" s="268"/>
      <c r="I40" s="267">
        <f>SUM(I39:J39)</f>
        <v>15500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44895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8000</v>
      </c>
      <c r="K45" s="3">
        <f>SUM(C45:J45)</f>
        <v>8000</v>
      </c>
      <c r="L45" s="3">
        <v>8000</v>
      </c>
      <c r="M45" s="3">
        <f>L45-K45</f>
        <v>0</v>
      </c>
      <c r="N45" s="85">
        <v>44896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>
        <v>44914</v>
      </c>
      <c r="C47" s="3"/>
      <c r="D47" s="14">
        <v>100000</v>
      </c>
      <c r="E47" s="3"/>
      <c r="F47" s="14">
        <v>0</v>
      </c>
      <c r="G47" s="3">
        <v>0</v>
      </c>
      <c r="H47" s="14">
        <v>0</v>
      </c>
      <c r="I47" s="3">
        <v>0</v>
      </c>
      <c r="J47" s="14">
        <v>0</v>
      </c>
      <c r="K47" s="3">
        <f>SUM(C47:J47)</f>
        <v>100000</v>
      </c>
      <c r="L47" s="3">
        <v>0</v>
      </c>
      <c r="M47" s="3">
        <v>100000</v>
      </c>
      <c r="N47" s="85">
        <v>44915</v>
      </c>
    </row>
    <row r="48" spans="1:26" x14ac:dyDescent="0.25">
      <c r="A48" t="s">
        <v>16</v>
      </c>
      <c r="B48" s="2">
        <v>44926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0</v>
      </c>
      <c r="L48" s="3">
        <v>0</v>
      </c>
      <c r="M48" s="3">
        <f>L48-K48</f>
        <v>0</v>
      </c>
      <c r="N48" s="85">
        <v>44927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-100000</v>
      </c>
      <c r="E50" s="262">
        <f>F45+F46-F47-F48</f>
        <v>0</v>
      </c>
      <c r="F50" s="263"/>
      <c r="G50" s="262">
        <f>H45+H46-H47-H48</f>
        <v>0</v>
      </c>
      <c r="H50" s="263"/>
      <c r="I50" s="262">
        <f>J45+J46-J47-J48</f>
        <v>8000</v>
      </c>
      <c r="J50" s="263"/>
    </row>
    <row r="51" spans="2:24" x14ac:dyDescent="0.25">
      <c r="B51" s="264" t="s">
        <v>12</v>
      </c>
      <c r="C51" s="264"/>
      <c r="D51" s="31">
        <f>D39+D50</f>
        <v>3465000</v>
      </c>
      <c r="E51" s="265">
        <f>F39+E50</f>
        <v>2060000</v>
      </c>
      <c r="F51" s="266"/>
      <c r="G51" s="265">
        <f>H39+G50</f>
        <v>710000</v>
      </c>
      <c r="H51" s="266"/>
      <c r="I51" s="265">
        <f>J39+I50</f>
        <v>23500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6258500</v>
      </c>
      <c r="E52" s="258"/>
      <c r="F52" s="258"/>
      <c r="G52" s="258"/>
      <c r="H52" s="258"/>
      <c r="I52" s="89"/>
      <c r="J52" s="89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53707.5</v>
      </c>
      <c r="N54" s="87">
        <v>1.55E-2</v>
      </c>
      <c r="W54" s="4"/>
    </row>
    <row r="55" spans="2:24" x14ac:dyDescent="0.25">
      <c r="B55" s="72" t="s">
        <v>13</v>
      </c>
      <c r="C55" s="34">
        <f>C39+G39+E39+I39</f>
        <v>3800000</v>
      </c>
      <c r="D55" s="34">
        <f>D39+H39+F39+J39</f>
        <v>6350500</v>
      </c>
      <c r="E55" s="58"/>
      <c r="F55" s="58"/>
      <c r="K55" s="63" t="s">
        <v>25</v>
      </c>
      <c r="L55" s="64">
        <f>E51*0.0155</f>
        <v>31930</v>
      </c>
      <c r="N55" s="88"/>
      <c r="X55" s="71"/>
    </row>
    <row r="56" spans="2:24" x14ac:dyDescent="0.25">
      <c r="C56" s="259">
        <f>SUM(C55:D55)</f>
        <v>10150500</v>
      </c>
      <c r="D56" s="260"/>
      <c r="E56" s="57"/>
      <c r="F56" s="57"/>
      <c r="K56" s="63" t="s">
        <v>28</v>
      </c>
      <c r="L56" s="64">
        <f>G51*0.0155</f>
        <v>11005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364.25</v>
      </c>
      <c r="W57" s="4"/>
    </row>
    <row r="58" spans="2:24" x14ac:dyDescent="0.25">
      <c r="J58" t="s">
        <v>3</v>
      </c>
      <c r="L58" s="64">
        <f>SUM(L54:L57)</f>
        <v>97006.75</v>
      </c>
      <c r="W58" s="4"/>
    </row>
    <row r="59" spans="2:24" x14ac:dyDescent="0.25">
      <c r="B59" s="1" t="s">
        <v>19</v>
      </c>
      <c r="C59" s="259">
        <f>C39+D52+E39+G39+I39</f>
        <v>10058500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52:C52"/>
    <mergeCell ref="D52:H52"/>
    <mergeCell ref="C56:D56"/>
    <mergeCell ref="C59:D59"/>
    <mergeCell ref="B50:C50"/>
    <mergeCell ref="E50:F50"/>
    <mergeCell ref="G50:H50"/>
    <mergeCell ref="I50:J50"/>
    <mergeCell ref="B51:C51"/>
    <mergeCell ref="E51:F51"/>
    <mergeCell ref="G51:H51"/>
    <mergeCell ref="I51:J51"/>
    <mergeCell ref="C40:D40"/>
    <mergeCell ref="E40:F40"/>
    <mergeCell ref="G40:H40"/>
    <mergeCell ref="I40:J40"/>
    <mergeCell ref="C43:D43"/>
    <mergeCell ref="E43:F43"/>
    <mergeCell ref="G43:H43"/>
    <mergeCell ref="I43:J43"/>
    <mergeCell ref="B2:K2"/>
    <mergeCell ref="B3:C3"/>
    <mergeCell ref="D3:G3"/>
    <mergeCell ref="C5:D5"/>
    <mergeCell ref="E5:F5"/>
    <mergeCell ref="G5:H5"/>
    <mergeCell ref="I5:J5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topLeftCell="A22" workbookViewId="0">
      <selection activeCell="N34" sqref="N34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38</v>
      </c>
      <c r="E3" s="274"/>
      <c r="F3" s="274"/>
      <c r="G3" s="274"/>
      <c r="H3" s="39">
        <v>2022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44896</v>
      </c>
      <c r="C7" s="45">
        <v>450000</v>
      </c>
      <c r="D7" s="46">
        <v>0</v>
      </c>
      <c r="E7" s="45">
        <v>0</v>
      </c>
      <c r="F7" s="46">
        <f>40000+380000</f>
        <v>420000</v>
      </c>
      <c r="G7" s="69">
        <v>0</v>
      </c>
      <c r="H7" s="70">
        <v>0</v>
      </c>
      <c r="I7" s="69">
        <v>0</v>
      </c>
      <c r="J7" s="70">
        <v>0</v>
      </c>
      <c r="K7" s="56">
        <f>SUM(C7:H7)</f>
        <v>870000</v>
      </c>
      <c r="L7" s="52">
        <v>870000</v>
      </c>
      <c r="M7" s="53">
        <f t="shared" ref="M7:M37" si="0">L7-K7</f>
        <v>0</v>
      </c>
      <c r="V7" s="68"/>
      <c r="W7" s="68"/>
      <c r="X7" s="78"/>
      <c r="Y7" s="68"/>
      <c r="Z7" s="68"/>
    </row>
    <row r="8" spans="2:26" x14ac:dyDescent="0.25">
      <c r="B8" s="15">
        <f t="shared" ref="B8:B37" si="1">B7+1</f>
        <v>44897</v>
      </c>
      <c r="C8" s="43">
        <v>0</v>
      </c>
      <c r="D8" s="46">
        <f>15000+110000+120000</f>
        <v>245000</v>
      </c>
      <c r="E8" s="45">
        <v>0</v>
      </c>
      <c r="F8" s="46">
        <v>45000</v>
      </c>
      <c r="G8" s="43">
        <v>0</v>
      </c>
      <c r="H8" s="46">
        <v>0</v>
      </c>
      <c r="I8" s="43">
        <v>0</v>
      </c>
      <c r="J8" s="46">
        <v>0</v>
      </c>
      <c r="K8" s="56">
        <f>SUM(C8:J8)</f>
        <v>290000</v>
      </c>
      <c r="L8" s="52">
        <v>290000</v>
      </c>
      <c r="M8" s="53">
        <f t="shared" si="0"/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44898</v>
      </c>
      <c r="C9" s="45">
        <v>0</v>
      </c>
      <c r="D9" s="44">
        <v>0</v>
      </c>
      <c r="E9" s="45">
        <v>0</v>
      </c>
      <c r="F9" s="46">
        <v>0</v>
      </c>
      <c r="G9" s="45">
        <v>0</v>
      </c>
      <c r="H9" s="46">
        <v>230000</v>
      </c>
      <c r="I9" s="45">
        <v>0</v>
      </c>
      <c r="J9" s="46">
        <v>0</v>
      </c>
      <c r="K9" s="56">
        <f>SUM(C9:J9)</f>
        <v>230000</v>
      </c>
      <c r="L9" s="51">
        <v>230000</v>
      </c>
      <c r="M9" s="53">
        <f t="shared" si="0"/>
        <v>0</v>
      </c>
      <c r="N9" s="68" t="s">
        <v>39</v>
      </c>
      <c r="V9" s="67"/>
      <c r="W9" s="67"/>
      <c r="X9" s="78"/>
      <c r="Y9" s="78"/>
      <c r="Z9" s="68"/>
    </row>
    <row r="10" spans="2:26" x14ac:dyDescent="0.25">
      <c r="B10" s="15">
        <f t="shared" si="1"/>
        <v>44899</v>
      </c>
      <c r="C10" s="43">
        <v>0</v>
      </c>
      <c r="D10" s="46">
        <v>0</v>
      </c>
      <c r="E10" s="45">
        <v>0</v>
      </c>
      <c r="F10" s="46">
        <v>0</v>
      </c>
      <c r="G10" s="43">
        <v>0</v>
      </c>
      <c r="H10" s="46">
        <v>0</v>
      </c>
      <c r="I10" s="43">
        <v>0</v>
      </c>
      <c r="J10" s="46">
        <v>0</v>
      </c>
      <c r="K10" s="56">
        <f>SUM(C10:J10)</f>
        <v>0</v>
      </c>
      <c r="L10" s="52">
        <v>0</v>
      </c>
      <c r="M10" s="53">
        <f t="shared" si="0"/>
        <v>0</v>
      </c>
      <c r="V10" s="67"/>
      <c r="Y10" s="78"/>
      <c r="Z10" s="68"/>
    </row>
    <row r="11" spans="2:26" x14ac:dyDescent="0.25">
      <c r="B11" s="15">
        <f t="shared" si="1"/>
        <v>44900</v>
      </c>
      <c r="C11" s="45">
        <v>515000</v>
      </c>
      <c r="D11" s="46">
        <v>140000</v>
      </c>
      <c r="E11" s="45">
        <v>0</v>
      </c>
      <c r="F11" s="46">
        <v>0</v>
      </c>
      <c r="G11" s="45">
        <v>50000</v>
      </c>
      <c r="H11" s="46">
        <f>230000+250000</f>
        <v>480000</v>
      </c>
      <c r="I11" s="45">
        <v>0</v>
      </c>
      <c r="J11" s="46">
        <v>0</v>
      </c>
      <c r="K11" s="56">
        <f>SUM(C11:J11)</f>
        <v>1185000</v>
      </c>
      <c r="L11" s="52">
        <v>1185000</v>
      </c>
      <c r="M11" s="53">
        <f t="shared" si="0"/>
        <v>0</v>
      </c>
      <c r="N11" s="68" t="s">
        <v>30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44901</v>
      </c>
      <c r="C12" s="45">
        <v>0</v>
      </c>
      <c r="D12" s="46">
        <v>40000</v>
      </c>
      <c r="E12" s="45">
        <v>0</v>
      </c>
      <c r="F12" s="46">
        <v>85000</v>
      </c>
      <c r="G12" s="45">
        <v>240000</v>
      </c>
      <c r="H12" s="46">
        <v>0</v>
      </c>
      <c r="I12" s="45">
        <v>0</v>
      </c>
      <c r="J12" s="46">
        <v>0</v>
      </c>
      <c r="K12" s="56">
        <f>SUM(C12:J12)</f>
        <v>365000</v>
      </c>
      <c r="L12" s="51">
        <v>365000</v>
      </c>
      <c r="M12" s="53">
        <f t="shared" si="0"/>
        <v>0</v>
      </c>
      <c r="N12" s="68" t="s">
        <v>30</v>
      </c>
      <c r="V12" s="68"/>
      <c r="W12" s="67"/>
      <c r="X12" s="78"/>
      <c r="Y12" s="78"/>
      <c r="Z12" s="68"/>
    </row>
    <row r="13" spans="2:26" x14ac:dyDescent="0.25">
      <c r="B13" s="15">
        <f t="shared" si="1"/>
        <v>44902</v>
      </c>
      <c r="C13" s="45">
        <v>-75000</v>
      </c>
      <c r="D13" s="46">
        <v>0</v>
      </c>
      <c r="E13" s="45">
        <v>0</v>
      </c>
      <c r="F13" s="46">
        <f>60000+390000</f>
        <v>450000</v>
      </c>
      <c r="G13" s="45">
        <v>0</v>
      </c>
      <c r="H13" s="46">
        <v>0</v>
      </c>
      <c r="I13" s="45">
        <v>0</v>
      </c>
      <c r="J13" s="46">
        <v>500</v>
      </c>
      <c r="K13" s="56">
        <f t="shared" ref="K13:K26" si="2">SUM(C13:J13)</f>
        <v>375500</v>
      </c>
      <c r="L13" s="52">
        <v>450500</v>
      </c>
      <c r="M13" s="53">
        <f t="shared" si="0"/>
        <v>75000</v>
      </c>
      <c r="N13" s="67" t="s">
        <v>34</v>
      </c>
      <c r="P13" s="67" t="s">
        <v>40</v>
      </c>
      <c r="V13" s="68"/>
      <c r="W13" s="67"/>
      <c r="X13" s="78" t="s">
        <v>31</v>
      </c>
      <c r="Y13" s="79"/>
      <c r="Z13" s="68"/>
    </row>
    <row r="14" spans="2:26" x14ac:dyDescent="0.25">
      <c r="B14" s="15">
        <f t="shared" si="1"/>
        <v>44903</v>
      </c>
      <c r="C14" s="43">
        <v>0</v>
      </c>
      <c r="D14" s="46">
        <v>515000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46">
        <v>0</v>
      </c>
      <c r="K14" s="56">
        <f t="shared" si="2"/>
        <v>515000</v>
      </c>
      <c r="L14" s="52">
        <v>515000</v>
      </c>
      <c r="M14" s="53">
        <f t="shared" si="0"/>
        <v>0</v>
      </c>
      <c r="V14" s="68"/>
      <c r="W14" s="67" t="s">
        <v>32</v>
      </c>
      <c r="X14" s="68" t="s">
        <v>31</v>
      </c>
      <c r="Y14" s="78"/>
      <c r="Z14" s="68"/>
    </row>
    <row r="15" spans="2:26" x14ac:dyDescent="0.25">
      <c r="B15" s="15">
        <f t="shared" si="1"/>
        <v>44904</v>
      </c>
      <c r="C15" s="45">
        <v>0</v>
      </c>
      <c r="D15" s="46">
        <v>35000</v>
      </c>
      <c r="E15" s="45">
        <v>0</v>
      </c>
      <c r="F15" s="46">
        <v>340000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2"/>
        <v>375000</v>
      </c>
      <c r="L15" s="51">
        <v>375000</v>
      </c>
      <c r="M15" s="53">
        <f t="shared" si="0"/>
        <v>0</v>
      </c>
      <c r="R15" s="80"/>
      <c r="S15" s="80"/>
      <c r="T15" s="80"/>
      <c r="U15" s="80"/>
      <c r="W15" s="67"/>
      <c r="X15" s="80"/>
      <c r="Y15" s="80"/>
      <c r="Z15" s="80"/>
    </row>
    <row r="16" spans="2:26" x14ac:dyDescent="0.25">
      <c r="B16" s="15">
        <f t="shared" si="1"/>
        <v>44905</v>
      </c>
      <c r="C16" s="43">
        <v>0</v>
      </c>
      <c r="D16" s="46">
        <v>0</v>
      </c>
      <c r="E16" s="45">
        <v>420000</v>
      </c>
      <c r="F16" s="46">
        <v>0</v>
      </c>
      <c r="G16" s="43">
        <v>0</v>
      </c>
      <c r="H16" s="46">
        <v>0</v>
      </c>
      <c r="I16" s="43">
        <v>0</v>
      </c>
      <c r="J16" s="46">
        <v>15000</v>
      </c>
      <c r="K16" s="56">
        <f>SUM(C16:J16)</f>
        <v>435000</v>
      </c>
      <c r="L16" s="52">
        <v>435000</v>
      </c>
      <c r="M16" s="53">
        <f t="shared" si="0"/>
        <v>0</v>
      </c>
      <c r="O16" s="78" t="s">
        <v>31</v>
      </c>
      <c r="R16" s="80"/>
      <c r="S16" s="80"/>
      <c r="T16" s="80"/>
      <c r="U16" s="80"/>
      <c r="V16" s="65"/>
      <c r="W16" s="68"/>
      <c r="X16" s="68" t="s">
        <v>31</v>
      </c>
      <c r="Y16" s="80"/>
      <c r="Z16" s="80"/>
    </row>
    <row r="17" spans="2:26" x14ac:dyDescent="0.25">
      <c r="B17" s="15">
        <f t="shared" si="1"/>
        <v>44906</v>
      </c>
      <c r="C17" s="45">
        <v>0</v>
      </c>
      <c r="D17" s="46">
        <v>0</v>
      </c>
      <c r="E17" s="43">
        <v>0</v>
      </c>
      <c r="F17" s="44">
        <v>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2"/>
        <v>0</v>
      </c>
      <c r="L17" s="52">
        <v>0</v>
      </c>
      <c r="M17" s="53">
        <f t="shared" si="0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44907</v>
      </c>
      <c r="C18" s="43">
        <v>0</v>
      </c>
      <c r="D18" s="46">
        <v>710000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2"/>
        <v>710000</v>
      </c>
      <c r="L18" s="51">
        <v>710000</v>
      </c>
      <c r="M18" s="53">
        <f t="shared" si="0"/>
        <v>0</v>
      </c>
      <c r="V18" s="67"/>
      <c r="W18" s="81"/>
      <c r="X18" s="78" t="s">
        <v>31</v>
      </c>
      <c r="Y18" s="78"/>
      <c r="Z18" s="68"/>
    </row>
    <row r="19" spans="2:26" x14ac:dyDescent="0.25">
      <c r="B19" s="15">
        <f t="shared" si="1"/>
        <v>44908</v>
      </c>
      <c r="C19" s="45">
        <v>0</v>
      </c>
      <c r="D19" s="46">
        <v>0</v>
      </c>
      <c r="E19" s="45">
        <v>550000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56">
        <f t="shared" si="2"/>
        <v>550000</v>
      </c>
      <c r="L19" s="52">
        <v>550000</v>
      </c>
      <c r="M19" s="53">
        <f t="shared" si="0"/>
        <v>0</v>
      </c>
      <c r="V19" s="67"/>
      <c r="W19" s="67"/>
      <c r="X19" s="78"/>
      <c r="Y19" s="78"/>
      <c r="Z19" s="68"/>
    </row>
    <row r="20" spans="2:26" x14ac:dyDescent="0.25">
      <c r="B20" s="15">
        <f t="shared" si="1"/>
        <v>44909</v>
      </c>
      <c r="C20" s="45">
        <v>0</v>
      </c>
      <c r="D20" s="44">
        <v>440000</v>
      </c>
      <c r="E20" s="45">
        <v>420000</v>
      </c>
      <c r="F20" s="46">
        <v>380000</v>
      </c>
      <c r="G20" s="45">
        <v>0</v>
      </c>
      <c r="H20" s="46">
        <v>0</v>
      </c>
      <c r="I20" s="45">
        <v>0</v>
      </c>
      <c r="J20" s="46">
        <v>0</v>
      </c>
      <c r="K20" s="56">
        <f t="shared" si="2"/>
        <v>1240000</v>
      </c>
      <c r="L20" s="52">
        <v>1240000</v>
      </c>
      <c r="M20" s="53">
        <f t="shared" si="0"/>
        <v>0</v>
      </c>
      <c r="V20" s="67"/>
      <c r="W20" s="67"/>
      <c r="Y20" s="78"/>
      <c r="Z20" s="68"/>
    </row>
    <row r="21" spans="2:26" x14ac:dyDescent="0.25">
      <c r="B21" s="15">
        <f>B20+1</f>
        <v>44910</v>
      </c>
      <c r="C21" s="45">
        <v>0</v>
      </c>
      <c r="D21" s="46">
        <f>210000+510000</f>
        <v>720000</v>
      </c>
      <c r="E21" s="45">
        <v>390000</v>
      </c>
      <c r="F21" s="46">
        <v>0</v>
      </c>
      <c r="G21" s="45">
        <v>260000</v>
      </c>
      <c r="H21" s="46">
        <v>0</v>
      </c>
      <c r="I21" s="45">
        <v>0</v>
      </c>
      <c r="J21" s="46">
        <v>0</v>
      </c>
      <c r="K21" s="56">
        <f t="shared" si="2"/>
        <v>1370000</v>
      </c>
      <c r="L21" s="51">
        <v>1370000</v>
      </c>
      <c r="M21" s="53">
        <f t="shared" si="0"/>
        <v>0</v>
      </c>
      <c r="N21" s="68" t="s">
        <v>30</v>
      </c>
      <c r="X21" s="78"/>
      <c r="Y21" s="78"/>
      <c r="Z21" s="68"/>
    </row>
    <row r="22" spans="2:26" x14ac:dyDescent="0.25">
      <c r="B22" s="15">
        <f t="shared" si="1"/>
        <v>44911</v>
      </c>
      <c r="C22" s="45">
        <v>0</v>
      </c>
      <c r="D22" s="46">
        <v>620000</v>
      </c>
      <c r="E22" s="45">
        <v>0</v>
      </c>
      <c r="F22" s="46">
        <v>340000</v>
      </c>
      <c r="G22" s="45">
        <v>0</v>
      </c>
      <c r="H22" s="46">
        <v>0</v>
      </c>
      <c r="I22" s="45">
        <v>0</v>
      </c>
      <c r="J22" s="46">
        <v>0</v>
      </c>
      <c r="K22" s="56">
        <f t="shared" si="2"/>
        <v>960000</v>
      </c>
      <c r="L22" s="52">
        <v>960000</v>
      </c>
      <c r="M22" s="53">
        <f t="shared" si="0"/>
        <v>0</v>
      </c>
      <c r="W22" s="67"/>
      <c r="X22" s="78" t="s">
        <v>33</v>
      </c>
      <c r="Y22" s="78"/>
      <c r="Z22" s="68"/>
    </row>
    <row r="23" spans="2:26" x14ac:dyDescent="0.25">
      <c r="B23" s="15">
        <f t="shared" si="1"/>
        <v>44912</v>
      </c>
      <c r="C23" s="45">
        <v>0</v>
      </c>
      <c r="D23" s="46">
        <v>0</v>
      </c>
      <c r="E23" s="45">
        <v>0</v>
      </c>
      <c r="F23" s="46">
        <v>0</v>
      </c>
      <c r="G23" s="45">
        <v>230000</v>
      </c>
      <c r="H23" s="46">
        <v>0</v>
      </c>
      <c r="I23" s="45">
        <v>0</v>
      </c>
      <c r="J23" s="46">
        <v>0</v>
      </c>
      <c r="K23" s="56">
        <f t="shared" si="2"/>
        <v>230000</v>
      </c>
      <c r="L23" s="52">
        <v>230000</v>
      </c>
      <c r="M23" s="53">
        <f t="shared" si="0"/>
        <v>0</v>
      </c>
      <c r="N23" s="68" t="s">
        <v>39</v>
      </c>
      <c r="W23" s="67"/>
      <c r="X23" s="78"/>
      <c r="Y23" s="78"/>
      <c r="Z23" s="68"/>
    </row>
    <row r="24" spans="2:26" x14ac:dyDescent="0.25">
      <c r="B24" s="15">
        <f t="shared" si="1"/>
        <v>44913</v>
      </c>
      <c r="C24" s="43">
        <v>0</v>
      </c>
      <c r="D24" s="46">
        <v>0</v>
      </c>
      <c r="E24" s="45">
        <v>0</v>
      </c>
      <c r="F24" s="46">
        <v>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2"/>
        <v>0</v>
      </c>
      <c r="L24" s="51">
        <v>0</v>
      </c>
      <c r="M24" s="53">
        <f t="shared" si="0"/>
        <v>0</v>
      </c>
      <c r="V24" s="67"/>
      <c r="W24" s="67"/>
      <c r="Y24" s="78"/>
      <c r="Z24" s="68"/>
    </row>
    <row r="25" spans="2:26" x14ac:dyDescent="0.25">
      <c r="B25" s="15">
        <f t="shared" si="1"/>
        <v>44914</v>
      </c>
      <c r="C25" s="45">
        <v>350000</v>
      </c>
      <c r="D25" s="46">
        <v>100000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2"/>
        <v>450000</v>
      </c>
      <c r="L25" s="52">
        <v>450000</v>
      </c>
      <c r="M25" s="53">
        <f t="shared" si="0"/>
        <v>0</v>
      </c>
      <c r="V25" s="67"/>
      <c r="W25" s="67"/>
      <c r="X25" s="78" t="s">
        <v>31</v>
      </c>
      <c r="Y25" s="78"/>
      <c r="Z25" s="68"/>
    </row>
    <row r="26" spans="2:26" x14ac:dyDescent="0.25">
      <c r="B26" s="15">
        <f t="shared" si="1"/>
        <v>44915</v>
      </c>
      <c r="C26" s="43">
        <v>0</v>
      </c>
      <c r="D26" s="46">
        <v>0</v>
      </c>
      <c r="E26" s="45">
        <v>0</v>
      </c>
      <c r="F26" s="46">
        <v>700000</v>
      </c>
      <c r="G26" s="43">
        <v>0</v>
      </c>
      <c r="H26" s="46">
        <v>0</v>
      </c>
      <c r="I26" s="43">
        <v>0</v>
      </c>
      <c r="J26" s="46">
        <v>0</v>
      </c>
      <c r="K26" s="56">
        <f t="shared" si="2"/>
        <v>700000</v>
      </c>
      <c r="L26" s="52">
        <v>700000</v>
      </c>
      <c r="M26" s="53">
        <f t="shared" si="0"/>
        <v>0</v>
      </c>
      <c r="W26" s="67"/>
      <c r="X26" s="78"/>
      <c r="Y26" s="78"/>
      <c r="Z26" s="68"/>
    </row>
    <row r="27" spans="2:26" x14ac:dyDescent="0.25">
      <c r="B27" s="15">
        <f t="shared" si="1"/>
        <v>44916</v>
      </c>
      <c r="C27" s="45">
        <v>0</v>
      </c>
      <c r="D27" s="46">
        <v>0</v>
      </c>
      <c r="E27" s="45">
        <v>0</v>
      </c>
      <c r="F27" s="46">
        <v>800000</v>
      </c>
      <c r="G27" s="45">
        <v>0</v>
      </c>
      <c r="H27" s="46">
        <v>0</v>
      </c>
      <c r="I27" s="45">
        <v>0</v>
      </c>
      <c r="J27" s="46">
        <v>4000</v>
      </c>
      <c r="K27" s="56">
        <f t="shared" ref="K27:K37" si="3">SUM(C27:J27)</f>
        <v>804000</v>
      </c>
      <c r="L27" s="51">
        <v>804000</v>
      </c>
      <c r="M27" s="53">
        <f t="shared" si="0"/>
        <v>0</v>
      </c>
      <c r="N27" s="78"/>
      <c r="O27" s="78" t="s">
        <v>33</v>
      </c>
      <c r="W27" s="68"/>
      <c r="X27" s="78"/>
      <c r="Y27" s="68"/>
      <c r="Z27" s="68"/>
    </row>
    <row r="28" spans="2:26" x14ac:dyDescent="0.25">
      <c r="B28" s="15">
        <f t="shared" si="1"/>
        <v>44917</v>
      </c>
      <c r="C28" s="43">
        <v>0</v>
      </c>
      <c r="D28" s="46">
        <v>0</v>
      </c>
      <c r="E28" s="45">
        <v>0</v>
      </c>
      <c r="F28" s="46">
        <v>575000</v>
      </c>
      <c r="G28" s="43">
        <v>0</v>
      </c>
      <c r="H28" s="46">
        <v>0</v>
      </c>
      <c r="I28" s="43">
        <v>0</v>
      </c>
      <c r="J28" s="46">
        <v>0</v>
      </c>
      <c r="K28" s="56">
        <f>SUM(C28:J28)</f>
        <v>575000</v>
      </c>
      <c r="L28" s="52">
        <v>575000</v>
      </c>
      <c r="M28" s="53">
        <f t="shared" si="0"/>
        <v>0</v>
      </c>
      <c r="W28" s="68"/>
      <c r="X28" s="67" t="s">
        <v>36</v>
      </c>
      <c r="Y28" s="68"/>
      <c r="Z28" s="68"/>
    </row>
    <row r="29" spans="2:26" x14ac:dyDescent="0.25">
      <c r="B29" s="15">
        <f t="shared" si="1"/>
        <v>44918</v>
      </c>
      <c r="C29" s="45">
        <v>0</v>
      </c>
      <c r="D29" s="46">
        <v>0</v>
      </c>
      <c r="E29" s="45">
        <v>0</v>
      </c>
      <c r="F29" s="46">
        <v>109000</v>
      </c>
      <c r="G29" s="45">
        <v>0</v>
      </c>
      <c r="H29" s="46">
        <v>0</v>
      </c>
      <c r="I29" s="45">
        <v>0</v>
      </c>
      <c r="J29" s="46"/>
      <c r="K29" s="56">
        <f>SUM(C29:J29)</f>
        <v>109000</v>
      </c>
      <c r="L29" s="52">
        <v>109000</v>
      </c>
      <c r="M29" s="53">
        <f t="shared" si="0"/>
        <v>0</v>
      </c>
      <c r="W29" s="67"/>
      <c r="X29" s="78" t="s">
        <v>33</v>
      </c>
      <c r="Y29" s="78"/>
      <c r="Z29" s="68"/>
    </row>
    <row r="30" spans="2:26" x14ac:dyDescent="0.25">
      <c r="B30" s="15">
        <f t="shared" si="1"/>
        <v>44919</v>
      </c>
      <c r="C30" s="43">
        <v>0</v>
      </c>
      <c r="D30" s="46">
        <v>0</v>
      </c>
      <c r="E30" s="45">
        <f>350000+360000</f>
        <v>710000</v>
      </c>
      <c r="F30" s="46">
        <v>0</v>
      </c>
      <c r="G30" s="43">
        <v>120000</v>
      </c>
      <c r="H30" s="46">
        <v>110000</v>
      </c>
      <c r="I30" s="43">
        <v>0</v>
      </c>
      <c r="J30" s="46">
        <v>0</v>
      </c>
      <c r="K30" s="56">
        <f t="shared" si="3"/>
        <v>940000</v>
      </c>
      <c r="L30" s="51">
        <v>940000</v>
      </c>
      <c r="M30" s="53">
        <f t="shared" si="0"/>
        <v>0</v>
      </c>
      <c r="N30" s="68" t="s">
        <v>39</v>
      </c>
      <c r="W30" s="67"/>
      <c r="X30" s="78"/>
      <c r="Y30" s="78"/>
      <c r="Z30" s="68"/>
    </row>
    <row r="31" spans="2:26" x14ac:dyDescent="0.25">
      <c r="B31" s="15">
        <f t="shared" si="1"/>
        <v>44920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0</v>
      </c>
      <c r="I31" s="43">
        <v>0</v>
      </c>
      <c r="J31" s="46">
        <v>0</v>
      </c>
      <c r="K31" s="56">
        <f t="shared" si="3"/>
        <v>0</v>
      </c>
      <c r="L31" s="52">
        <v>0</v>
      </c>
      <c r="M31" s="53">
        <f t="shared" si="0"/>
        <v>0</v>
      </c>
      <c r="W31" s="68"/>
      <c r="X31" s="78" t="s">
        <v>31</v>
      </c>
      <c r="Y31" s="78"/>
      <c r="Z31" s="67" t="s">
        <v>35</v>
      </c>
    </row>
    <row r="32" spans="2:26" x14ac:dyDescent="0.25">
      <c r="B32" s="15">
        <f t="shared" si="1"/>
        <v>44921</v>
      </c>
      <c r="C32" s="43">
        <v>0</v>
      </c>
      <c r="D32" s="46">
        <v>0</v>
      </c>
      <c r="E32" s="43">
        <v>0</v>
      </c>
      <c r="F32" s="46">
        <v>0</v>
      </c>
      <c r="G32" s="43">
        <v>0</v>
      </c>
      <c r="H32" s="46">
        <v>0</v>
      </c>
      <c r="I32" s="43">
        <v>0</v>
      </c>
      <c r="J32" s="46">
        <v>0</v>
      </c>
      <c r="K32" s="56">
        <f t="shared" si="3"/>
        <v>0</v>
      </c>
      <c r="L32" s="52">
        <v>0</v>
      </c>
      <c r="M32" s="53">
        <f t="shared" si="0"/>
        <v>0</v>
      </c>
      <c r="W32" s="68" t="s">
        <v>30</v>
      </c>
      <c r="X32" s="67" t="s">
        <v>37</v>
      </c>
      <c r="Y32" s="78"/>
      <c r="Z32" s="68"/>
    </row>
    <row r="33" spans="1:26" x14ac:dyDescent="0.25">
      <c r="B33" s="15">
        <f t="shared" si="1"/>
        <v>44922</v>
      </c>
      <c r="C33" s="45">
        <v>0</v>
      </c>
      <c r="D33" s="46">
        <v>0</v>
      </c>
      <c r="E33" s="45">
        <v>0</v>
      </c>
      <c r="F33" s="46">
        <v>0</v>
      </c>
      <c r="G33" s="45">
        <v>240000</v>
      </c>
      <c r="H33" s="46">
        <v>0</v>
      </c>
      <c r="I33" s="45">
        <v>0</v>
      </c>
      <c r="J33" s="46">
        <v>0</v>
      </c>
      <c r="K33" s="56">
        <f t="shared" si="3"/>
        <v>240000</v>
      </c>
      <c r="L33" s="51">
        <v>240000</v>
      </c>
      <c r="M33" s="53">
        <f t="shared" si="0"/>
        <v>0</v>
      </c>
      <c r="N33" s="68" t="s">
        <v>39</v>
      </c>
      <c r="W33" s="68"/>
      <c r="X33" s="78"/>
      <c r="Y33" s="78"/>
      <c r="Z33" s="68"/>
    </row>
    <row r="34" spans="1:26" x14ac:dyDescent="0.25">
      <c r="B34" s="15">
        <f t="shared" si="1"/>
        <v>44923</v>
      </c>
      <c r="C34" s="45"/>
      <c r="D34" s="46"/>
      <c r="E34" s="45"/>
      <c r="F34" s="46"/>
      <c r="G34" s="45"/>
      <c r="H34" s="46"/>
      <c r="I34" s="45"/>
      <c r="J34" s="46"/>
      <c r="K34" s="56">
        <f t="shared" si="3"/>
        <v>0</v>
      </c>
      <c r="L34" s="52"/>
      <c r="M34" s="53">
        <f t="shared" si="0"/>
        <v>0</v>
      </c>
      <c r="W34" s="68"/>
      <c r="X34" s="78"/>
      <c r="Y34" s="78"/>
      <c r="Z34" s="68"/>
    </row>
    <row r="35" spans="1:26" x14ac:dyDescent="0.25">
      <c r="B35" s="15">
        <f t="shared" si="1"/>
        <v>44924</v>
      </c>
      <c r="C35" s="47"/>
      <c r="D35" s="48"/>
      <c r="E35" s="49"/>
      <c r="F35" s="50"/>
      <c r="G35" s="47"/>
      <c r="H35" s="48"/>
      <c r="I35" s="47"/>
      <c r="J35" s="48"/>
      <c r="K35" s="56">
        <f t="shared" si="3"/>
        <v>0</v>
      </c>
      <c r="L35" s="54"/>
      <c r="M35" s="55">
        <f t="shared" si="0"/>
        <v>0</v>
      </c>
      <c r="W35" s="68" t="s">
        <v>30</v>
      </c>
      <c r="X35" s="78"/>
      <c r="Y35" s="78"/>
      <c r="Z35" s="68"/>
    </row>
    <row r="36" spans="1:26" x14ac:dyDescent="0.25">
      <c r="B36" s="15">
        <f t="shared" si="1"/>
        <v>44925</v>
      </c>
      <c r="C36" s="47"/>
      <c r="D36" s="48"/>
      <c r="E36" s="49"/>
      <c r="F36" s="50"/>
      <c r="G36" s="47"/>
      <c r="H36" s="48"/>
      <c r="I36" s="47"/>
      <c r="J36" s="48"/>
      <c r="K36" s="56">
        <f t="shared" si="3"/>
        <v>0</v>
      </c>
      <c r="L36" s="54"/>
      <c r="M36" s="55">
        <f t="shared" si="0"/>
        <v>0</v>
      </c>
      <c r="W36" s="68"/>
      <c r="X36" s="78" t="s">
        <v>31</v>
      </c>
      <c r="Y36" s="78" t="s">
        <v>33</v>
      </c>
      <c r="Z36" s="68"/>
    </row>
    <row r="37" spans="1:26" x14ac:dyDescent="0.25">
      <c r="B37" s="15">
        <f t="shared" si="1"/>
        <v>44926</v>
      </c>
      <c r="C37" s="47"/>
      <c r="D37" s="48"/>
      <c r="E37" s="49"/>
      <c r="F37" s="50"/>
      <c r="G37" s="47"/>
      <c r="H37" s="48"/>
      <c r="I37" s="47"/>
      <c r="J37" s="48"/>
      <c r="K37" s="56">
        <f t="shared" si="3"/>
        <v>0</v>
      </c>
      <c r="L37" s="54"/>
      <c r="M37" s="55">
        <f t="shared" si="0"/>
        <v>0</v>
      </c>
      <c r="O37" s="78"/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1240000</v>
      </c>
      <c r="D39" s="25">
        <f>SUM(D7:D38)</f>
        <v>3565000</v>
      </c>
      <c r="E39" s="24">
        <f t="shared" ref="E39:J39" si="4">SUM(E7:E38)</f>
        <v>2490000</v>
      </c>
      <c r="F39" s="59">
        <f t="shared" si="4"/>
        <v>4244000</v>
      </c>
      <c r="G39" s="24">
        <f t="shared" si="4"/>
        <v>1140000</v>
      </c>
      <c r="H39" s="25">
        <f t="shared" si="4"/>
        <v>820000</v>
      </c>
      <c r="I39" s="24">
        <f t="shared" si="4"/>
        <v>0</v>
      </c>
      <c r="J39" s="25">
        <f t="shared" si="4"/>
        <v>19500</v>
      </c>
      <c r="K39" s="28">
        <f>SUM(K7:K38)</f>
        <v>13518500</v>
      </c>
      <c r="L39" s="27">
        <f>SUM(L7:L38)</f>
        <v>13593500</v>
      </c>
      <c r="M39" s="26">
        <f>L39-K39</f>
        <v>75000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4805000</v>
      </c>
      <c r="D40" s="268"/>
      <c r="E40" s="267">
        <f>SUM(E39:F39)</f>
        <v>6734000</v>
      </c>
      <c r="F40" s="269"/>
      <c r="G40" s="267">
        <f>SUM(G39:H39)</f>
        <v>1960000</v>
      </c>
      <c r="H40" s="268"/>
      <c r="I40" s="267">
        <f>SUM(I39:J39)</f>
        <v>19500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44895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8000</v>
      </c>
      <c r="K45" s="3">
        <f>SUM(C45:J45)</f>
        <v>8000</v>
      </c>
      <c r="L45" s="3">
        <v>8000</v>
      </c>
      <c r="M45" s="3">
        <f>L45-K45</f>
        <v>0</v>
      </c>
      <c r="N45" s="85">
        <v>44896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44926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0</v>
      </c>
      <c r="L48" s="3">
        <v>0</v>
      </c>
      <c r="M48" s="3">
        <f>L48-K48</f>
        <v>0</v>
      </c>
      <c r="N48" s="85">
        <v>44927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0</v>
      </c>
      <c r="E50" s="262">
        <f>F45+F46-F47-F48</f>
        <v>0</v>
      </c>
      <c r="F50" s="263"/>
      <c r="G50" s="262">
        <f>H45+H46-H47-H48</f>
        <v>0</v>
      </c>
      <c r="H50" s="263"/>
      <c r="I50" s="262">
        <f>J45+J46-J47-J48</f>
        <v>8000</v>
      </c>
      <c r="J50" s="263"/>
    </row>
    <row r="51" spans="2:24" x14ac:dyDescent="0.25">
      <c r="B51" s="264" t="s">
        <v>12</v>
      </c>
      <c r="C51" s="264"/>
      <c r="D51" s="31">
        <f>D39+D50</f>
        <v>3565000</v>
      </c>
      <c r="E51" s="265">
        <f>F39+E50</f>
        <v>4244000</v>
      </c>
      <c r="F51" s="266"/>
      <c r="G51" s="265">
        <f>H39+G50</f>
        <v>820000</v>
      </c>
      <c r="H51" s="266"/>
      <c r="I51" s="265">
        <f>J39+I50</f>
        <v>27500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8656500</v>
      </c>
      <c r="E52" s="258"/>
      <c r="F52" s="258"/>
      <c r="G52" s="258"/>
      <c r="H52" s="258"/>
      <c r="I52" s="90"/>
      <c r="J52" s="90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55257.5</v>
      </c>
      <c r="N54" s="87">
        <v>1.55E-2</v>
      </c>
      <c r="W54" s="4"/>
    </row>
    <row r="55" spans="2:24" x14ac:dyDescent="0.25">
      <c r="B55" s="72" t="s">
        <v>13</v>
      </c>
      <c r="C55" s="34">
        <f>C39+G39+E39+I39</f>
        <v>4870000</v>
      </c>
      <c r="D55" s="34">
        <f>D39+H39+F39+J39</f>
        <v>8648500</v>
      </c>
      <c r="E55" s="58"/>
      <c r="F55" s="58"/>
      <c r="K55" s="63" t="s">
        <v>25</v>
      </c>
      <c r="L55" s="64">
        <f>E51*0.0155</f>
        <v>65782</v>
      </c>
      <c r="N55" s="88"/>
      <c r="X55" s="71"/>
    </row>
    <row r="56" spans="2:24" x14ac:dyDescent="0.25">
      <c r="C56" s="259">
        <f>SUM(C55:D55)</f>
        <v>13518500</v>
      </c>
      <c r="D56" s="260"/>
      <c r="E56" s="57"/>
      <c r="F56" s="57"/>
      <c r="K56" s="63" t="s">
        <v>28</v>
      </c>
      <c r="L56" s="64">
        <f>G51*0.0155</f>
        <v>12710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426.25</v>
      </c>
      <c r="W57" s="4"/>
    </row>
    <row r="58" spans="2:24" x14ac:dyDescent="0.25">
      <c r="J58" t="s">
        <v>3</v>
      </c>
      <c r="L58" s="64">
        <f>SUM(L54:L57)</f>
        <v>134175.75</v>
      </c>
      <c r="W58" s="4"/>
    </row>
    <row r="59" spans="2:24" x14ac:dyDescent="0.25">
      <c r="B59" s="1" t="s">
        <v>19</v>
      </c>
      <c r="C59" s="259">
        <f>C39+D52+E39+G39+I39</f>
        <v>13526500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1"/>
  <sheetViews>
    <sheetView topLeftCell="A7" workbookViewId="0">
      <selection activeCell="O18" sqref="O18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44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44927</v>
      </c>
      <c r="C7" s="45">
        <v>0</v>
      </c>
      <c r="D7" s="46">
        <v>0</v>
      </c>
      <c r="E7" s="45">
        <v>0</v>
      </c>
      <c r="F7" s="46">
        <v>0</v>
      </c>
      <c r="G7" s="69">
        <v>0</v>
      </c>
      <c r="H7" s="70">
        <v>0</v>
      </c>
      <c r="I7" s="69">
        <v>0</v>
      </c>
      <c r="J7" s="70">
        <v>0</v>
      </c>
      <c r="K7" s="56">
        <f>SUM(C7:H7)</f>
        <v>0</v>
      </c>
      <c r="L7" s="52">
        <v>0</v>
      </c>
      <c r="M7" s="53">
        <f t="shared" ref="M7:M37" si="0">L7-K7</f>
        <v>0</v>
      </c>
      <c r="V7" s="68"/>
      <c r="W7" s="68"/>
      <c r="X7" s="78"/>
      <c r="Y7" s="68"/>
      <c r="Z7" s="68"/>
    </row>
    <row r="8" spans="2:26" x14ac:dyDescent="0.25">
      <c r="B8" s="15">
        <f t="shared" ref="B8:B37" si="1">B7+1</f>
        <v>44928</v>
      </c>
      <c r="C8" s="43">
        <v>0</v>
      </c>
      <c r="D8" s="46">
        <v>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>SUM(C8:J8)</f>
        <v>0</v>
      </c>
      <c r="L8" s="52">
        <v>0</v>
      </c>
      <c r="M8" s="53">
        <f t="shared" si="0"/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44929</v>
      </c>
      <c r="C9" s="45">
        <v>0</v>
      </c>
      <c r="D9" s="44">
        <v>0</v>
      </c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56">
        <f>SUM(C9:J9)</f>
        <v>0</v>
      </c>
      <c r="L9" s="51">
        <v>0</v>
      </c>
      <c r="M9" s="53">
        <f t="shared" si="0"/>
        <v>0</v>
      </c>
      <c r="V9" s="67"/>
      <c r="W9" s="67"/>
      <c r="X9" s="78"/>
      <c r="Y9" s="78"/>
      <c r="Z9" s="68"/>
    </row>
    <row r="10" spans="2:26" x14ac:dyDescent="0.25">
      <c r="B10" s="15">
        <f t="shared" si="1"/>
        <v>44930</v>
      </c>
      <c r="C10" s="43">
        <v>0</v>
      </c>
      <c r="D10" s="46">
        <v>0</v>
      </c>
      <c r="E10" s="45">
        <v>420000</v>
      </c>
      <c r="F10" s="46">
        <v>0</v>
      </c>
      <c r="G10" s="43">
        <v>350000</v>
      </c>
      <c r="H10" s="46">
        <v>0</v>
      </c>
      <c r="I10" s="43">
        <v>0</v>
      </c>
      <c r="J10" s="46">
        <v>0</v>
      </c>
      <c r="K10" s="56">
        <f>SUM(C10:J10)</f>
        <v>770000</v>
      </c>
      <c r="L10" s="52">
        <v>770000</v>
      </c>
      <c r="M10" s="53">
        <f t="shared" si="0"/>
        <v>0</v>
      </c>
      <c r="N10" s="68" t="s">
        <v>45</v>
      </c>
      <c r="V10" s="67"/>
      <c r="W10" s="68" t="s">
        <v>39</v>
      </c>
      <c r="X10" s="78"/>
      <c r="Y10" s="78"/>
      <c r="Z10" s="68"/>
    </row>
    <row r="11" spans="2:26" x14ac:dyDescent="0.25">
      <c r="B11" s="15">
        <f t="shared" si="1"/>
        <v>44931</v>
      </c>
      <c r="C11" s="45">
        <v>0</v>
      </c>
      <c r="D11" s="46">
        <v>0</v>
      </c>
      <c r="E11" s="45">
        <v>670000</v>
      </c>
      <c r="F11" s="46">
        <v>280000</v>
      </c>
      <c r="G11" s="45">
        <v>0</v>
      </c>
      <c r="H11" s="46">
        <v>0</v>
      </c>
      <c r="I11" s="45">
        <v>0</v>
      </c>
      <c r="J11" s="46">
        <v>0</v>
      </c>
      <c r="K11" s="56">
        <f>SUM(C11:J11)</f>
        <v>950000</v>
      </c>
      <c r="L11" s="52">
        <v>950000</v>
      </c>
      <c r="M11" s="53">
        <f t="shared" si="0"/>
        <v>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44932</v>
      </c>
      <c r="C12" s="45">
        <v>700000</v>
      </c>
      <c r="D12" s="46">
        <v>0</v>
      </c>
      <c r="E12" s="45">
        <v>0</v>
      </c>
      <c r="F12" s="46">
        <v>400000</v>
      </c>
      <c r="G12" s="45">
        <v>0</v>
      </c>
      <c r="H12" s="46">
        <v>0</v>
      </c>
      <c r="I12" s="45">
        <v>0</v>
      </c>
      <c r="J12" s="46">
        <v>0</v>
      </c>
      <c r="K12" s="56">
        <f>SUM(C12:J12)</f>
        <v>1100000</v>
      </c>
      <c r="L12" s="51">
        <v>1100000</v>
      </c>
      <c r="M12" s="53">
        <f t="shared" si="0"/>
        <v>0</v>
      </c>
      <c r="V12" s="68"/>
      <c r="W12" s="67" t="s">
        <v>32</v>
      </c>
      <c r="X12" s="78"/>
      <c r="Y12" s="78"/>
      <c r="Z12" s="68"/>
    </row>
    <row r="13" spans="2:26" x14ac:dyDescent="0.25">
      <c r="B13" s="15">
        <f t="shared" si="1"/>
        <v>44933</v>
      </c>
      <c r="C13" s="45">
        <v>0</v>
      </c>
      <c r="D13" s="46">
        <v>0</v>
      </c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56">
        <f t="shared" ref="K13:K26" si="2">SUM(C13:J13)</f>
        <v>0</v>
      </c>
      <c r="L13" s="52">
        <v>0</v>
      </c>
      <c r="M13" s="53">
        <f t="shared" si="0"/>
        <v>0</v>
      </c>
      <c r="P13" s="67"/>
      <c r="V13" s="68"/>
      <c r="W13" s="68" t="s">
        <v>45</v>
      </c>
      <c r="Y13" s="79"/>
      <c r="Z13" s="68"/>
    </row>
    <row r="14" spans="2:26" x14ac:dyDescent="0.25">
      <c r="B14" s="15">
        <f t="shared" si="1"/>
        <v>44934</v>
      </c>
      <c r="C14" s="43">
        <v>0</v>
      </c>
      <c r="D14" s="46">
        <v>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46">
        <v>0</v>
      </c>
      <c r="K14" s="56">
        <f t="shared" si="2"/>
        <v>0</v>
      </c>
      <c r="L14" s="52">
        <v>0</v>
      </c>
      <c r="M14" s="53">
        <f t="shared" si="0"/>
        <v>0</v>
      </c>
      <c r="V14" s="68"/>
      <c r="W14" s="67" t="s">
        <v>34</v>
      </c>
      <c r="X14" s="68"/>
      <c r="Y14" s="78"/>
      <c r="Z14" s="68"/>
    </row>
    <row r="15" spans="2:26" x14ac:dyDescent="0.25">
      <c r="B15" s="15">
        <f t="shared" si="1"/>
        <v>44935</v>
      </c>
      <c r="C15" s="45">
        <v>500000</v>
      </c>
      <c r="D15" s="46">
        <v>0</v>
      </c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2"/>
        <v>500000</v>
      </c>
      <c r="L15" s="51">
        <v>500000</v>
      </c>
      <c r="M15" s="53">
        <f t="shared" si="0"/>
        <v>0</v>
      </c>
      <c r="R15" s="80"/>
      <c r="S15" s="80"/>
      <c r="T15" s="80"/>
      <c r="U15" s="80"/>
      <c r="W15" s="67"/>
      <c r="X15" s="80"/>
      <c r="Y15" s="80"/>
      <c r="Z15" s="80"/>
    </row>
    <row r="16" spans="2:26" x14ac:dyDescent="0.25">
      <c r="B16" s="15">
        <f t="shared" si="1"/>
        <v>44936</v>
      </c>
      <c r="C16" s="43">
        <v>390000</v>
      </c>
      <c r="D16" s="46">
        <v>750000</v>
      </c>
      <c r="E16" s="45">
        <v>0</v>
      </c>
      <c r="F16" s="46">
        <v>0</v>
      </c>
      <c r="G16" s="43">
        <v>0</v>
      </c>
      <c r="H16" s="46">
        <v>0</v>
      </c>
      <c r="I16" s="43">
        <v>0</v>
      </c>
      <c r="J16" s="46">
        <v>0</v>
      </c>
      <c r="K16" s="56">
        <f>SUM(C16:J16)</f>
        <v>1140000</v>
      </c>
      <c r="L16" s="52">
        <v>1140000</v>
      </c>
      <c r="M16" s="53">
        <f t="shared" si="0"/>
        <v>0</v>
      </c>
      <c r="O16" s="78"/>
      <c r="R16" s="80"/>
      <c r="S16" s="80"/>
      <c r="T16" s="80"/>
      <c r="U16" s="80"/>
      <c r="V16" s="65"/>
      <c r="W16" s="68"/>
      <c r="X16" s="68"/>
      <c r="Y16" s="80"/>
      <c r="Z16" s="80"/>
    </row>
    <row r="17" spans="2:26" x14ac:dyDescent="0.25">
      <c r="B17" s="15">
        <f t="shared" si="1"/>
        <v>44937</v>
      </c>
      <c r="C17" s="45">
        <v>0</v>
      </c>
      <c r="D17" s="46">
        <v>550000</v>
      </c>
      <c r="E17" s="43">
        <v>0</v>
      </c>
      <c r="F17" s="44">
        <v>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2"/>
        <v>550000</v>
      </c>
      <c r="L17" s="52">
        <v>550000</v>
      </c>
      <c r="M17" s="53">
        <f t="shared" si="0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44938</v>
      </c>
      <c r="C18" s="43">
        <v>0</v>
      </c>
      <c r="D18" s="46">
        <v>0</v>
      </c>
      <c r="E18" s="45">
        <v>360000</v>
      </c>
      <c r="F18" s="46">
        <v>790000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2"/>
        <v>1150000</v>
      </c>
      <c r="L18" s="51">
        <v>1665000</v>
      </c>
      <c r="M18" s="53">
        <f t="shared" si="0"/>
        <v>515000</v>
      </c>
      <c r="O18" s="68" t="s">
        <v>46</v>
      </c>
      <c r="V18" s="67"/>
      <c r="W18" s="81"/>
      <c r="X18" s="78"/>
      <c r="Y18" s="78"/>
      <c r="Z18" s="68"/>
    </row>
    <row r="19" spans="2:26" x14ac:dyDescent="0.25">
      <c r="B19" s="15">
        <f t="shared" si="1"/>
        <v>44939</v>
      </c>
      <c r="C19" s="45">
        <v>0</v>
      </c>
      <c r="D19" s="46">
        <v>0</v>
      </c>
      <c r="E19" s="45">
        <v>0</v>
      </c>
      <c r="F19" s="46">
        <f>205000+340000</f>
        <v>545000</v>
      </c>
      <c r="G19" s="45">
        <v>0</v>
      </c>
      <c r="H19" s="46">
        <v>20000</v>
      </c>
      <c r="I19" s="45">
        <v>0</v>
      </c>
      <c r="J19" s="46">
        <v>0</v>
      </c>
      <c r="K19" s="56">
        <f t="shared" si="2"/>
        <v>565000</v>
      </c>
      <c r="L19" s="52">
        <v>565000</v>
      </c>
      <c r="M19" s="53">
        <f t="shared" si="0"/>
        <v>0</v>
      </c>
      <c r="N19" s="68" t="s">
        <v>30</v>
      </c>
      <c r="V19" s="67"/>
      <c r="W19" s="67"/>
      <c r="X19" s="78"/>
      <c r="Y19" s="78"/>
      <c r="Z19" s="68"/>
    </row>
    <row r="20" spans="2:26" x14ac:dyDescent="0.25">
      <c r="B20" s="15">
        <f t="shared" si="1"/>
        <v>44940</v>
      </c>
      <c r="C20" s="45">
        <v>0</v>
      </c>
      <c r="D20" s="44">
        <v>0</v>
      </c>
      <c r="E20" s="45">
        <v>0</v>
      </c>
      <c r="F20" s="46">
        <f>390000+530000</f>
        <v>920000</v>
      </c>
      <c r="G20" s="45">
        <v>0</v>
      </c>
      <c r="H20" s="46">
        <v>0</v>
      </c>
      <c r="I20" s="45">
        <v>0</v>
      </c>
      <c r="J20" s="46">
        <v>0</v>
      </c>
      <c r="K20" s="56">
        <f t="shared" si="2"/>
        <v>920000</v>
      </c>
      <c r="L20" s="52">
        <v>920000</v>
      </c>
      <c r="M20" s="53">
        <f t="shared" si="0"/>
        <v>0</v>
      </c>
      <c r="V20" s="67"/>
      <c r="W20" s="67"/>
      <c r="Y20" s="78"/>
      <c r="Z20" s="68"/>
    </row>
    <row r="21" spans="2:26" x14ac:dyDescent="0.25">
      <c r="B21" s="15">
        <f>B20+1</f>
        <v>44941</v>
      </c>
      <c r="C21" s="45">
        <v>0</v>
      </c>
      <c r="D21" s="46">
        <v>0</v>
      </c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56">
        <f t="shared" si="2"/>
        <v>0</v>
      </c>
      <c r="L21" s="51">
        <v>0</v>
      </c>
      <c r="M21" s="53">
        <f t="shared" si="0"/>
        <v>0</v>
      </c>
      <c r="X21" s="78"/>
      <c r="Y21" s="78"/>
      <c r="Z21" s="68"/>
    </row>
    <row r="22" spans="2:26" x14ac:dyDescent="0.25">
      <c r="B22" s="15">
        <f t="shared" si="1"/>
        <v>44942</v>
      </c>
      <c r="C22" s="45">
        <v>390000</v>
      </c>
      <c r="D22" s="46">
        <v>0</v>
      </c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56">
        <f t="shared" si="2"/>
        <v>390000</v>
      </c>
      <c r="L22" s="52">
        <v>390000</v>
      </c>
      <c r="M22" s="53">
        <f t="shared" si="0"/>
        <v>0</v>
      </c>
      <c r="W22" s="67"/>
      <c r="X22" s="78"/>
      <c r="Y22" s="78"/>
      <c r="Z22" s="68"/>
    </row>
    <row r="23" spans="2:26" x14ac:dyDescent="0.25">
      <c r="B23" s="15">
        <f t="shared" si="1"/>
        <v>44943</v>
      </c>
      <c r="C23" s="45">
        <v>0</v>
      </c>
      <c r="D23" s="46">
        <v>210000</v>
      </c>
      <c r="E23" s="45">
        <v>0</v>
      </c>
      <c r="F23" s="46">
        <f>330000+30000</f>
        <v>360000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2"/>
        <v>570000</v>
      </c>
      <c r="L23" s="52">
        <v>570000</v>
      </c>
      <c r="M23" s="53">
        <f t="shared" si="0"/>
        <v>0</v>
      </c>
      <c r="W23" s="67"/>
      <c r="X23" s="78"/>
      <c r="Y23" s="78"/>
      <c r="Z23" s="68"/>
    </row>
    <row r="24" spans="2:26" x14ac:dyDescent="0.25">
      <c r="B24" s="15">
        <f t="shared" si="1"/>
        <v>44944</v>
      </c>
      <c r="C24" s="43">
        <v>0</v>
      </c>
      <c r="D24" s="46">
        <v>0</v>
      </c>
      <c r="E24" s="45">
        <v>99000</v>
      </c>
      <c r="F24" s="46">
        <v>420000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2"/>
        <v>519000</v>
      </c>
      <c r="L24" s="51">
        <v>519000</v>
      </c>
      <c r="M24" s="53">
        <f t="shared" si="0"/>
        <v>0</v>
      </c>
      <c r="V24" s="67"/>
      <c r="W24" s="67"/>
      <c r="Y24" s="78"/>
      <c r="Z24" s="68"/>
    </row>
    <row r="25" spans="2:26" x14ac:dyDescent="0.25">
      <c r="B25" s="15">
        <f t="shared" si="1"/>
        <v>44945</v>
      </c>
      <c r="C25" s="45">
        <v>0</v>
      </c>
      <c r="D25" s="46">
        <f>390000+50000</f>
        <v>440000</v>
      </c>
      <c r="E25" s="45">
        <v>0</v>
      </c>
      <c r="F25" s="46">
        <v>50000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2"/>
        <v>490000</v>
      </c>
      <c r="L25" s="52">
        <v>490000</v>
      </c>
      <c r="M25" s="53">
        <f t="shared" si="0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44946</v>
      </c>
      <c r="C26" s="43">
        <v>0</v>
      </c>
      <c r="D26" s="46">
        <f>490000+525000</f>
        <v>1015000</v>
      </c>
      <c r="E26" s="45">
        <v>0</v>
      </c>
      <c r="F26" s="46">
        <f>35000+350000</f>
        <v>385000</v>
      </c>
      <c r="G26" s="43">
        <v>0</v>
      </c>
      <c r="H26" s="46">
        <v>0</v>
      </c>
      <c r="I26" s="43">
        <v>0</v>
      </c>
      <c r="J26" s="46">
        <v>41100</v>
      </c>
      <c r="K26" s="56">
        <f t="shared" si="2"/>
        <v>1441100</v>
      </c>
      <c r="L26" s="52">
        <v>1460100</v>
      </c>
      <c r="M26" s="53">
        <f t="shared" si="0"/>
        <v>19000</v>
      </c>
      <c r="O26" s="68" t="s">
        <v>47</v>
      </c>
      <c r="W26" s="67"/>
      <c r="X26" s="78"/>
      <c r="Y26" s="78"/>
      <c r="Z26" s="68"/>
    </row>
    <row r="27" spans="2:26" x14ac:dyDescent="0.25">
      <c r="B27" s="15">
        <f t="shared" si="1"/>
        <v>44947</v>
      </c>
      <c r="C27" s="45">
        <v>0</v>
      </c>
      <c r="D27" s="46">
        <v>0</v>
      </c>
      <c r="E27" s="45">
        <v>0</v>
      </c>
      <c r="F27" s="46">
        <v>0</v>
      </c>
      <c r="G27" s="45">
        <v>0</v>
      </c>
      <c r="H27" s="46">
        <v>262500</v>
      </c>
      <c r="I27" s="45">
        <v>0</v>
      </c>
      <c r="J27" s="46">
        <v>4000</v>
      </c>
      <c r="K27" s="56">
        <f t="shared" ref="K27:K37" si="3">SUM(C27:J27)</f>
        <v>266500</v>
      </c>
      <c r="L27" s="51">
        <v>266500</v>
      </c>
      <c r="M27" s="53">
        <f t="shared" si="0"/>
        <v>0</v>
      </c>
      <c r="N27" s="68" t="s">
        <v>30</v>
      </c>
      <c r="O27" s="68" t="s">
        <v>33</v>
      </c>
      <c r="W27" s="68"/>
      <c r="X27" s="78"/>
      <c r="Y27" s="68"/>
      <c r="Z27" s="68"/>
    </row>
    <row r="28" spans="2:26" x14ac:dyDescent="0.25">
      <c r="B28" s="15">
        <f t="shared" si="1"/>
        <v>44948</v>
      </c>
      <c r="C28" s="43">
        <v>0</v>
      </c>
      <c r="D28" s="46">
        <v>0</v>
      </c>
      <c r="E28" s="45">
        <v>0</v>
      </c>
      <c r="F28" s="46">
        <v>0</v>
      </c>
      <c r="G28" s="43">
        <v>0</v>
      </c>
      <c r="H28" s="46">
        <v>0</v>
      </c>
      <c r="I28" s="43">
        <v>0</v>
      </c>
      <c r="J28" s="46">
        <v>0</v>
      </c>
      <c r="K28" s="56">
        <f>SUM(C28:J28)</f>
        <v>0</v>
      </c>
      <c r="L28" s="52">
        <v>0</v>
      </c>
      <c r="M28" s="53">
        <f t="shared" si="0"/>
        <v>0</v>
      </c>
      <c r="W28" s="68"/>
      <c r="X28" s="67" t="s">
        <v>36</v>
      </c>
      <c r="Y28" s="68"/>
      <c r="Z28" s="68"/>
    </row>
    <row r="29" spans="2:26" x14ac:dyDescent="0.25">
      <c r="B29" s="15">
        <f t="shared" si="1"/>
        <v>44949</v>
      </c>
      <c r="C29" s="45">
        <v>515000</v>
      </c>
      <c r="D29" s="46">
        <v>0</v>
      </c>
      <c r="E29" s="45">
        <v>0</v>
      </c>
      <c r="F29" s="46">
        <f>225000+360000+340000</f>
        <v>925000</v>
      </c>
      <c r="G29" s="45">
        <v>0</v>
      </c>
      <c r="H29" s="46">
        <v>0</v>
      </c>
      <c r="I29" s="45">
        <v>0</v>
      </c>
      <c r="J29" s="46">
        <v>0</v>
      </c>
      <c r="K29" s="56">
        <f>SUM(C29:J29)</f>
        <v>1440000</v>
      </c>
      <c r="L29" s="52">
        <v>1440000</v>
      </c>
      <c r="M29" s="53">
        <f t="shared" si="0"/>
        <v>0</v>
      </c>
      <c r="W29" s="67"/>
      <c r="X29" s="78"/>
      <c r="Y29" s="78"/>
      <c r="Z29" s="68"/>
    </row>
    <row r="30" spans="2:26" x14ac:dyDescent="0.25">
      <c r="B30" s="15">
        <f t="shared" si="1"/>
        <v>44950</v>
      </c>
      <c r="C30" s="43">
        <v>0</v>
      </c>
      <c r="D30" s="46">
        <v>190000</v>
      </c>
      <c r="E30" s="45">
        <v>0</v>
      </c>
      <c r="F30" s="46">
        <v>0</v>
      </c>
      <c r="G30" s="43">
        <v>0</v>
      </c>
      <c r="H30" s="46">
        <v>0</v>
      </c>
      <c r="I30" s="43">
        <v>0</v>
      </c>
      <c r="J30" s="46">
        <v>0</v>
      </c>
      <c r="K30" s="56">
        <f t="shared" si="3"/>
        <v>190000</v>
      </c>
      <c r="L30" s="51">
        <v>190000</v>
      </c>
      <c r="M30" s="53">
        <f t="shared" si="0"/>
        <v>0</v>
      </c>
      <c r="W30" s="67"/>
      <c r="X30" s="78"/>
      <c r="Y30" s="78"/>
      <c r="Z30" s="68"/>
    </row>
    <row r="31" spans="2:26" x14ac:dyDescent="0.25">
      <c r="B31" s="15">
        <f t="shared" si="1"/>
        <v>44951</v>
      </c>
      <c r="C31" s="43">
        <v>580000</v>
      </c>
      <c r="D31" s="46">
        <v>10000</v>
      </c>
      <c r="E31" s="45">
        <v>0</v>
      </c>
      <c r="F31" s="46">
        <f>600000</f>
        <v>600000</v>
      </c>
      <c r="G31" s="43">
        <v>0</v>
      </c>
      <c r="H31" s="46">
        <v>0</v>
      </c>
      <c r="I31" s="43">
        <v>0</v>
      </c>
      <c r="J31" s="46">
        <v>15000</v>
      </c>
      <c r="K31" s="56">
        <f t="shared" si="3"/>
        <v>1205000</v>
      </c>
      <c r="L31" s="52">
        <v>1205000</v>
      </c>
      <c r="M31" s="53">
        <f t="shared" si="0"/>
        <v>0</v>
      </c>
      <c r="O31" s="78" t="s">
        <v>31</v>
      </c>
      <c r="W31" s="68"/>
      <c r="X31" s="78"/>
      <c r="Y31" s="78"/>
      <c r="Z31" s="67" t="s">
        <v>35</v>
      </c>
    </row>
    <row r="32" spans="2:26" x14ac:dyDescent="0.25">
      <c r="B32" s="15">
        <f t="shared" si="1"/>
        <v>44952</v>
      </c>
      <c r="C32" s="43">
        <v>0</v>
      </c>
      <c r="D32" s="46">
        <v>440000</v>
      </c>
      <c r="E32" s="43">
        <v>0</v>
      </c>
      <c r="F32" s="46">
        <f>340000+330000</f>
        <v>670000</v>
      </c>
      <c r="G32" s="43">
        <v>0</v>
      </c>
      <c r="H32" s="46">
        <v>0</v>
      </c>
      <c r="I32" s="43">
        <v>0</v>
      </c>
      <c r="J32" s="46">
        <v>0</v>
      </c>
      <c r="K32" s="56">
        <f t="shared" si="3"/>
        <v>1110000</v>
      </c>
      <c r="L32" s="52">
        <v>1110000</v>
      </c>
      <c r="M32" s="53">
        <f t="shared" si="0"/>
        <v>0</v>
      </c>
      <c r="W32" s="68"/>
      <c r="X32" s="67" t="s">
        <v>37</v>
      </c>
      <c r="Y32" s="78"/>
      <c r="Z32" s="68"/>
    </row>
    <row r="33" spans="1:26" x14ac:dyDescent="0.25">
      <c r="B33" s="15">
        <f t="shared" si="1"/>
        <v>44953</v>
      </c>
      <c r="C33" s="45">
        <v>670000</v>
      </c>
      <c r="D33" s="46">
        <v>0</v>
      </c>
      <c r="E33" s="45">
        <v>0</v>
      </c>
      <c r="F33" s="46">
        <v>500000</v>
      </c>
      <c r="G33" s="45">
        <v>0</v>
      </c>
      <c r="H33" s="46">
        <v>0</v>
      </c>
      <c r="I33" s="45">
        <v>0</v>
      </c>
      <c r="J33" s="46">
        <v>0</v>
      </c>
      <c r="K33" s="56">
        <f t="shared" si="3"/>
        <v>1170000</v>
      </c>
      <c r="L33" s="51">
        <v>1170000</v>
      </c>
      <c r="M33" s="53">
        <f t="shared" si="0"/>
        <v>0</v>
      </c>
      <c r="W33" s="68"/>
      <c r="X33" s="78"/>
      <c r="Y33" s="78"/>
      <c r="Z33" s="68"/>
    </row>
    <row r="34" spans="1:26" x14ac:dyDescent="0.25">
      <c r="B34" s="15">
        <f t="shared" si="1"/>
        <v>44954</v>
      </c>
      <c r="C34" s="45">
        <v>0</v>
      </c>
      <c r="D34" s="46">
        <v>0</v>
      </c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46">
        <v>0</v>
      </c>
      <c r="K34" s="56">
        <f t="shared" si="3"/>
        <v>0</v>
      </c>
      <c r="L34" s="52">
        <v>0</v>
      </c>
      <c r="M34" s="53">
        <f t="shared" si="0"/>
        <v>0</v>
      </c>
      <c r="W34" s="68"/>
      <c r="X34" s="78"/>
      <c r="Y34" s="78"/>
      <c r="Z34" s="68"/>
    </row>
    <row r="35" spans="1:26" x14ac:dyDescent="0.25">
      <c r="B35" s="15">
        <f t="shared" si="1"/>
        <v>44955</v>
      </c>
      <c r="C35" s="47">
        <v>0</v>
      </c>
      <c r="D35" s="48">
        <v>0</v>
      </c>
      <c r="E35" s="49">
        <v>0</v>
      </c>
      <c r="F35" s="50">
        <v>0</v>
      </c>
      <c r="G35" s="47">
        <v>0</v>
      </c>
      <c r="H35" s="48">
        <v>0</v>
      </c>
      <c r="I35" s="47">
        <v>0</v>
      </c>
      <c r="J35" s="48">
        <v>0</v>
      </c>
      <c r="K35" s="56">
        <f t="shared" si="3"/>
        <v>0</v>
      </c>
      <c r="L35" s="54">
        <v>0</v>
      </c>
      <c r="M35" s="55">
        <f t="shared" si="0"/>
        <v>0</v>
      </c>
      <c r="W35" s="68"/>
      <c r="X35" s="78"/>
      <c r="Y35" s="78"/>
      <c r="Z35" s="68"/>
    </row>
    <row r="36" spans="1:26" x14ac:dyDescent="0.25">
      <c r="B36" s="15">
        <f t="shared" si="1"/>
        <v>44956</v>
      </c>
      <c r="C36" s="47">
        <v>0</v>
      </c>
      <c r="D36" s="48">
        <v>830000</v>
      </c>
      <c r="E36" s="49">
        <v>0</v>
      </c>
      <c r="F36" s="50">
        <v>0</v>
      </c>
      <c r="G36" s="47">
        <v>0</v>
      </c>
      <c r="H36" s="48">
        <v>0</v>
      </c>
      <c r="I36" s="47">
        <v>0</v>
      </c>
      <c r="J36" s="48">
        <v>0</v>
      </c>
      <c r="K36" s="56">
        <f t="shared" si="3"/>
        <v>830000</v>
      </c>
      <c r="L36" s="54">
        <v>830000</v>
      </c>
      <c r="M36" s="55">
        <f t="shared" si="0"/>
        <v>0</v>
      </c>
      <c r="W36" s="68"/>
      <c r="X36" s="78" t="s">
        <v>31</v>
      </c>
      <c r="Y36" s="78" t="s">
        <v>33</v>
      </c>
      <c r="Z36" s="68"/>
    </row>
    <row r="37" spans="1:26" x14ac:dyDescent="0.25">
      <c r="B37" s="15">
        <f t="shared" si="1"/>
        <v>44957</v>
      </c>
      <c r="C37" s="47">
        <v>0</v>
      </c>
      <c r="D37" s="48">
        <v>0</v>
      </c>
      <c r="E37" s="49">
        <v>0</v>
      </c>
      <c r="F37" s="50">
        <v>545000</v>
      </c>
      <c r="G37" s="47">
        <v>0</v>
      </c>
      <c r="H37" s="48">
        <v>0</v>
      </c>
      <c r="I37" s="47">
        <v>0</v>
      </c>
      <c r="J37" s="48">
        <v>0</v>
      </c>
      <c r="K37" s="56">
        <f t="shared" si="3"/>
        <v>545000</v>
      </c>
      <c r="L37" s="54">
        <v>545000</v>
      </c>
      <c r="M37" s="55">
        <f t="shared" si="0"/>
        <v>0</v>
      </c>
      <c r="O37" s="78"/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3745000</v>
      </c>
      <c r="D39" s="25">
        <f>SUM(D7:D38)</f>
        <v>4435000</v>
      </c>
      <c r="E39" s="24">
        <f t="shared" ref="E39:J39" si="4">SUM(E7:E38)</f>
        <v>1549000</v>
      </c>
      <c r="F39" s="59">
        <f t="shared" si="4"/>
        <v>7390000</v>
      </c>
      <c r="G39" s="24">
        <f t="shared" si="4"/>
        <v>350000</v>
      </c>
      <c r="H39" s="25">
        <f t="shared" si="4"/>
        <v>282500</v>
      </c>
      <c r="I39" s="24">
        <f t="shared" si="4"/>
        <v>0</v>
      </c>
      <c r="J39" s="25">
        <f t="shared" si="4"/>
        <v>60100</v>
      </c>
      <c r="K39" s="28">
        <f>SUM(K7:K38)</f>
        <v>17811600</v>
      </c>
      <c r="L39" s="27">
        <f>SUM(L7:L38)</f>
        <v>18345600</v>
      </c>
      <c r="M39" s="26">
        <f>L39-K39</f>
        <v>534000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8180000</v>
      </c>
      <c r="D40" s="268"/>
      <c r="E40" s="267">
        <f>SUM(E39:F39)</f>
        <v>8939000</v>
      </c>
      <c r="F40" s="269"/>
      <c r="G40" s="267">
        <f>SUM(G39:H39)</f>
        <v>632500</v>
      </c>
      <c r="H40" s="268"/>
      <c r="I40" s="267">
        <f>SUM(I39:J39)</f>
        <v>60100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44926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0</v>
      </c>
      <c r="L45" s="3">
        <v>0</v>
      </c>
      <c r="M45" s="3">
        <f>L45-K45</f>
        <v>0</v>
      </c>
      <c r="N45" s="85">
        <v>44927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44957</v>
      </c>
      <c r="C48" s="3">
        <v>0</v>
      </c>
      <c r="D48" s="14">
        <v>0</v>
      </c>
      <c r="E48" s="3">
        <v>0</v>
      </c>
      <c r="F48" s="14">
        <v>545000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545000</v>
      </c>
      <c r="L48" s="3">
        <v>545000</v>
      </c>
      <c r="M48" s="3">
        <f>L48-K48</f>
        <v>0</v>
      </c>
      <c r="N48" s="85">
        <v>44958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0</v>
      </c>
      <c r="E50" s="262">
        <f>F45+F46-F47-F48</f>
        <v>-545000</v>
      </c>
      <c r="F50" s="263"/>
      <c r="G50" s="262">
        <f>H45+H46-H47-H48</f>
        <v>0</v>
      </c>
      <c r="H50" s="263"/>
      <c r="I50" s="262">
        <f>J45+J46-J47-J48</f>
        <v>0</v>
      </c>
      <c r="J50" s="263"/>
    </row>
    <row r="51" spans="2:24" x14ac:dyDescent="0.25">
      <c r="B51" s="264" t="s">
        <v>12</v>
      </c>
      <c r="C51" s="264"/>
      <c r="D51" s="31">
        <f>D39+D50</f>
        <v>4435000</v>
      </c>
      <c r="E51" s="265">
        <f>F39+E50</f>
        <v>6845000</v>
      </c>
      <c r="F51" s="266"/>
      <c r="G51" s="265">
        <f>H39+G50</f>
        <v>282500</v>
      </c>
      <c r="H51" s="266"/>
      <c r="I51" s="265">
        <f>J39+I50</f>
        <v>60100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11622600</v>
      </c>
      <c r="E52" s="258"/>
      <c r="F52" s="258"/>
      <c r="G52" s="258"/>
      <c r="H52" s="258"/>
      <c r="I52" s="92"/>
      <c r="J52" s="92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68742.5</v>
      </c>
      <c r="N54" s="87">
        <v>1.55E-2</v>
      </c>
      <c r="W54" s="4"/>
    </row>
    <row r="55" spans="2:24" x14ac:dyDescent="0.25">
      <c r="B55" s="72" t="s">
        <v>13</v>
      </c>
      <c r="C55" s="34">
        <f>C39+G39+E39+I39</f>
        <v>5644000</v>
      </c>
      <c r="D55" s="34">
        <f>D39+H39+F39+J39</f>
        <v>12167600</v>
      </c>
      <c r="E55" s="58"/>
      <c r="F55" s="58"/>
      <c r="K55" s="63" t="s">
        <v>25</v>
      </c>
      <c r="L55" s="64">
        <f>E51*0.0155</f>
        <v>106097.5</v>
      </c>
      <c r="N55" s="88"/>
      <c r="X55" s="71"/>
    </row>
    <row r="56" spans="2:24" x14ac:dyDescent="0.25">
      <c r="C56" s="259">
        <f>SUM(C55:D55)</f>
        <v>17811600</v>
      </c>
      <c r="D56" s="260"/>
      <c r="E56" s="57"/>
      <c r="F56" s="57"/>
      <c r="K56" s="63" t="s">
        <v>28</v>
      </c>
      <c r="L56" s="64">
        <f>G51*0.0155</f>
        <v>4378.75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931.55</v>
      </c>
      <c r="W57" s="4"/>
    </row>
    <row r="58" spans="2:24" x14ac:dyDescent="0.25">
      <c r="J58" t="s">
        <v>3</v>
      </c>
      <c r="L58" s="64">
        <f>SUM(L54:L57)</f>
        <v>180150.3</v>
      </c>
      <c r="W58" s="4"/>
    </row>
    <row r="59" spans="2:24" x14ac:dyDescent="0.25">
      <c r="B59" s="1" t="s">
        <v>19</v>
      </c>
      <c r="C59" s="259">
        <f>C39+D52+E39+G39+I39</f>
        <v>17266600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1"/>
  <sheetViews>
    <sheetView topLeftCell="A25" workbookViewId="0">
      <selection activeCell="P54" sqref="P54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48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44958</v>
      </c>
      <c r="C7" s="45">
        <v>0</v>
      </c>
      <c r="D7" s="46">
        <v>0</v>
      </c>
      <c r="E7" s="45">
        <v>0</v>
      </c>
      <c r="F7" s="46">
        <v>0</v>
      </c>
      <c r="G7" s="69">
        <v>0</v>
      </c>
      <c r="H7" s="70">
        <v>0</v>
      </c>
      <c r="I7" s="69">
        <v>0</v>
      </c>
      <c r="J7" s="70">
        <v>4000</v>
      </c>
      <c r="K7" s="56">
        <f t="shared" ref="K7:K12" si="0">SUM(C7:J7)</f>
        <v>4000</v>
      </c>
      <c r="L7" s="52">
        <v>4000</v>
      </c>
      <c r="M7" s="53">
        <f>L7-K7</f>
        <v>0</v>
      </c>
      <c r="O7" s="78" t="s">
        <v>33</v>
      </c>
      <c r="V7" s="68"/>
      <c r="W7" s="68"/>
      <c r="X7" s="78"/>
      <c r="Y7" s="68"/>
      <c r="Z7" s="68"/>
    </row>
    <row r="8" spans="2:26" x14ac:dyDescent="0.25">
      <c r="B8" s="15">
        <f t="shared" ref="B8:B34" si="1">B7+1</f>
        <v>44959</v>
      </c>
      <c r="C8" s="43">
        <v>135000</v>
      </c>
      <c r="D8" s="46">
        <v>15000</v>
      </c>
      <c r="E8" s="45">
        <v>0</v>
      </c>
      <c r="F8" s="46">
        <v>40000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190000</v>
      </c>
      <c r="L8" s="52">
        <v>190000</v>
      </c>
      <c r="M8" s="53">
        <f t="shared" ref="M8:M37" si="2">L8-K8</f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44960</v>
      </c>
      <c r="C9" s="45">
        <v>0</v>
      </c>
      <c r="D9" s="44">
        <v>490000</v>
      </c>
      <c r="E9" s="45">
        <v>0</v>
      </c>
      <c r="F9" s="46">
        <f>360000+400000</f>
        <v>760000</v>
      </c>
      <c r="G9" s="45">
        <v>0</v>
      </c>
      <c r="H9" s="46">
        <v>0</v>
      </c>
      <c r="I9" s="45">
        <v>3360</v>
      </c>
      <c r="J9" s="46">
        <v>0</v>
      </c>
      <c r="K9" s="56">
        <f t="shared" si="0"/>
        <v>1253360</v>
      </c>
      <c r="L9" s="51">
        <v>1253360</v>
      </c>
      <c r="M9" s="53">
        <f t="shared" si="2"/>
        <v>0</v>
      </c>
      <c r="O9" s="67" t="s">
        <v>49</v>
      </c>
      <c r="V9" s="67"/>
      <c r="W9" s="67"/>
      <c r="X9" s="78"/>
      <c r="Y9" s="78"/>
      <c r="Z9" s="68"/>
    </row>
    <row r="10" spans="2:26" x14ac:dyDescent="0.25">
      <c r="B10" s="15">
        <f t="shared" si="1"/>
        <v>44961</v>
      </c>
      <c r="C10" s="43">
        <v>0</v>
      </c>
      <c r="D10" s="46">
        <v>0</v>
      </c>
      <c r="E10" s="45">
        <v>0</v>
      </c>
      <c r="F10" s="46">
        <f>480000+10000</f>
        <v>490000</v>
      </c>
      <c r="G10" s="43">
        <v>0</v>
      </c>
      <c r="H10" s="46">
        <v>0</v>
      </c>
      <c r="I10" s="43">
        <v>0</v>
      </c>
      <c r="J10" s="46">
        <v>0</v>
      </c>
      <c r="K10" s="56">
        <f t="shared" si="0"/>
        <v>490000</v>
      </c>
      <c r="L10" s="52">
        <v>490000</v>
      </c>
      <c r="M10" s="53">
        <f t="shared" si="2"/>
        <v>0</v>
      </c>
      <c r="V10" s="67"/>
      <c r="W10" s="68" t="s">
        <v>39</v>
      </c>
      <c r="X10" s="78"/>
      <c r="Y10" s="78"/>
      <c r="Z10" s="68"/>
    </row>
    <row r="11" spans="2:26" x14ac:dyDescent="0.25">
      <c r="B11" s="15">
        <f t="shared" si="1"/>
        <v>44962</v>
      </c>
      <c r="C11" s="45">
        <v>0</v>
      </c>
      <c r="D11" s="46">
        <v>0</v>
      </c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56">
        <f t="shared" si="0"/>
        <v>0</v>
      </c>
      <c r="L11" s="52">
        <v>0</v>
      </c>
      <c r="M11" s="53">
        <f t="shared" si="2"/>
        <v>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44963</v>
      </c>
      <c r="C12" s="45">
        <v>0</v>
      </c>
      <c r="D12" s="46">
        <f>3000+350000</f>
        <v>353000</v>
      </c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56">
        <f t="shared" si="0"/>
        <v>353000</v>
      </c>
      <c r="L12" s="51">
        <v>353000</v>
      </c>
      <c r="M12" s="53">
        <f t="shared" si="2"/>
        <v>0</v>
      </c>
      <c r="V12" s="68"/>
      <c r="W12" s="67" t="s">
        <v>32</v>
      </c>
      <c r="X12" s="78"/>
      <c r="Y12" s="78"/>
      <c r="Z12" s="68"/>
    </row>
    <row r="13" spans="2:26" x14ac:dyDescent="0.25">
      <c r="B13" s="15">
        <f t="shared" si="1"/>
        <v>44964</v>
      </c>
      <c r="C13" s="45">
        <v>0</v>
      </c>
      <c r="D13" s="46">
        <v>0</v>
      </c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56">
        <f t="shared" ref="K13:K26" si="3">SUM(C13:J13)</f>
        <v>0</v>
      </c>
      <c r="L13" s="52">
        <v>0</v>
      </c>
      <c r="M13" s="53">
        <f t="shared" si="2"/>
        <v>0</v>
      </c>
      <c r="P13" s="67"/>
      <c r="V13" s="68"/>
      <c r="W13" s="68" t="s">
        <v>45</v>
      </c>
      <c r="Y13" s="79"/>
      <c r="Z13" s="68"/>
    </row>
    <row r="14" spans="2:26" x14ac:dyDescent="0.25">
      <c r="B14" s="15">
        <f t="shared" si="1"/>
        <v>44965</v>
      </c>
      <c r="C14" s="43">
        <v>6000</v>
      </c>
      <c r="D14" s="46">
        <v>414000</v>
      </c>
      <c r="E14" s="45">
        <v>0</v>
      </c>
      <c r="F14" s="46">
        <v>360000</v>
      </c>
      <c r="G14" s="43">
        <v>0</v>
      </c>
      <c r="H14" s="46">
        <v>0</v>
      </c>
      <c r="I14" s="43">
        <v>0</v>
      </c>
      <c r="J14" s="95">
        <v>19000</v>
      </c>
      <c r="K14" s="56">
        <f t="shared" si="3"/>
        <v>799000</v>
      </c>
      <c r="L14" s="52">
        <v>799000</v>
      </c>
      <c r="M14" s="53">
        <f t="shared" si="2"/>
        <v>0</v>
      </c>
      <c r="N14" s="94" t="s">
        <v>34</v>
      </c>
      <c r="V14" s="68"/>
      <c r="W14" s="68" t="s">
        <v>52</v>
      </c>
      <c r="X14" s="68"/>
      <c r="Y14" s="78"/>
      <c r="Z14" s="68"/>
    </row>
    <row r="15" spans="2:26" x14ac:dyDescent="0.25">
      <c r="B15" s="15">
        <f t="shared" si="1"/>
        <v>44966</v>
      </c>
      <c r="C15" s="45">
        <v>0</v>
      </c>
      <c r="D15" s="46">
        <v>440000</v>
      </c>
      <c r="E15" s="45">
        <v>0</v>
      </c>
      <c r="F15" s="46">
        <v>340000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3"/>
        <v>780000</v>
      </c>
      <c r="L15" s="51">
        <v>780000</v>
      </c>
      <c r="M15" s="53">
        <f t="shared" si="2"/>
        <v>0</v>
      </c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44967</v>
      </c>
      <c r="C16" s="43">
        <v>0</v>
      </c>
      <c r="D16" s="46">
        <v>0</v>
      </c>
      <c r="E16" s="45">
        <v>0</v>
      </c>
      <c r="F16" s="46">
        <f>510000+500000</f>
        <v>1010000</v>
      </c>
      <c r="G16" s="43">
        <v>0</v>
      </c>
      <c r="H16" s="46">
        <v>0</v>
      </c>
      <c r="I16" s="43">
        <v>0</v>
      </c>
      <c r="J16" s="46">
        <v>7000</v>
      </c>
      <c r="K16" s="56">
        <f>SUM(C16:J16)</f>
        <v>1017000</v>
      </c>
      <c r="L16" s="52">
        <v>1017000</v>
      </c>
      <c r="M16" s="53">
        <f t="shared" si="2"/>
        <v>0</v>
      </c>
      <c r="O16" s="78" t="s">
        <v>50</v>
      </c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44968</v>
      </c>
      <c r="C17" s="45">
        <v>0</v>
      </c>
      <c r="D17" s="46">
        <v>0</v>
      </c>
      <c r="E17" s="43">
        <v>0</v>
      </c>
      <c r="F17" s="44">
        <v>440000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3"/>
        <v>440000</v>
      </c>
      <c r="L17" s="52">
        <v>440000</v>
      </c>
      <c r="M17" s="53">
        <f t="shared" si="2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44969</v>
      </c>
      <c r="C18" s="43">
        <v>0</v>
      </c>
      <c r="D18" s="46">
        <v>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3"/>
        <v>0</v>
      </c>
      <c r="L18" s="51">
        <v>0</v>
      </c>
      <c r="M18" s="53">
        <f t="shared" si="2"/>
        <v>0</v>
      </c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44970</v>
      </c>
      <c r="C19" s="45">
        <v>9000</v>
      </c>
      <c r="D19" s="46">
        <v>21000</v>
      </c>
      <c r="E19" s="45">
        <v>0</v>
      </c>
      <c r="F19" s="46">
        <v>0</v>
      </c>
      <c r="G19" s="45">
        <v>0</v>
      </c>
      <c r="H19" s="46">
        <v>340000</v>
      </c>
      <c r="I19" s="45">
        <v>0</v>
      </c>
      <c r="J19" s="46">
        <v>510</v>
      </c>
      <c r="K19" s="56">
        <f t="shared" si="3"/>
        <v>370510</v>
      </c>
      <c r="L19" s="52">
        <v>370510</v>
      </c>
      <c r="M19" s="53">
        <f t="shared" si="2"/>
        <v>0</v>
      </c>
      <c r="N19" s="68" t="s">
        <v>39</v>
      </c>
      <c r="O19" s="67" t="s">
        <v>49</v>
      </c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44971</v>
      </c>
      <c r="C20" s="45">
        <v>13000</v>
      </c>
      <c r="D20" s="44">
        <v>482000</v>
      </c>
      <c r="E20" s="45">
        <v>250000</v>
      </c>
      <c r="F20" s="46">
        <f>360000+120000</f>
        <v>480000</v>
      </c>
      <c r="G20" s="45">
        <v>0</v>
      </c>
      <c r="H20" s="46">
        <v>0</v>
      </c>
      <c r="I20" s="45">
        <v>0</v>
      </c>
      <c r="J20" s="46">
        <v>4000</v>
      </c>
      <c r="K20" s="56">
        <f t="shared" si="3"/>
        <v>1229000</v>
      </c>
      <c r="L20" s="52">
        <v>1256000</v>
      </c>
      <c r="M20" s="53">
        <f t="shared" si="2"/>
        <v>27000</v>
      </c>
      <c r="O20" s="68" t="s">
        <v>51</v>
      </c>
      <c r="V20" s="67"/>
      <c r="W20" s="78" t="s">
        <v>33</v>
      </c>
      <c r="Y20" s="78"/>
      <c r="Z20" s="68"/>
    </row>
    <row r="21" spans="2:26" x14ac:dyDescent="0.25">
      <c r="B21" s="15">
        <f>B20+1</f>
        <v>44972</v>
      </c>
      <c r="C21" s="45">
        <v>3000</v>
      </c>
      <c r="D21" s="46">
        <v>509000</v>
      </c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56">
        <f t="shared" si="3"/>
        <v>512000</v>
      </c>
      <c r="L21" s="51">
        <v>512000</v>
      </c>
      <c r="M21" s="53">
        <f t="shared" si="2"/>
        <v>0</v>
      </c>
      <c r="X21" s="78"/>
      <c r="Y21" s="78"/>
      <c r="Z21" s="68"/>
    </row>
    <row r="22" spans="2:26" x14ac:dyDescent="0.25">
      <c r="B22" s="15">
        <f t="shared" si="1"/>
        <v>44973</v>
      </c>
      <c r="C22" s="45">
        <v>270000</v>
      </c>
      <c r="D22" s="46">
        <v>255000</v>
      </c>
      <c r="E22" s="45">
        <v>0</v>
      </c>
      <c r="F22" s="46">
        <f>350000+420000+65000</f>
        <v>835000</v>
      </c>
      <c r="G22" s="45">
        <v>0</v>
      </c>
      <c r="H22" s="46">
        <v>0</v>
      </c>
      <c r="I22" s="45">
        <v>0</v>
      </c>
      <c r="J22" s="46">
        <v>0</v>
      </c>
      <c r="K22" s="56">
        <f t="shared" si="3"/>
        <v>1360000</v>
      </c>
      <c r="L22" s="52">
        <v>1360000</v>
      </c>
      <c r="M22" s="53">
        <f t="shared" si="2"/>
        <v>0</v>
      </c>
      <c r="W22" s="67"/>
      <c r="X22" s="78"/>
      <c r="Y22" s="78"/>
      <c r="Z22" s="68"/>
    </row>
    <row r="23" spans="2:26" x14ac:dyDescent="0.25">
      <c r="B23" s="15">
        <f t="shared" si="1"/>
        <v>44974</v>
      </c>
      <c r="C23" s="45">
        <v>3000</v>
      </c>
      <c r="D23" s="46">
        <v>440000</v>
      </c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7400</v>
      </c>
      <c r="K23" s="56">
        <f t="shared" si="3"/>
        <v>450400</v>
      </c>
      <c r="L23" s="52">
        <v>450400</v>
      </c>
      <c r="M23" s="53">
        <f t="shared" si="2"/>
        <v>0</v>
      </c>
      <c r="O23" s="78" t="s">
        <v>33</v>
      </c>
      <c r="W23" s="67"/>
      <c r="X23" s="78"/>
      <c r="Y23" s="78"/>
      <c r="Z23" s="68"/>
    </row>
    <row r="24" spans="2:26" x14ac:dyDescent="0.25">
      <c r="B24" s="15">
        <f t="shared" si="1"/>
        <v>44975</v>
      </c>
      <c r="C24" s="43">
        <v>0</v>
      </c>
      <c r="D24" s="46">
        <v>0</v>
      </c>
      <c r="E24" s="45">
        <v>0</v>
      </c>
      <c r="F24" s="46">
        <v>753500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3"/>
        <v>753500</v>
      </c>
      <c r="L24" s="51">
        <v>753500</v>
      </c>
      <c r="M24" s="53">
        <f t="shared" si="2"/>
        <v>0</v>
      </c>
      <c r="V24" s="67"/>
      <c r="W24" s="67"/>
      <c r="Y24" s="78"/>
      <c r="Z24" s="68"/>
    </row>
    <row r="25" spans="2:26" x14ac:dyDescent="0.25">
      <c r="B25" s="15">
        <f t="shared" si="1"/>
        <v>44976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3"/>
        <v>0</v>
      </c>
      <c r="L25" s="52">
        <v>0</v>
      </c>
      <c r="M25" s="53">
        <f t="shared" si="2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44977</v>
      </c>
      <c r="C26" s="43">
        <v>9000</v>
      </c>
      <c r="D26" s="46">
        <v>6000</v>
      </c>
      <c r="E26" s="45">
        <v>0</v>
      </c>
      <c r="F26" s="46">
        <v>550000</v>
      </c>
      <c r="G26" s="43">
        <v>230000</v>
      </c>
      <c r="H26" s="46">
        <v>0</v>
      </c>
      <c r="I26" s="43">
        <v>0</v>
      </c>
      <c r="J26" s="46">
        <v>0</v>
      </c>
      <c r="K26" s="56">
        <f t="shared" si="3"/>
        <v>795000</v>
      </c>
      <c r="L26" s="52">
        <v>795000</v>
      </c>
      <c r="M26" s="53">
        <f t="shared" si="2"/>
        <v>0</v>
      </c>
      <c r="N26" s="68" t="s">
        <v>39</v>
      </c>
      <c r="W26" s="67"/>
      <c r="X26" s="78"/>
      <c r="Y26" s="78"/>
      <c r="Z26" s="68"/>
    </row>
    <row r="27" spans="2:26" x14ac:dyDescent="0.25">
      <c r="B27" s="15">
        <f t="shared" si="1"/>
        <v>44978</v>
      </c>
      <c r="C27" s="45">
        <v>200000</v>
      </c>
      <c r="D27" s="46">
        <f>190000+430000</f>
        <v>620000</v>
      </c>
      <c r="E27" s="45">
        <v>360000</v>
      </c>
      <c r="F27" s="46">
        <v>0</v>
      </c>
      <c r="G27" s="45">
        <v>0</v>
      </c>
      <c r="H27" s="46">
        <v>0</v>
      </c>
      <c r="I27" s="45">
        <v>0</v>
      </c>
      <c r="J27" s="46">
        <v>3000</v>
      </c>
      <c r="K27" s="56">
        <f t="shared" ref="K27:K37" si="4">SUM(C27:J27)</f>
        <v>1183000</v>
      </c>
      <c r="L27" s="51">
        <v>1183000</v>
      </c>
      <c r="M27" s="53">
        <f t="shared" si="2"/>
        <v>0</v>
      </c>
      <c r="W27" s="68"/>
      <c r="X27" s="78"/>
      <c r="Y27" s="68"/>
      <c r="Z27" s="68"/>
    </row>
    <row r="28" spans="2:26" x14ac:dyDescent="0.25">
      <c r="B28" s="15">
        <f t="shared" si="1"/>
        <v>44979</v>
      </c>
      <c r="C28" s="43">
        <v>0</v>
      </c>
      <c r="D28" s="46">
        <f>600000+3000</f>
        <v>603000</v>
      </c>
      <c r="E28" s="45">
        <v>450000</v>
      </c>
      <c r="F28" s="46">
        <v>280000</v>
      </c>
      <c r="G28" s="43">
        <v>130000</v>
      </c>
      <c r="H28" s="46">
        <v>150000</v>
      </c>
      <c r="I28" s="43">
        <v>0</v>
      </c>
      <c r="J28" s="46">
        <v>0</v>
      </c>
      <c r="K28" s="56">
        <f>SUM(C28:J28)</f>
        <v>1613000</v>
      </c>
      <c r="L28" s="52">
        <v>1613000</v>
      </c>
      <c r="M28" s="53">
        <f t="shared" si="2"/>
        <v>0</v>
      </c>
      <c r="N28" s="68" t="s">
        <v>30</v>
      </c>
      <c r="W28" s="68"/>
      <c r="X28" s="67"/>
      <c r="Y28" s="68"/>
      <c r="Z28" s="68"/>
    </row>
    <row r="29" spans="2:26" x14ac:dyDescent="0.25">
      <c r="B29" s="15">
        <f t="shared" si="1"/>
        <v>44980</v>
      </c>
      <c r="C29" s="45">
        <v>0</v>
      </c>
      <c r="D29" s="46">
        <v>0</v>
      </c>
      <c r="E29" s="45">
        <v>0</v>
      </c>
      <c r="F29" s="46">
        <v>935000</v>
      </c>
      <c r="G29" s="45">
        <v>0</v>
      </c>
      <c r="H29" s="46">
        <v>0</v>
      </c>
      <c r="I29" s="45">
        <v>0</v>
      </c>
      <c r="J29" s="46">
        <v>8000</v>
      </c>
      <c r="K29" s="56">
        <f>SUM(C29:J29)</f>
        <v>943000</v>
      </c>
      <c r="L29" s="52">
        <v>943000</v>
      </c>
      <c r="M29" s="53">
        <f t="shared" si="2"/>
        <v>0</v>
      </c>
      <c r="O29" s="68" t="s">
        <v>33</v>
      </c>
      <c r="W29" s="67"/>
      <c r="X29" s="78"/>
      <c r="Y29" s="78"/>
      <c r="Z29" s="68"/>
    </row>
    <row r="30" spans="2:26" x14ac:dyDescent="0.25">
      <c r="B30" s="15">
        <f t="shared" si="1"/>
        <v>44981</v>
      </c>
      <c r="C30" s="43">
        <v>0</v>
      </c>
      <c r="D30" s="46">
        <v>0</v>
      </c>
      <c r="E30" s="45">
        <v>0</v>
      </c>
      <c r="F30" s="46">
        <v>0</v>
      </c>
      <c r="G30" s="43">
        <v>0</v>
      </c>
      <c r="H30" s="46">
        <v>0</v>
      </c>
      <c r="I30" s="43">
        <v>0</v>
      </c>
      <c r="J30" s="46">
        <v>0</v>
      </c>
      <c r="K30" s="56">
        <f t="shared" si="4"/>
        <v>0</v>
      </c>
      <c r="L30" s="51">
        <v>0</v>
      </c>
      <c r="M30" s="53">
        <f t="shared" si="2"/>
        <v>0</v>
      </c>
      <c r="W30" s="67"/>
      <c r="X30" s="78"/>
      <c r="Y30" s="78"/>
      <c r="Z30" s="68"/>
    </row>
    <row r="31" spans="2:26" x14ac:dyDescent="0.25">
      <c r="B31" s="15">
        <f t="shared" si="1"/>
        <v>44982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105000</v>
      </c>
      <c r="I31" s="43">
        <v>0</v>
      </c>
      <c r="J31" s="46">
        <v>0</v>
      </c>
      <c r="K31" s="56">
        <f t="shared" si="4"/>
        <v>105000</v>
      </c>
      <c r="L31" s="52">
        <v>105000</v>
      </c>
      <c r="M31" s="53">
        <f t="shared" si="2"/>
        <v>0</v>
      </c>
      <c r="N31" s="68" t="s">
        <v>52</v>
      </c>
      <c r="O31" s="78"/>
      <c r="W31" s="68"/>
      <c r="X31" s="78"/>
      <c r="Y31" s="78"/>
      <c r="Z31" s="67"/>
    </row>
    <row r="32" spans="2:26" x14ac:dyDescent="0.25">
      <c r="B32" s="15">
        <f t="shared" si="1"/>
        <v>44983</v>
      </c>
      <c r="C32" s="43">
        <v>0</v>
      </c>
      <c r="D32" s="46">
        <v>0</v>
      </c>
      <c r="E32" s="43">
        <v>0</v>
      </c>
      <c r="F32" s="46">
        <v>0</v>
      </c>
      <c r="G32" s="43">
        <v>0</v>
      </c>
      <c r="H32" s="46">
        <v>0</v>
      </c>
      <c r="I32" s="43">
        <v>0</v>
      </c>
      <c r="J32" s="46">
        <v>0</v>
      </c>
      <c r="K32" s="56">
        <f t="shared" si="4"/>
        <v>0</v>
      </c>
      <c r="L32" s="52">
        <v>0</v>
      </c>
      <c r="M32" s="53">
        <f t="shared" si="2"/>
        <v>0</v>
      </c>
      <c r="W32" s="68"/>
      <c r="X32" s="67"/>
      <c r="Y32" s="78"/>
      <c r="Z32" s="68"/>
    </row>
    <row r="33" spans="1:26" x14ac:dyDescent="0.25">
      <c r="B33" s="15">
        <f t="shared" si="1"/>
        <v>44984</v>
      </c>
      <c r="C33" s="45">
        <v>3000</v>
      </c>
      <c r="D33" s="46">
        <v>18000</v>
      </c>
      <c r="E33" s="45">
        <v>200000</v>
      </c>
      <c r="F33" s="46">
        <v>25000</v>
      </c>
      <c r="G33" s="45">
        <v>0</v>
      </c>
      <c r="H33" s="46">
        <v>230000</v>
      </c>
      <c r="I33" s="45">
        <v>0</v>
      </c>
      <c r="J33" s="46">
        <v>13550</v>
      </c>
      <c r="K33" s="56">
        <f t="shared" si="4"/>
        <v>489550</v>
      </c>
      <c r="L33" s="51">
        <v>489550</v>
      </c>
      <c r="M33" s="53">
        <f t="shared" si="2"/>
        <v>0</v>
      </c>
      <c r="N33" s="68" t="s">
        <v>30</v>
      </c>
      <c r="O33" s="68" t="s">
        <v>33</v>
      </c>
      <c r="W33" s="68"/>
      <c r="X33" s="78"/>
      <c r="Y33" s="78"/>
      <c r="Z33" s="68"/>
    </row>
    <row r="34" spans="1:26" x14ac:dyDescent="0.25">
      <c r="B34" s="15">
        <f t="shared" si="1"/>
        <v>44985</v>
      </c>
      <c r="C34" s="45">
        <v>0</v>
      </c>
      <c r="D34" s="46">
        <v>0</v>
      </c>
      <c r="E34" s="45">
        <v>0</v>
      </c>
      <c r="F34" s="46">
        <v>390000</v>
      </c>
      <c r="G34" s="45">
        <v>0</v>
      </c>
      <c r="H34" s="46">
        <v>220000</v>
      </c>
      <c r="I34" s="45">
        <v>0</v>
      </c>
      <c r="J34" s="46">
        <v>0</v>
      </c>
      <c r="K34" s="56">
        <f t="shared" si="4"/>
        <v>610000</v>
      </c>
      <c r="L34" s="52">
        <v>610000</v>
      </c>
      <c r="M34" s="53">
        <f t="shared" si="2"/>
        <v>0</v>
      </c>
      <c r="N34" s="67" t="s">
        <v>32</v>
      </c>
      <c r="W34" s="68"/>
      <c r="X34" s="78"/>
      <c r="Y34" s="78"/>
      <c r="Z34" s="68"/>
    </row>
    <row r="35" spans="1:26" x14ac:dyDescent="0.25">
      <c r="B35" s="15"/>
      <c r="C35" s="47"/>
      <c r="D35" s="48"/>
      <c r="E35" s="49"/>
      <c r="F35" s="50"/>
      <c r="G35" s="47"/>
      <c r="H35" s="48"/>
      <c r="I35" s="47"/>
      <c r="J35" s="48"/>
      <c r="K35" s="56">
        <f t="shared" si="4"/>
        <v>0</v>
      </c>
      <c r="L35" s="54"/>
      <c r="M35" s="55">
        <f t="shared" si="2"/>
        <v>0</v>
      </c>
      <c r="W35" s="68"/>
      <c r="X35" s="78"/>
      <c r="Y35" s="78"/>
      <c r="Z35" s="68"/>
    </row>
    <row r="36" spans="1:26" x14ac:dyDescent="0.25">
      <c r="B36" s="15"/>
      <c r="C36" s="47"/>
      <c r="D36" s="48"/>
      <c r="E36" s="49"/>
      <c r="F36" s="50"/>
      <c r="G36" s="47"/>
      <c r="H36" s="48"/>
      <c r="I36" s="47"/>
      <c r="J36" s="48"/>
      <c r="K36" s="56">
        <f t="shared" si="4"/>
        <v>0</v>
      </c>
      <c r="L36" s="54"/>
      <c r="M36" s="55">
        <f t="shared" si="2"/>
        <v>0</v>
      </c>
      <c r="W36" s="68"/>
      <c r="Z36" s="68"/>
    </row>
    <row r="37" spans="1:26" x14ac:dyDescent="0.25">
      <c r="B37" s="15"/>
      <c r="C37" s="47"/>
      <c r="D37" s="48"/>
      <c r="E37" s="49"/>
      <c r="F37" s="50"/>
      <c r="G37" s="47"/>
      <c r="H37" s="48"/>
      <c r="I37" s="47"/>
      <c r="J37" s="48"/>
      <c r="K37" s="56">
        <f t="shared" si="4"/>
        <v>0</v>
      </c>
      <c r="L37" s="54"/>
      <c r="M37" s="55">
        <f t="shared" si="2"/>
        <v>0</v>
      </c>
      <c r="O37" s="78"/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651000</v>
      </c>
      <c r="D39" s="25">
        <f>SUM(D7:D38)</f>
        <v>4666000</v>
      </c>
      <c r="E39" s="24">
        <f t="shared" ref="E39:J39" si="5">SUM(E7:E38)</f>
        <v>1260000</v>
      </c>
      <c r="F39" s="59">
        <f t="shared" si="5"/>
        <v>7688500</v>
      </c>
      <c r="G39" s="24">
        <f t="shared" si="5"/>
        <v>360000</v>
      </c>
      <c r="H39" s="25">
        <f t="shared" si="5"/>
        <v>1045000</v>
      </c>
      <c r="I39" s="24">
        <f t="shared" si="5"/>
        <v>3360</v>
      </c>
      <c r="J39" s="25">
        <f t="shared" si="5"/>
        <v>66460</v>
      </c>
      <c r="K39" s="28">
        <f>SUM(K7:K38)</f>
        <v>15740320</v>
      </c>
      <c r="L39" s="27">
        <f>SUM(L7:L38)</f>
        <v>15767320</v>
      </c>
      <c r="M39" s="26">
        <f>L39-K39</f>
        <v>27000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5317000</v>
      </c>
      <c r="D40" s="268"/>
      <c r="E40" s="267">
        <f>SUM(E39:F39)</f>
        <v>8948500</v>
      </c>
      <c r="F40" s="269"/>
      <c r="G40" s="267">
        <f>SUM(G39:H39)</f>
        <v>1405000</v>
      </c>
      <c r="H40" s="268"/>
      <c r="I40" s="267">
        <f>SUM(I39:J39)</f>
        <v>69820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44957</v>
      </c>
      <c r="C45" s="3">
        <v>0</v>
      </c>
      <c r="D45" s="14">
        <v>0</v>
      </c>
      <c r="E45" s="3">
        <v>0</v>
      </c>
      <c r="F45" s="14">
        <v>545000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545000</v>
      </c>
      <c r="L45" s="3">
        <v>545000</v>
      </c>
      <c r="M45" s="3">
        <f>L45-K45</f>
        <v>0</v>
      </c>
      <c r="N45" s="85">
        <v>44958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44985</v>
      </c>
      <c r="C48" s="3">
        <v>0</v>
      </c>
      <c r="D48" s="14">
        <v>0</v>
      </c>
      <c r="E48" s="3">
        <v>0</v>
      </c>
      <c r="F48" s="14">
        <v>390000</v>
      </c>
      <c r="G48" s="3">
        <v>0</v>
      </c>
      <c r="H48" s="14">
        <v>220000</v>
      </c>
      <c r="I48" s="3">
        <v>0</v>
      </c>
      <c r="J48" s="14">
        <v>0</v>
      </c>
      <c r="K48" s="3">
        <f>SUM(C48:J48)</f>
        <v>610000</v>
      </c>
      <c r="L48" s="3">
        <v>610000</v>
      </c>
      <c r="M48" s="3">
        <f>L48-K48</f>
        <v>0</v>
      </c>
      <c r="N48" s="85">
        <v>44986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0</v>
      </c>
      <c r="E50" s="262">
        <f>F45+F46-F47-F48</f>
        <v>155000</v>
      </c>
      <c r="F50" s="263"/>
      <c r="G50" s="262">
        <f>H45+H46-H47-H48</f>
        <v>-220000</v>
      </c>
      <c r="H50" s="263"/>
      <c r="I50" s="262">
        <f>J45+J46-J47-J48</f>
        <v>0</v>
      </c>
      <c r="J50" s="263"/>
    </row>
    <row r="51" spans="2:24" x14ac:dyDescent="0.25">
      <c r="B51" s="264" t="s">
        <v>12</v>
      </c>
      <c r="C51" s="264"/>
      <c r="D51" s="31">
        <f>D39+D50</f>
        <v>4666000</v>
      </c>
      <c r="E51" s="265">
        <f>F39+E50</f>
        <v>7843500</v>
      </c>
      <c r="F51" s="266"/>
      <c r="G51" s="265">
        <f>H39+G50</f>
        <v>825000</v>
      </c>
      <c r="H51" s="266"/>
      <c r="I51" s="265">
        <f>J39+I50</f>
        <v>66460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13400960</v>
      </c>
      <c r="E52" s="258"/>
      <c r="F52" s="258"/>
      <c r="G52" s="258"/>
      <c r="H52" s="258"/>
      <c r="I52" s="93"/>
      <c r="J52" s="93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D51*0.0155-712.99</f>
        <v>71610.009999999995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2274360</v>
      </c>
      <c r="D55" s="34">
        <f>D39+H39+F39+J39</f>
        <v>13465960</v>
      </c>
      <c r="E55" s="58"/>
      <c r="F55" s="58"/>
      <c r="K55" s="63" t="s">
        <v>25</v>
      </c>
      <c r="L55" s="64">
        <f>E51*0.0155</f>
        <v>121574.25</v>
      </c>
      <c r="N55" s="88"/>
      <c r="X55" s="71"/>
    </row>
    <row r="56" spans="2:24" x14ac:dyDescent="0.25">
      <c r="C56" s="259">
        <f>SUM(C55:D55)</f>
        <v>15740320</v>
      </c>
      <c r="D56" s="260"/>
      <c r="E56" s="57"/>
      <c r="F56" s="57"/>
      <c r="K56" s="63" t="s">
        <v>28</v>
      </c>
      <c r="L56" s="64">
        <f>G51*0.0155</f>
        <v>12787.5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1030.1299999999999</v>
      </c>
      <c r="W57" s="4"/>
    </row>
    <row r="58" spans="2:24" x14ac:dyDescent="0.25">
      <c r="J58" t="s">
        <v>3</v>
      </c>
      <c r="L58" s="64">
        <f>SUM(L54:L57)</f>
        <v>207001.89</v>
      </c>
      <c r="W58" s="4"/>
    </row>
    <row r="59" spans="2:24" x14ac:dyDescent="0.25">
      <c r="B59" s="1" t="s">
        <v>19</v>
      </c>
      <c r="C59" s="259">
        <f>C39+D52+E39+G39+I39</f>
        <v>15675320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52:C52"/>
    <mergeCell ref="D52:H52"/>
    <mergeCell ref="C56:D56"/>
    <mergeCell ref="C59:D59"/>
    <mergeCell ref="B50:C50"/>
    <mergeCell ref="E50:F50"/>
    <mergeCell ref="G50:H50"/>
    <mergeCell ref="I50:J50"/>
    <mergeCell ref="B51:C51"/>
    <mergeCell ref="E51:F51"/>
    <mergeCell ref="G51:H51"/>
    <mergeCell ref="I51:J51"/>
    <mergeCell ref="C40:D40"/>
    <mergeCell ref="E40:F40"/>
    <mergeCell ref="G40:H40"/>
    <mergeCell ref="I40:J40"/>
    <mergeCell ref="C43:D43"/>
    <mergeCell ref="E43:F43"/>
    <mergeCell ref="G43:H43"/>
    <mergeCell ref="I43:J43"/>
    <mergeCell ref="B2:K2"/>
    <mergeCell ref="B3:C3"/>
    <mergeCell ref="D3:G3"/>
    <mergeCell ref="C5:D5"/>
    <mergeCell ref="E5:F5"/>
    <mergeCell ref="G5:H5"/>
    <mergeCell ref="I5:J5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1"/>
  <sheetViews>
    <sheetView topLeftCell="A28" workbookViewId="0">
      <selection activeCell="G56" sqref="G56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53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44986</v>
      </c>
      <c r="C7" s="45">
        <v>390000</v>
      </c>
      <c r="D7" s="46">
        <v>59000</v>
      </c>
      <c r="E7" s="45">
        <v>0</v>
      </c>
      <c r="F7" s="46">
        <v>360000</v>
      </c>
      <c r="G7" s="69">
        <v>0</v>
      </c>
      <c r="H7" s="70">
        <v>2000</v>
      </c>
      <c r="I7" s="69">
        <v>0</v>
      </c>
      <c r="J7" s="70">
        <v>0</v>
      </c>
      <c r="K7" s="56">
        <f t="shared" ref="K7:K12" si="0">SUM(C7:J7)</f>
        <v>811000</v>
      </c>
      <c r="L7" s="52">
        <v>811000</v>
      </c>
      <c r="M7" s="53">
        <f>L7-K7</f>
        <v>0</v>
      </c>
      <c r="O7" s="78"/>
      <c r="V7" s="68"/>
      <c r="W7" s="68"/>
      <c r="X7" s="78"/>
      <c r="Y7" s="68"/>
      <c r="Z7" s="68"/>
    </row>
    <row r="8" spans="2:26" x14ac:dyDescent="0.25">
      <c r="B8" s="15">
        <f t="shared" ref="B8:B37" si="1">B7+1</f>
        <v>44987</v>
      </c>
      <c r="C8" s="43">
        <v>0</v>
      </c>
      <c r="D8" s="46">
        <v>634000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634000</v>
      </c>
      <c r="L8" s="52">
        <v>634000</v>
      </c>
      <c r="M8" s="53">
        <f t="shared" ref="M8:M37" si="2">L8-K8</f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44988</v>
      </c>
      <c r="C9" s="45">
        <v>673000</v>
      </c>
      <c r="D9" s="44">
        <v>120000</v>
      </c>
      <c r="E9" s="45">
        <v>0</v>
      </c>
      <c r="F9" s="46">
        <v>100000</v>
      </c>
      <c r="G9" s="45">
        <v>0</v>
      </c>
      <c r="H9" s="46">
        <v>0</v>
      </c>
      <c r="I9" s="45">
        <v>0</v>
      </c>
      <c r="J9" s="46">
        <v>0</v>
      </c>
      <c r="K9" s="56">
        <f t="shared" si="0"/>
        <v>893000</v>
      </c>
      <c r="L9" s="51">
        <v>893000</v>
      </c>
      <c r="M9" s="53">
        <f t="shared" si="2"/>
        <v>0</v>
      </c>
      <c r="O9" s="67"/>
      <c r="V9" s="67"/>
      <c r="W9" s="67"/>
      <c r="X9" s="78"/>
      <c r="Y9" s="78"/>
      <c r="Z9" s="68"/>
    </row>
    <row r="10" spans="2:26" x14ac:dyDescent="0.25">
      <c r="B10" s="15">
        <f t="shared" si="1"/>
        <v>44989</v>
      </c>
      <c r="C10" s="43">
        <v>0</v>
      </c>
      <c r="D10" s="46">
        <v>0</v>
      </c>
      <c r="E10" s="45">
        <v>0</v>
      </c>
      <c r="F10" s="46">
        <v>420000</v>
      </c>
      <c r="G10" s="43">
        <v>0</v>
      </c>
      <c r="H10" s="46">
        <v>0</v>
      </c>
      <c r="I10" s="43">
        <v>0</v>
      </c>
      <c r="J10" s="46">
        <v>0</v>
      </c>
      <c r="K10" s="56">
        <f t="shared" si="0"/>
        <v>420000</v>
      </c>
      <c r="L10" s="52">
        <v>420000</v>
      </c>
      <c r="M10" s="53">
        <f t="shared" si="2"/>
        <v>0</v>
      </c>
      <c r="V10" s="67"/>
      <c r="W10" s="68" t="s">
        <v>39</v>
      </c>
      <c r="X10" s="78"/>
      <c r="Y10" s="78"/>
      <c r="Z10" s="68"/>
    </row>
    <row r="11" spans="2:26" x14ac:dyDescent="0.25">
      <c r="B11" s="15">
        <f t="shared" si="1"/>
        <v>44990</v>
      </c>
      <c r="C11" s="45">
        <v>0</v>
      </c>
      <c r="D11" s="46">
        <v>0</v>
      </c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56">
        <f t="shared" si="0"/>
        <v>0</v>
      </c>
      <c r="L11" s="52">
        <v>0</v>
      </c>
      <c r="M11" s="53">
        <f t="shared" si="2"/>
        <v>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44991</v>
      </c>
      <c r="C12" s="45">
        <v>12000</v>
      </c>
      <c r="D12" s="46">
        <v>8000</v>
      </c>
      <c r="E12" s="45">
        <v>0</v>
      </c>
      <c r="F12" s="46">
        <v>0</v>
      </c>
      <c r="G12" s="45">
        <v>0</v>
      </c>
      <c r="H12" s="46">
        <v>2000</v>
      </c>
      <c r="I12" s="45">
        <v>0</v>
      </c>
      <c r="J12" s="46">
        <v>0</v>
      </c>
      <c r="K12" s="56">
        <f t="shared" si="0"/>
        <v>22000</v>
      </c>
      <c r="L12" s="51">
        <v>22000</v>
      </c>
      <c r="M12" s="53">
        <f t="shared" si="2"/>
        <v>0</v>
      </c>
      <c r="N12" s="68" t="s">
        <v>39</v>
      </c>
      <c r="V12" s="68"/>
      <c r="W12" s="67" t="s">
        <v>32</v>
      </c>
      <c r="X12" s="78"/>
      <c r="Y12" s="78"/>
      <c r="Z12" s="68"/>
    </row>
    <row r="13" spans="2:26" x14ac:dyDescent="0.25">
      <c r="B13" s="15">
        <f t="shared" si="1"/>
        <v>44992</v>
      </c>
      <c r="C13" s="45">
        <v>0</v>
      </c>
      <c r="D13" s="46">
        <v>0</v>
      </c>
      <c r="E13" s="45">
        <v>0</v>
      </c>
      <c r="F13" s="46">
        <v>434000</v>
      </c>
      <c r="G13" s="45">
        <v>0</v>
      </c>
      <c r="H13" s="46">
        <v>0</v>
      </c>
      <c r="I13" s="45">
        <v>0</v>
      </c>
      <c r="J13" s="46">
        <v>4000</v>
      </c>
      <c r="K13" s="56">
        <f t="shared" ref="K13:K26" si="3">SUM(C13:J13)</f>
        <v>438000</v>
      </c>
      <c r="L13" s="52">
        <v>438000</v>
      </c>
      <c r="M13" s="53">
        <f t="shared" si="2"/>
        <v>0</v>
      </c>
      <c r="O13" s="78" t="s">
        <v>33</v>
      </c>
      <c r="P13" s="67"/>
      <c r="V13" s="68"/>
      <c r="W13" s="68" t="s">
        <v>45</v>
      </c>
      <c r="Y13" s="79"/>
      <c r="Z13" s="68"/>
    </row>
    <row r="14" spans="2:26" x14ac:dyDescent="0.25">
      <c r="B14" s="15">
        <f t="shared" si="1"/>
        <v>44993</v>
      </c>
      <c r="C14" s="43">
        <v>0</v>
      </c>
      <c r="D14" s="46">
        <v>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97">
        <v>0</v>
      </c>
      <c r="K14" s="56">
        <f t="shared" si="3"/>
        <v>0</v>
      </c>
      <c r="L14" s="52">
        <v>0</v>
      </c>
      <c r="M14" s="53">
        <f t="shared" si="2"/>
        <v>0</v>
      </c>
      <c r="N14" s="94"/>
      <c r="V14" s="68"/>
      <c r="W14" s="68" t="s">
        <v>52</v>
      </c>
      <c r="X14" s="68"/>
      <c r="Y14" s="78"/>
      <c r="Z14" s="68"/>
    </row>
    <row r="15" spans="2:26" x14ac:dyDescent="0.25">
      <c r="B15" s="15">
        <f t="shared" si="1"/>
        <v>44994</v>
      </c>
      <c r="C15" s="45">
        <v>0</v>
      </c>
      <c r="D15" s="46">
        <f>155000+90000+40000</f>
        <v>285000</v>
      </c>
      <c r="E15" s="45">
        <v>0</v>
      </c>
      <c r="F15" s="46">
        <f>150000+230000</f>
        <v>380000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3"/>
        <v>665000</v>
      </c>
      <c r="L15" s="51">
        <v>665000</v>
      </c>
      <c r="M15" s="53">
        <f t="shared" si="2"/>
        <v>0</v>
      </c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44995</v>
      </c>
      <c r="C16" s="43">
        <v>0</v>
      </c>
      <c r="D16" s="46">
        <f>470000</f>
        <v>470000</v>
      </c>
      <c r="E16" s="45">
        <v>270000</v>
      </c>
      <c r="F16" s="46">
        <f>35000+170000</f>
        <v>205000</v>
      </c>
      <c r="G16" s="43">
        <v>0</v>
      </c>
      <c r="H16" s="46">
        <v>0</v>
      </c>
      <c r="I16" s="43">
        <v>0</v>
      </c>
      <c r="J16" s="46">
        <v>0</v>
      </c>
      <c r="K16" s="56">
        <f>SUM(C16:J16)</f>
        <v>945000</v>
      </c>
      <c r="L16" s="52">
        <v>945000</v>
      </c>
      <c r="M16" s="53">
        <f t="shared" si="2"/>
        <v>0</v>
      </c>
      <c r="O16" s="78"/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44996</v>
      </c>
      <c r="C17" s="45">
        <v>0</v>
      </c>
      <c r="D17" s="46">
        <v>0</v>
      </c>
      <c r="E17" s="43">
        <v>0</v>
      </c>
      <c r="F17" s="44">
        <v>0</v>
      </c>
      <c r="G17" s="45">
        <v>0</v>
      </c>
      <c r="H17" s="44">
        <v>2500</v>
      </c>
      <c r="I17" s="45">
        <v>0</v>
      </c>
      <c r="J17" s="44">
        <v>0</v>
      </c>
      <c r="K17" s="56">
        <f t="shared" si="3"/>
        <v>2500</v>
      </c>
      <c r="L17" s="52">
        <v>2500</v>
      </c>
      <c r="M17" s="53">
        <f t="shared" si="2"/>
        <v>0</v>
      </c>
      <c r="N17" s="68" t="s">
        <v>39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44997</v>
      </c>
      <c r="C18" s="43">
        <v>0</v>
      </c>
      <c r="D18" s="46">
        <v>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3"/>
        <v>0</v>
      </c>
      <c r="L18" s="51">
        <v>0</v>
      </c>
      <c r="M18" s="53">
        <f t="shared" si="2"/>
        <v>0</v>
      </c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44998</v>
      </c>
      <c r="C19" s="45">
        <v>4000</v>
      </c>
      <c r="D19" s="46">
        <v>448000</v>
      </c>
      <c r="E19" s="45">
        <v>0</v>
      </c>
      <c r="F19" s="46">
        <v>0</v>
      </c>
      <c r="G19" s="45">
        <v>0</v>
      </c>
      <c r="H19" s="46">
        <v>0</v>
      </c>
      <c r="I19" s="45">
        <v>2000</v>
      </c>
      <c r="J19" s="46">
        <v>2000</v>
      </c>
      <c r="K19" s="56">
        <f t="shared" si="3"/>
        <v>456000</v>
      </c>
      <c r="L19" s="52">
        <v>1006000</v>
      </c>
      <c r="M19" s="53">
        <f t="shared" si="2"/>
        <v>550000</v>
      </c>
      <c r="N19" s="68" t="s">
        <v>30</v>
      </c>
      <c r="O19" s="67" t="s">
        <v>33</v>
      </c>
      <c r="P19" s="68" t="s">
        <v>55</v>
      </c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44999</v>
      </c>
      <c r="C20" s="45">
        <v>0</v>
      </c>
      <c r="D20" s="44">
        <v>695000</v>
      </c>
      <c r="E20" s="45">
        <v>0</v>
      </c>
      <c r="F20" s="46">
        <v>380000</v>
      </c>
      <c r="G20" s="45">
        <v>0</v>
      </c>
      <c r="H20" s="46">
        <v>2500</v>
      </c>
      <c r="I20" s="45">
        <v>0</v>
      </c>
      <c r="J20" s="46">
        <v>0</v>
      </c>
      <c r="K20" s="56">
        <f t="shared" si="3"/>
        <v>1077500</v>
      </c>
      <c r="L20" s="52">
        <v>1077500</v>
      </c>
      <c r="M20" s="53">
        <f t="shared" si="2"/>
        <v>0</v>
      </c>
      <c r="N20" s="68" t="s">
        <v>39</v>
      </c>
      <c r="V20" s="67"/>
      <c r="W20" s="78" t="s">
        <v>33</v>
      </c>
      <c r="Y20" s="78"/>
      <c r="Z20" s="68"/>
    </row>
    <row r="21" spans="2:26" x14ac:dyDescent="0.25">
      <c r="B21" s="15">
        <f>B20+1</f>
        <v>45000</v>
      </c>
      <c r="C21" s="45">
        <v>0</v>
      </c>
      <c r="D21" s="46">
        <f>475000+4000+4000+4000+2000</f>
        <v>489000</v>
      </c>
      <c r="E21" s="45">
        <v>680000</v>
      </c>
      <c r="F21" s="46">
        <v>20000</v>
      </c>
      <c r="G21" s="45">
        <v>0</v>
      </c>
      <c r="H21" s="46">
        <v>0</v>
      </c>
      <c r="I21" s="45">
        <v>0</v>
      </c>
      <c r="J21" s="46">
        <v>0</v>
      </c>
      <c r="K21" s="56">
        <f t="shared" si="3"/>
        <v>1189000</v>
      </c>
      <c r="L21" s="51">
        <v>1189000</v>
      </c>
      <c r="M21" s="53">
        <f t="shared" si="2"/>
        <v>0</v>
      </c>
      <c r="W21" s="78" t="s">
        <v>58</v>
      </c>
      <c r="X21" s="78"/>
      <c r="Y21" s="78"/>
      <c r="Z21" s="68"/>
    </row>
    <row r="22" spans="2:26" x14ac:dyDescent="0.25">
      <c r="B22" s="15">
        <f t="shared" si="1"/>
        <v>45001</v>
      </c>
      <c r="C22" s="45">
        <v>0</v>
      </c>
      <c r="D22" s="46">
        <v>550000</v>
      </c>
      <c r="E22" s="45">
        <v>30000</v>
      </c>
      <c r="F22" s="46">
        <v>600000</v>
      </c>
      <c r="G22" s="45">
        <v>0</v>
      </c>
      <c r="H22" s="46">
        <v>200000</v>
      </c>
      <c r="I22" s="98">
        <v>6000</v>
      </c>
      <c r="J22" s="95">
        <v>11500</v>
      </c>
      <c r="K22" s="56">
        <f t="shared" si="3"/>
        <v>1397500</v>
      </c>
      <c r="L22" s="52">
        <v>1397500</v>
      </c>
      <c r="M22" s="53">
        <f t="shared" si="2"/>
        <v>0</v>
      </c>
      <c r="N22" s="67" t="s">
        <v>32</v>
      </c>
      <c r="O22" s="94" t="s">
        <v>34</v>
      </c>
      <c r="W22" s="67"/>
      <c r="X22" s="78"/>
      <c r="Y22" s="78"/>
      <c r="Z22" s="68"/>
    </row>
    <row r="23" spans="2:26" x14ac:dyDescent="0.25">
      <c r="B23" s="15">
        <f t="shared" si="1"/>
        <v>45002</v>
      </c>
      <c r="C23" s="45">
        <v>0</v>
      </c>
      <c r="D23" s="46">
        <v>495000</v>
      </c>
      <c r="E23" s="45">
        <v>200000</v>
      </c>
      <c r="F23" s="46">
        <v>110000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3"/>
        <v>805000</v>
      </c>
      <c r="L23" s="52">
        <v>805000</v>
      </c>
      <c r="M23" s="53">
        <f t="shared" si="2"/>
        <v>0</v>
      </c>
      <c r="O23" s="78"/>
      <c r="W23" s="67"/>
      <c r="X23" s="78"/>
      <c r="Y23" s="78"/>
      <c r="Z23" s="68"/>
    </row>
    <row r="24" spans="2:26" x14ac:dyDescent="0.25">
      <c r="B24" s="15">
        <f t="shared" si="1"/>
        <v>45003</v>
      </c>
      <c r="C24" s="43">
        <v>0</v>
      </c>
      <c r="D24" s="46">
        <v>0</v>
      </c>
      <c r="E24" s="45">
        <v>0</v>
      </c>
      <c r="F24" s="46">
        <v>35000</v>
      </c>
      <c r="G24" s="43">
        <v>0</v>
      </c>
      <c r="H24" s="46">
        <v>2500</v>
      </c>
      <c r="I24" s="43">
        <v>0</v>
      </c>
      <c r="J24" s="46">
        <v>0</v>
      </c>
      <c r="K24" s="56">
        <f t="shared" si="3"/>
        <v>37500</v>
      </c>
      <c r="L24" s="51">
        <v>37500</v>
      </c>
      <c r="M24" s="53">
        <f t="shared" si="2"/>
        <v>0</v>
      </c>
      <c r="V24" s="67"/>
      <c r="W24" s="67"/>
      <c r="Y24" s="78"/>
      <c r="Z24" s="68"/>
    </row>
    <row r="25" spans="2:26" x14ac:dyDescent="0.25">
      <c r="B25" s="15">
        <f t="shared" si="1"/>
        <v>45004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3"/>
        <v>0</v>
      </c>
      <c r="L25" s="52">
        <v>0</v>
      </c>
      <c r="M25" s="53">
        <f t="shared" si="2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45005</v>
      </c>
      <c r="C26" s="45">
        <v>12000</v>
      </c>
      <c r="D26" s="46">
        <f>490000+12000</f>
        <v>502000</v>
      </c>
      <c r="E26" s="45">
        <v>0</v>
      </c>
      <c r="F26" s="46">
        <v>0</v>
      </c>
      <c r="G26" s="45">
        <v>0</v>
      </c>
      <c r="H26" s="46">
        <v>0</v>
      </c>
      <c r="I26" s="45">
        <v>5000</v>
      </c>
      <c r="J26" s="46">
        <v>0</v>
      </c>
      <c r="K26" s="56">
        <f t="shared" si="3"/>
        <v>519000</v>
      </c>
      <c r="L26" s="52">
        <v>519000</v>
      </c>
      <c r="M26" s="53">
        <f t="shared" si="2"/>
        <v>0</v>
      </c>
      <c r="O26" s="68" t="s">
        <v>56</v>
      </c>
      <c r="P26" s="68" t="s">
        <v>57</v>
      </c>
      <c r="W26" s="67"/>
      <c r="X26" s="78"/>
      <c r="Y26" s="78"/>
      <c r="Z26" s="68"/>
    </row>
    <row r="27" spans="2:26" x14ac:dyDescent="0.25">
      <c r="B27" s="15">
        <f t="shared" si="1"/>
        <v>45006</v>
      </c>
      <c r="C27" s="43">
        <v>0</v>
      </c>
      <c r="D27" s="46">
        <f>2000+360000</f>
        <v>362000</v>
      </c>
      <c r="E27" s="45">
        <v>160000</v>
      </c>
      <c r="F27" s="46">
        <v>45000</v>
      </c>
      <c r="G27" s="43">
        <v>0</v>
      </c>
      <c r="H27" s="46">
        <v>0</v>
      </c>
      <c r="I27" s="43">
        <v>0</v>
      </c>
      <c r="J27" s="46">
        <v>6600</v>
      </c>
      <c r="K27" s="56">
        <f t="shared" ref="K27:K37" si="4">SUM(C27:J27)</f>
        <v>573600</v>
      </c>
      <c r="L27" s="51">
        <v>573600</v>
      </c>
      <c r="M27" s="53">
        <f t="shared" si="2"/>
        <v>0</v>
      </c>
      <c r="O27" s="78" t="s">
        <v>58</v>
      </c>
      <c r="W27" s="68"/>
      <c r="X27" s="78"/>
      <c r="Y27" s="68"/>
      <c r="Z27" s="68"/>
    </row>
    <row r="28" spans="2:26" x14ac:dyDescent="0.25">
      <c r="B28" s="15">
        <f t="shared" si="1"/>
        <v>45007</v>
      </c>
      <c r="C28" s="43">
        <v>8000</v>
      </c>
      <c r="D28" s="46">
        <v>524000</v>
      </c>
      <c r="E28" s="45">
        <v>0</v>
      </c>
      <c r="F28" s="46">
        <v>760000</v>
      </c>
      <c r="G28" s="43">
        <v>0</v>
      </c>
      <c r="H28" s="46">
        <v>0</v>
      </c>
      <c r="I28" s="43">
        <v>2200</v>
      </c>
      <c r="J28" s="95">
        <v>7000</v>
      </c>
      <c r="K28" s="56">
        <f>SUM(C28:J28)</f>
        <v>1301200</v>
      </c>
      <c r="L28" s="52">
        <v>1301200</v>
      </c>
      <c r="M28" s="53">
        <f t="shared" si="2"/>
        <v>0</v>
      </c>
      <c r="N28" s="78" t="s">
        <v>58</v>
      </c>
      <c r="O28" s="94" t="s">
        <v>34</v>
      </c>
      <c r="P28" s="68" t="s">
        <v>59</v>
      </c>
      <c r="W28" s="68"/>
      <c r="X28" s="67"/>
      <c r="Y28" s="68"/>
      <c r="Z28" s="68"/>
    </row>
    <row r="29" spans="2:26" x14ac:dyDescent="0.25">
      <c r="B29" s="15">
        <f t="shared" si="1"/>
        <v>45008</v>
      </c>
      <c r="C29" s="45">
        <v>0</v>
      </c>
      <c r="D29" s="46">
        <v>225000</v>
      </c>
      <c r="E29" s="45">
        <v>0</v>
      </c>
      <c r="F29" s="46">
        <v>380000</v>
      </c>
      <c r="G29" s="45">
        <v>0</v>
      </c>
      <c r="H29" s="46">
        <v>0</v>
      </c>
      <c r="I29" s="45">
        <v>2200</v>
      </c>
      <c r="J29" s="46">
        <v>2200</v>
      </c>
      <c r="K29" s="56">
        <f>SUM(C29:J29)</f>
        <v>609400</v>
      </c>
      <c r="L29" s="52">
        <v>609400</v>
      </c>
      <c r="M29" s="53">
        <f t="shared" si="2"/>
        <v>0</v>
      </c>
      <c r="O29" s="78" t="s">
        <v>58</v>
      </c>
      <c r="W29" s="67"/>
      <c r="X29" s="78"/>
      <c r="Y29" s="78"/>
      <c r="Z29" s="68"/>
    </row>
    <row r="30" spans="2:26" x14ac:dyDescent="0.25">
      <c r="B30" s="15">
        <f t="shared" si="1"/>
        <v>45009</v>
      </c>
      <c r="C30" s="43">
        <v>0</v>
      </c>
      <c r="D30" s="46">
        <v>440000</v>
      </c>
      <c r="E30" s="45">
        <v>0</v>
      </c>
      <c r="F30" s="46">
        <v>380000</v>
      </c>
      <c r="G30" s="43">
        <v>0</v>
      </c>
      <c r="H30" s="46">
        <v>0</v>
      </c>
      <c r="I30" s="43">
        <v>4400</v>
      </c>
      <c r="J30" s="46">
        <v>0</v>
      </c>
      <c r="K30" s="56">
        <f t="shared" si="4"/>
        <v>824400</v>
      </c>
      <c r="L30" s="51">
        <v>824400</v>
      </c>
      <c r="M30" s="53">
        <f t="shared" si="2"/>
        <v>0</v>
      </c>
      <c r="O30" s="78" t="s">
        <v>58</v>
      </c>
      <c r="W30" s="67"/>
      <c r="X30" s="78"/>
      <c r="Y30" s="78"/>
      <c r="Z30" s="68"/>
    </row>
    <row r="31" spans="2:26" x14ac:dyDescent="0.25">
      <c r="B31" s="15">
        <f t="shared" si="1"/>
        <v>45010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0</v>
      </c>
      <c r="I31" s="43">
        <v>0</v>
      </c>
      <c r="J31" s="46">
        <v>0</v>
      </c>
      <c r="K31" s="56">
        <f t="shared" si="4"/>
        <v>0</v>
      </c>
      <c r="L31" s="52">
        <v>0</v>
      </c>
      <c r="M31" s="53">
        <f t="shared" si="2"/>
        <v>0</v>
      </c>
      <c r="W31" s="68"/>
      <c r="X31" s="78"/>
      <c r="Y31" s="78"/>
      <c r="Z31" s="67"/>
    </row>
    <row r="32" spans="2:26" x14ac:dyDescent="0.25">
      <c r="B32" s="15">
        <f t="shared" si="1"/>
        <v>45011</v>
      </c>
      <c r="C32" s="43">
        <v>0</v>
      </c>
      <c r="D32" s="46">
        <v>0</v>
      </c>
      <c r="E32" s="43">
        <v>0</v>
      </c>
      <c r="F32" s="46">
        <v>0</v>
      </c>
      <c r="G32" s="43">
        <v>0</v>
      </c>
      <c r="H32" s="46">
        <v>0</v>
      </c>
      <c r="I32" s="43">
        <v>0</v>
      </c>
      <c r="J32" s="46"/>
      <c r="K32" s="56">
        <f t="shared" si="4"/>
        <v>0</v>
      </c>
      <c r="L32" s="52">
        <v>0</v>
      </c>
      <c r="M32" s="53">
        <f t="shared" si="2"/>
        <v>0</v>
      </c>
      <c r="W32" s="68"/>
      <c r="X32" s="67"/>
      <c r="Y32" s="78"/>
      <c r="Z32" s="68"/>
    </row>
    <row r="33" spans="1:26" x14ac:dyDescent="0.25">
      <c r="B33" s="15">
        <f t="shared" si="1"/>
        <v>45012</v>
      </c>
      <c r="C33" s="43">
        <v>0</v>
      </c>
      <c r="D33" s="46">
        <f>210000+4000+4000</f>
        <v>218000</v>
      </c>
      <c r="E33" s="45">
        <v>0</v>
      </c>
      <c r="F33" s="46">
        <v>0</v>
      </c>
      <c r="G33" s="43">
        <v>0</v>
      </c>
      <c r="H33" s="46">
        <v>0</v>
      </c>
      <c r="I33" s="43">
        <v>2200</v>
      </c>
      <c r="J33" s="46">
        <v>0</v>
      </c>
      <c r="K33" s="56">
        <f t="shared" si="4"/>
        <v>220200</v>
      </c>
      <c r="L33" s="51">
        <v>220200</v>
      </c>
      <c r="M33" s="53">
        <f t="shared" si="2"/>
        <v>0</v>
      </c>
      <c r="O33" s="78" t="s">
        <v>58</v>
      </c>
      <c r="W33" s="68"/>
      <c r="X33" s="78"/>
      <c r="Y33" s="78"/>
      <c r="Z33" s="68"/>
    </row>
    <row r="34" spans="1:26" x14ac:dyDescent="0.25">
      <c r="B34" s="15">
        <f t="shared" si="1"/>
        <v>45013</v>
      </c>
      <c r="C34" s="45">
        <v>0</v>
      </c>
      <c r="D34" s="46">
        <f>424000+630000</f>
        <v>1054000</v>
      </c>
      <c r="E34" s="45">
        <v>360000</v>
      </c>
      <c r="F34" s="46">
        <v>105000</v>
      </c>
      <c r="G34" s="45">
        <v>0</v>
      </c>
      <c r="H34" s="46">
        <v>0</v>
      </c>
      <c r="I34" s="45">
        <v>4400</v>
      </c>
      <c r="J34" s="46">
        <v>0</v>
      </c>
      <c r="K34" s="56">
        <f t="shared" si="4"/>
        <v>1523400</v>
      </c>
      <c r="L34" s="52">
        <v>1523400</v>
      </c>
      <c r="M34" s="53">
        <f t="shared" si="2"/>
        <v>0</v>
      </c>
      <c r="O34" s="68" t="s">
        <v>58</v>
      </c>
      <c r="W34" s="68"/>
      <c r="X34" s="78"/>
      <c r="Y34" s="78"/>
      <c r="Z34" s="68"/>
    </row>
    <row r="35" spans="1:26" x14ac:dyDescent="0.25">
      <c r="B35" s="15">
        <f t="shared" si="1"/>
        <v>45014</v>
      </c>
      <c r="C35" s="47">
        <v>0</v>
      </c>
      <c r="D35" s="48">
        <v>0</v>
      </c>
      <c r="E35" s="49">
        <v>0</v>
      </c>
      <c r="F35" s="50">
        <f>360000+330000</f>
        <v>690000</v>
      </c>
      <c r="G35" s="47">
        <v>0</v>
      </c>
      <c r="H35" s="48">
        <v>280000</v>
      </c>
      <c r="I35" s="47">
        <v>0</v>
      </c>
      <c r="J35" s="48">
        <v>0</v>
      </c>
      <c r="K35" s="56">
        <f t="shared" si="4"/>
        <v>970000</v>
      </c>
      <c r="L35" s="54">
        <v>970000</v>
      </c>
      <c r="M35" s="55">
        <f t="shared" si="2"/>
        <v>0</v>
      </c>
      <c r="N35" s="68" t="s">
        <v>30</v>
      </c>
      <c r="W35" s="68"/>
      <c r="X35" s="78"/>
      <c r="Y35" s="78"/>
      <c r="Z35" s="68"/>
    </row>
    <row r="36" spans="1:26" x14ac:dyDescent="0.25">
      <c r="B36" s="15">
        <f t="shared" si="1"/>
        <v>45015</v>
      </c>
      <c r="C36" s="47">
        <v>0</v>
      </c>
      <c r="D36" s="48">
        <v>690000</v>
      </c>
      <c r="E36" s="49">
        <v>0</v>
      </c>
      <c r="F36" s="50">
        <v>0</v>
      </c>
      <c r="G36" s="47">
        <v>0</v>
      </c>
      <c r="H36" s="48">
        <v>20000</v>
      </c>
      <c r="I36" s="47">
        <f>2200+6000</f>
        <v>8200</v>
      </c>
      <c r="J36" s="100">
        <v>16500</v>
      </c>
      <c r="K36" s="56">
        <f t="shared" si="4"/>
        <v>734700</v>
      </c>
      <c r="L36" s="54">
        <v>734700</v>
      </c>
      <c r="M36" s="55">
        <f t="shared" si="2"/>
        <v>0</v>
      </c>
      <c r="N36" s="68" t="s">
        <v>30</v>
      </c>
      <c r="O36" s="94" t="s">
        <v>34</v>
      </c>
      <c r="P36" s="68" t="s">
        <v>60</v>
      </c>
      <c r="Q36" s="101" t="s">
        <v>61</v>
      </c>
      <c r="W36" s="68"/>
      <c r="Z36" s="68"/>
    </row>
    <row r="37" spans="1:26" x14ac:dyDescent="0.25">
      <c r="B37" s="15">
        <f t="shared" si="1"/>
        <v>45016</v>
      </c>
      <c r="C37" s="47"/>
      <c r="D37" s="48"/>
      <c r="E37" s="49"/>
      <c r="F37" s="50"/>
      <c r="G37" s="47"/>
      <c r="H37" s="48"/>
      <c r="I37" s="47"/>
      <c r="J37" s="48"/>
      <c r="K37" s="56">
        <f t="shared" si="4"/>
        <v>0</v>
      </c>
      <c r="L37" s="54"/>
      <c r="M37" s="55">
        <f t="shared" si="2"/>
        <v>0</v>
      </c>
      <c r="O37" s="78"/>
      <c r="P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1099000</v>
      </c>
      <c r="D39" s="25">
        <f>SUM(D7:D38)</f>
        <v>8268000</v>
      </c>
      <c r="E39" s="24">
        <f t="shared" ref="E39:J39" si="5">SUM(E7:E38)</f>
        <v>1700000</v>
      </c>
      <c r="F39" s="59">
        <f t="shared" si="5"/>
        <v>5404000</v>
      </c>
      <c r="G39" s="24">
        <f t="shared" si="5"/>
        <v>0</v>
      </c>
      <c r="H39" s="25">
        <f t="shared" si="5"/>
        <v>511500</v>
      </c>
      <c r="I39" s="24">
        <f t="shared" si="5"/>
        <v>36600</v>
      </c>
      <c r="J39" s="25">
        <f t="shared" si="5"/>
        <v>49800</v>
      </c>
      <c r="K39" s="28">
        <f>SUM(K7:K38)</f>
        <v>17068900</v>
      </c>
      <c r="L39" s="27">
        <f>SUM(L7:L38)</f>
        <v>17618900</v>
      </c>
      <c r="M39" s="26">
        <f>L39-K39</f>
        <v>550000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9367000</v>
      </c>
      <c r="D40" s="268"/>
      <c r="E40" s="267">
        <f>SUM(E39:F39)</f>
        <v>7104000</v>
      </c>
      <c r="F40" s="269"/>
      <c r="G40" s="267">
        <f>SUM(G39:H39)</f>
        <v>511500</v>
      </c>
      <c r="H40" s="268"/>
      <c r="I40" s="267">
        <f>SUM(I39:J39)</f>
        <v>86400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44985</v>
      </c>
      <c r="C45" s="3">
        <v>0</v>
      </c>
      <c r="D45" s="14">
        <v>0</v>
      </c>
      <c r="E45" s="3">
        <v>0</v>
      </c>
      <c r="F45" s="14">
        <v>390000</v>
      </c>
      <c r="G45" s="3">
        <v>0</v>
      </c>
      <c r="H45" s="14">
        <v>220000</v>
      </c>
      <c r="I45" s="3">
        <v>0</v>
      </c>
      <c r="J45" s="14">
        <v>0</v>
      </c>
      <c r="K45" s="3">
        <f>SUM(C45:J45)</f>
        <v>610000</v>
      </c>
      <c r="L45" s="3">
        <v>610000</v>
      </c>
      <c r="M45" s="3">
        <f>L45-K45</f>
        <v>0</v>
      </c>
      <c r="N45" s="85">
        <v>44986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45016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0</v>
      </c>
      <c r="L48" s="3"/>
      <c r="M48" s="3">
        <f>L48-K48</f>
        <v>0</v>
      </c>
      <c r="N48" s="85">
        <v>45019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0</v>
      </c>
      <c r="E50" s="262">
        <f>F45+F46-F47-F48</f>
        <v>390000</v>
      </c>
      <c r="F50" s="263"/>
      <c r="G50" s="262">
        <f>H45+H46-H47-H48</f>
        <v>220000</v>
      </c>
      <c r="H50" s="263"/>
      <c r="I50" s="262">
        <f>J45+J46-J47-J48</f>
        <v>0</v>
      </c>
      <c r="J50" s="263"/>
    </row>
    <row r="51" spans="2:24" x14ac:dyDescent="0.25">
      <c r="B51" s="264" t="s">
        <v>12</v>
      </c>
      <c r="C51" s="264"/>
      <c r="D51" s="31">
        <f>D39+D50</f>
        <v>8268000</v>
      </c>
      <c r="E51" s="265">
        <f>F39+E50</f>
        <v>5794000</v>
      </c>
      <c r="F51" s="266"/>
      <c r="G51" s="265">
        <f>H39+G50</f>
        <v>731500</v>
      </c>
      <c r="H51" s="266"/>
      <c r="I51" s="265">
        <f>J39+I50</f>
        <v>49800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14843300</v>
      </c>
      <c r="E52" s="258"/>
      <c r="F52" s="258"/>
      <c r="G52" s="258"/>
      <c r="H52" s="258"/>
      <c r="I52" s="96"/>
      <c r="J52" s="96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D51*0.0155-12.4</f>
        <v>128141.6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2835600</v>
      </c>
      <c r="D55" s="34">
        <f>D39+H39+F39+J39</f>
        <v>14233300</v>
      </c>
      <c r="E55" s="58"/>
      <c r="F55" s="58"/>
      <c r="K55" s="63" t="s">
        <v>25</v>
      </c>
      <c r="L55" s="64">
        <f>E51*0.0155</f>
        <v>89807</v>
      </c>
      <c r="N55" s="88"/>
      <c r="X55" s="71"/>
    </row>
    <row r="56" spans="2:24" x14ac:dyDescent="0.25">
      <c r="C56" s="259">
        <f>SUM(C55:D55)</f>
        <v>17068900</v>
      </c>
      <c r="D56" s="260"/>
      <c r="E56" s="57"/>
      <c r="F56" s="57"/>
      <c r="K56" s="63" t="s">
        <v>28</v>
      </c>
      <c r="L56" s="64">
        <f>G51*0.0155</f>
        <v>11338.25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I51*0.0155-6.82-38.75</f>
        <v>726.32999999999993</v>
      </c>
      <c r="W57" s="4"/>
    </row>
    <row r="58" spans="2:24" x14ac:dyDescent="0.25">
      <c r="J58" t="s">
        <v>3</v>
      </c>
      <c r="L58" s="64">
        <f>SUM(L54:L57)</f>
        <v>230013.18</v>
      </c>
      <c r="W58" s="4"/>
    </row>
    <row r="59" spans="2:24" x14ac:dyDescent="0.25">
      <c r="B59" s="1" t="s">
        <v>19</v>
      </c>
      <c r="C59" s="259">
        <f>C39+D52+E39+G39+I39</f>
        <v>17678900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52:C52"/>
    <mergeCell ref="D52:H52"/>
    <mergeCell ref="C56:D56"/>
    <mergeCell ref="C59:D59"/>
    <mergeCell ref="B50:C50"/>
    <mergeCell ref="E50:F50"/>
    <mergeCell ref="G50:H50"/>
    <mergeCell ref="I50:J50"/>
    <mergeCell ref="B51:C51"/>
    <mergeCell ref="E51:F51"/>
    <mergeCell ref="G51:H51"/>
    <mergeCell ref="I51:J51"/>
    <mergeCell ref="C40:D40"/>
    <mergeCell ref="E40:F40"/>
    <mergeCell ref="G40:H40"/>
    <mergeCell ref="I40:J40"/>
    <mergeCell ref="C43:D43"/>
    <mergeCell ref="E43:F43"/>
    <mergeCell ref="G43:H43"/>
    <mergeCell ref="I43:J43"/>
    <mergeCell ref="B2:K2"/>
    <mergeCell ref="B3:C3"/>
    <mergeCell ref="D3:G3"/>
    <mergeCell ref="C5:D5"/>
    <mergeCell ref="E5:F5"/>
    <mergeCell ref="G5:H5"/>
    <mergeCell ref="I5:J5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1"/>
  <sheetViews>
    <sheetView topLeftCell="A7" workbookViewId="0">
      <selection activeCell="P19" sqref="P19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7.140625" customWidth="1"/>
    <col min="14" max="14" width="7.8554687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53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44986</v>
      </c>
      <c r="C7" s="45">
        <v>390000</v>
      </c>
      <c r="D7" s="46">
        <v>59000</v>
      </c>
      <c r="E7" s="45">
        <v>0</v>
      </c>
      <c r="F7" s="46">
        <v>360000</v>
      </c>
      <c r="G7" s="69">
        <v>0</v>
      </c>
      <c r="H7" s="70">
        <v>2000</v>
      </c>
      <c r="I7" s="69">
        <v>0</v>
      </c>
      <c r="J7" s="70">
        <v>0</v>
      </c>
      <c r="K7" s="56">
        <f t="shared" ref="K7:K37" si="0">SUM(C7:J7)</f>
        <v>811000</v>
      </c>
      <c r="L7" s="52">
        <v>811000</v>
      </c>
      <c r="M7" s="53">
        <f>L7-K7</f>
        <v>0</v>
      </c>
      <c r="O7" s="78"/>
      <c r="V7" s="68"/>
      <c r="W7" s="68"/>
      <c r="X7" s="78"/>
      <c r="Y7" s="68"/>
      <c r="Z7" s="68"/>
    </row>
    <row r="8" spans="2:26" x14ac:dyDescent="0.25">
      <c r="B8" s="15">
        <f t="shared" ref="B8:B37" si="1">B7+1</f>
        <v>44987</v>
      </c>
      <c r="C8" s="43">
        <v>0</v>
      </c>
      <c r="D8" s="46">
        <v>634000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634000</v>
      </c>
      <c r="L8" s="52">
        <v>634000</v>
      </c>
      <c r="M8" s="53">
        <f t="shared" ref="M8:M37" si="2">L8-K8</f>
        <v>0</v>
      </c>
      <c r="V8" s="68"/>
      <c r="W8" s="68"/>
      <c r="X8" s="78"/>
      <c r="Y8" s="78"/>
      <c r="Z8" s="68"/>
    </row>
    <row r="9" spans="2:26" x14ac:dyDescent="0.25">
      <c r="B9" s="15">
        <f t="shared" si="1"/>
        <v>44988</v>
      </c>
      <c r="C9" s="45">
        <v>673000</v>
      </c>
      <c r="D9" s="44">
        <v>120000</v>
      </c>
      <c r="E9" s="45">
        <v>0</v>
      </c>
      <c r="F9" s="46">
        <v>100000</v>
      </c>
      <c r="G9" s="45">
        <v>0</v>
      </c>
      <c r="H9" s="46">
        <v>0</v>
      </c>
      <c r="I9" s="45">
        <v>0</v>
      </c>
      <c r="J9" s="46">
        <v>0</v>
      </c>
      <c r="K9" s="56">
        <f t="shared" si="0"/>
        <v>893000</v>
      </c>
      <c r="L9" s="51">
        <v>893000</v>
      </c>
      <c r="M9" s="53">
        <f t="shared" si="2"/>
        <v>0</v>
      </c>
      <c r="O9" s="67"/>
      <c r="V9" s="67"/>
      <c r="W9" s="67"/>
      <c r="X9" s="78"/>
      <c r="Y9" s="78"/>
      <c r="Z9" s="68"/>
    </row>
    <row r="10" spans="2:26" x14ac:dyDescent="0.25">
      <c r="B10" s="15">
        <f t="shared" si="1"/>
        <v>44989</v>
      </c>
      <c r="C10" s="43">
        <v>0</v>
      </c>
      <c r="D10" s="46">
        <v>0</v>
      </c>
      <c r="E10" s="45">
        <v>0</v>
      </c>
      <c r="F10" s="46">
        <v>420000</v>
      </c>
      <c r="G10" s="43">
        <v>0</v>
      </c>
      <c r="H10" s="46">
        <v>0</v>
      </c>
      <c r="I10" s="43">
        <v>0</v>
      </c>
      <c r="J10" s="46">
        <v>0</v>
      </c>
      <c r="K10" s="56">
        <f t="shared" si="0"/>
        <v>420000</v>
      </c>
      <c r="L10" s="52">
        <v>420000</v>
      </c>
      <c r="M10" s="53">
        <f t="shared" si="2"/>
        <v>0</v>
      </c>
      <c r="V10" s="67"/>
      <c r="W10" s="68" t="s">
        <v>39</v>
      </c>
      <c r="X10" s="78"/>
      <c r="Y10" s="78"/>
      <c r="Z10" s="68"/>
    </row>
    <row r="11" spans="2:26" x14ac:dyDescent="0.25">
      <c r="B11" s="15">
        <f t="shared" si="1"/>
        <v>44990</v>
      </c>
      <c r="C11" s="45">
        <v>0</v>
      </c>
      <c r="D11" s="46">
        <v>0</v>
      </c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56">
        <f t="shared" si="0"/>
        <v>0</v>
      </c>
      <c r="L11" s="52">
        <v>0</v>
      </c>
      <c r="M11" s="53">
        <f t="shared" si="2"/>
        <v>0</v>
      </c>
      <c r="V11" s="68"/>
      <c r="W11" s="68" t="s">
        <v>30</v>
      </c>
      <c r="X11" s="78"/>
      <c r="Y11" s="78"/>
      <c r="Z11" s="68"/>
    </row>
    <row r="12" spans="2:26" x14ac:dyDescent="0.25">
      <c r="B12" s="15">
        <f t="shared" si="1"/>
        <v>44991</v>
      </c>
      <c r="C12" s="45">
        <v>12000</v>
      </c>
      <c r="D12" s="46">
        <v>8000</v>
      </c>
      <c r="E12" s="45">
        <v>0</v>
      </c>
      <c r="F12" s="46">
        <v>0</v>
      </c>
      <c r="G12" s="45">
        <v>0</v>
      </c>
      <c r="H12" s="46">
        <v>2000</v>
      </c>
      <c r="I12" s="45">
        <v>0</v>
      </c>
      <c r="J12" s="46">
        <v>0</v>
      </c>
      <c r="K12" s="56">
        <f t="shared" si="0"/>
        <v>22000</v>
      </c>
      <c r="L12" s="51">
        <v>22000</v>
      </c>
      <c r="M12" s="53">
        <f t="shared" si="2"/>
        <v>0</v>
      </c>
      <c r="N12" s="68" t="s">
        <v>39</v>
      </c>
      <c r="V12" s="68"/>
      <c r="W12" s="67" t="s">
        <v>32</v>
      </c>
      <c r="X12" s="78"/>
      <c r="Y12" s="78"/>
      <c r="Z12" s="68"/>
    </row>
    <row r="13" spans="2:26" x14ac:dyDescent="0.25">
      <c r="B13" s="15">
        <f t="shared" si="1"/>
        <v>44992</v>
      </c>
      <c r="C13" s="45">
        <v>0</v>
      </c>
      <c r="D13" s="46">
        <v>0</v>
      </c>
      <c r="E13" s="45">
        <v>0</v>
      </c>
      <c r="F13" s="46">
        <v>434000</v>
      </c>
      <c r="G13" s="45">
        <v>0</v>
      </c>
      <c r="H13" s="46">
        <v>0</v>
      </c>
      <c r="I13" s="45">
        <v>0</v>
      </c>
      <c r="J13" s="46">
        <v>4000</v>
      </c>
      <c r="K13" s="56">
        <f t="shared" si="0"/>
        <v>438000</v>
      </c>
      <c r="L13" s="52">
        <v>438000</v>
      </c>
      <c r="M13" s="53">
        <f t="shared" si="2"/>
        <v>0</v>
      </c>
      <c r="O13" s="78" t="s">
        <v>33</v>
      </c>
      <c r="P13" s="67"/>
      <c r="V13" s="68"/>
      <c r="W13" s="68" t="s">
        <v>45</v>
      </c>
      <c r="Y13" s="79"/>
      <c r="Z13" s="68"/>
    </row>
    <row r="14" spans="2:26" x14ac:dyDescent="0.25">
      <c r="B14" s="15">
        <f t="shared" si="1"/>
        <v>44993</v>
      </c>
      <c r="C14" s="43">
        <v>0</v>
      </c>
      <c r="D14" s="46">
        <v>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97">
        <v>0</v>
      </c>
      <c r="K14" s="56">
        <f t="shared" si="0"/>
        <v>0</v>
      </c>
      <c r="L14" s="52">
        <v>0</v>
      </c>
      <c r="M14" s="53">
        <f t="shared" si="2"/>
        <v>0</v>
      </c>
      <c r="N14" s="94"/>
      <c r="V14" s="68"/>
      <c r="W14" s="68" t="s">
        <v>52</v>
      </c>
      <c r="X14" s="68"/>
      <c r="Y14" s="78"/>
      <c r="Z14" s="68"/>
    </row>
    <row r="15" spans="2:26" x14ac:dyDescent="0.25">
      <c r="B15" s="15">
        <f t="shared" si="1"/>
        <v>44994</v>
      </c>
      <c r="C15" s="45">
        <v>0</v>
      </c>
      <c r="D15" s="46">
        <f>155000+90000+40000</f>
        <v>285000</v>
      </c>
      <c r="E15" s="45">
        <v>0</v>
      </c>
      <c r="F15" s="46">
        <f>150000+230000</f>
        <v>380000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0"/>
        <v>665000</v>
      </c>
      <c r="L15" s="51">
        <v>665000</v>
      </c>
      <c r="M15" s="53">
        <f t="shared" si="2"/>
        <v>0</v>
      </c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44995</v>
      </c>
      <c r="C16" s="43">
        <v>0</v>
      </c>
      <c r="D16" s="46">
        <f>470000</f>
        <v>470000</v>
      </c>
      <c r="E16" s="45">
        <v>270000</v>
      </c>
      <c r="F16" s="46">
        <f>35000+170000</f>
        <v>205000</v>
      </c>
      <c r="G16" s="43">
        <v>0</v>
      </c>
      <c r="H16" s="46">
        <v>0</v>
      </c>
      <c r="I16" s="43">
        <v>0</v>
      </c>
      <c r="J16" s="46">
        <v>0</v>
      </c>
      <c r="K16" s="56">
        <f>SUM(C16:J16)</f>
        <v>945000</v>
      </c>
      <c r="L16" s="52">
        <v>945000</v>
      </c>
      <c r="M16" s="53">
        <f t="shared" si="2"/>
        <v>0</v>
      </c>
      <c r="O16" s="78"/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44996</v>
      </c>
      <c r="C17" s="45">
        <v>0</v>
      </c>
      <c r="D17" s="46">
        <v>0</v>
      </c>
      <c r="E17" s="43">
        <v>0</v>
      </c>
      <c r="F17" s="44">
        <v>0</v>
      </c>
      <c r="G17" s="45">
        <v>0</v>
      </c>
      <c r="H17" s="44">
        <v>2500</v>
      </c>
      <c r="I17" s="45">
        <v>0</v>
      </c>
      <c r="J17" s="44">
        <v>0</v>
      </c>
      <c r="K17" s="56">
        <f t="shared" si="0"/>
        <v>2500</v>
      </c>
      <c r="L17" s="52">
        <v>2500</v>
      </c>
      <c r="M17" s="53">
        <f t="shared" si="2"/>
        <v>0</v>
      </c>
      <c r="N17" s="68" t="s">
        <v>39</v>
      </c>
      <c r="V17" s="67"/>
      <c r="W17" s="67"/>
      <c r="X17" s="78"/>
      <c r="Y17" s="78"/>
      <c r="Z17" s="68"/>
    </row>
    <row r="18" spans="2:26" x14ac:dyDescent="0.25">
      <c r="B18" s="15">
        <f t="shared" si="1"/>
        <v>44997</v>
      </c>
      <c r="C18" s="43">
        <v>0</v>
      </c>
      <c r="D18" s="46">
        <v>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46">
        <v>0</v>
      </c>
      <c r="K18" s="56">
        <f t="shared" si="0"/>
        <v>0</v>
      </c>
      <c r="L18" s="51">
        <v>0</v>
      </c>
      <c r="M18" s="53">
        <f t="shared" si="2"/>
        <v>0</v>
      </c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44998</v>
      </c>
      <c r="C19" s="45">
        <v>4000</v>
      </c>
      <c r="D19" s="46">
        <v>448000</v>
      </c>
      <c r="E19" s="45">
        <v>0</v>
      </c>
      <c r="F19" s="46">
        <v>0</v>
      </c>
      <c r="G19" s="45">
        <v>0</v>
      </c>
      <c r="H19" s="46">
        <v>0</v>
      </c>
      <c r="I19" s="45">
        <v>2000</v>
      </c>
      <c r="J19" s="46">
        <v>2000</v>
      </c>
      <c r="K19" s="56">
        <f t="shared" si="0"/>
        <v>456000</v>
      </c>
      <c r="L19" s="52">
        <v>1006000</v>
      </c>
      <c r="M19" s="53">
        <f t="shared" si="2"/>
        <v>550000</v>
      </c>
      <c r="N19" s="68" t="s">
        <v>30</v>
      </c>
      <c r="O19" s="67" t="s">
        <v>33</v>
      </c>
      <c r="P19" s="68" t="s">
        <v>55</v>
      </c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44999</v>
      </c>
      <c r="C20" s="45">
        <v>0</v>
      </c>
      <c r="D20" s="44">
        <v>695000</v>
      </c>
      <c r="E20" s="45">
        <v>0</v>
      </c>
      <c r="F20" s="46">
        <v>380000</v>
      </c>
      <c r="G20" s="45">
        <v>0</v>
      </c>
      <c r="H20" s="46">
        <v>2500</v>
      </c>
      <c r="I20" s="45">
        <v>0</v>
      </c>
      <c r="J20" s="46">
        <v>0</v>
      </c>
      <c r="K20" s="56">
        <f t="shared" si="0"/>
        <v>1077500</v>
      </c>
      <c r="L20" s="52">
        <v>1077500</v>
      </c>
      <c r="M20" s="53">
        <f t="shared" si="2"/>
        <v>0</v>
      </c>
      <c r="N20" s="68" t="s">
        <v>39</v>
      </c>
      <c r="V20" s="67"/>
      <c r="W20" s="78" t="s">
        <v>33</v>
      </c>
      <c r="Y20" s="78"/>
      <c r="Z20" s="68"/>
    </row>
    <row r="21" spans="2:26" x14ac:dyDescent="0.25">
      <c r="B21" s="15">
        <f>B20+1</f>
        <v>45000</v>
      </c>
      <c r="C21" s="45">
        <v>0</v>
      </c>
      <c r="D21" s="46">
        <f>475000+4000+4000+4000+2000</f>
        <v>489000</v>
      </c>
      <c r="E21" s="45">
        <v>680000</v>
      </c>
      <c r="F21" s="46">
        <v>20000</v>
      </c>
      <c r="G21" s="45">
        <v>0</v>
      </c>
      <c r="H21" s="46">
        <v>0</v>
      </c>
      <c r="I21" s="45">
        <v>0</v>
      </c>
      <c r="J21" s="46">
        <v>0</v>
      </c>
      <c r="K21" s="56">
        <f t="shared" si="0"/>
        <v>1189000</v>
      </c>
      <c r="L21" s="51">
        <v>1189000</v>
      </c>
      <c r="M21" s="53">
        <f t="shared" si="2"/>
        <v>0</v>
      </c>
      <c r="W21" s="78" t="s">
        <v>58</v>
      </c>
      <c r="X21" s="78"/>
      <c r="Y21" s="78"/>
      <c r="Z21" s="68"/>
    </row>
    <row r="22" spans="2:26" x14ac:dyDescent="0.25">
      <c r="B22" s="15">
        <f t="shared" si="1"/>
        <v>45001</v>
      </c>
      <c r="C22" s="45">
        <v>0</v>
      </c>
      <c r="D22" s="46">
        <v>550000</v>
      </c>
      <c r="E22" s="45">
        <v>30000</v>
      </c>
      <c r="F22" s="46">
        <v>600000</v>
      </c>
      <c r="G22" s="45">
        <v>0</v>
      </c>
      <c r="H22" s="46">
        <v>200000</v>
      </c>
      <c r="I22" s="98">
        <v>6000</v>
      </c>
      <c r="J22" s="95">
        <v>11500</v>
      </c>
      <c r="K22" s="56">
        <f t="shared" si="0"/>
        <v>1397500</v>
      </c>
      <c r="L22" s="52">
        <v>1397500</v>
      </c>
      <c r="M22" s="53">
        <f t="shared" si="2"/>
        <v>0</v>
      </c>
      <c r="N22" s="67" t="s">
        <v>32</v>
      </c>
      <c r="O22" s="94" t="s">
        <v>34</v>
      </c>
      <c r="W22" s="67"/>
      <c r="X22" s="78"/>
      <c r="Y22" s="78"/>
      <c r="Z22" s="68"/>
    </row>
    <row r="23" spans="2:26" x14ac:dyDescent="0.25">
      <c r="B23" s="15">
        <f t="shared" si="1"/>
        <v>45002</v>
      </c>
      <c r="C23" s="45">
        <v>0</v>
      </c>
      <c r="D23" s="46">
        <v>495000</v>
      </c>
      <c r="E23" s="45">
        <v>200000</v>
      </c>
      <c r="F23" s="46">
        <v>110000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0"/>
        <v>805000</v>
      </c>
      <c r="L23" s="52">
        <v>805000</v>
      </c>
      <c r="M23" s="53">
        <f t="shared" si="2"/>
        <v>0</v>
      </c>
      <c r="O23" s="78"/>
      <c r="W23" s="67"/>
      <c r="X23" s="78"/>
      <c r="Y23" s="78"/>
      <c r="Z23" s="68"/>
    </row>
    <row r="24" spans="2:26" x14ac:dyDescent="0.25">
      <c r="B24" s="15">
        <f t="shared" si="1"/>
        <v>45003</v>
      </c>
      <c r="C24" s="43">
        <v>0</v>
      </c>
      <c r="D24" s="46">
        <v>0</v>
      </c>
      <c r="E24" s="45">
        <v>0</v>
      </c>
      <c r="F24" s="46">
        <v>35000</v>
      </c>
      <c r="G24" s="43">
        <v>0</v>
      </c>
      <c r="H24" s="46">
        <v>2500</v>
      </c>
      <c r="I24" s="43">
        <v>0</v>
      </c>
      <c r="J24" s="46">
        <v>0</v>
      </c>
      <c r="K24" s="56">
        <f t="shared" si="0"/>
        <v>37500</v>
      </c>
      <c r="L24" s="51">
        <v>37500</v>
      </c>
      <c r="M24" s="53">
        <f t="shared" si="2"/>
        <v>0</v>
      </c>
      <c r="V24" s="67"/>
      <c r="W24" s="67"/>
      <c r="Y24" s="78"/>
      <c r="Z24" s="68"/>
    </row>
    <row r="25" spans="2:26" x14ac:dyDescent="0.25">
      <c r="B25" s="15">
        <f t="shared" si="1"/>
        <v>45004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0"/>
        <v>0</v>
      </c>
      <c r="L25" s="52">
        <v>0</v>
      </c>
      <c r="M25" s="53">
        <f t="shared" si="2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45005</v>
      </c>
      <c r="C26" s="45">
        <v>12000</v>
      </c>
      <c r="D26" s="46">
        <f>490000+12000</f>
        <v>502000</v>
      </c>
      <c r="E26" s="45">
        <v>0</v>
      </c>
      <c r="F26" s="46">
        <v>0</v>
      </c>
      <c r="G26" s="45">
        <v>0</v>
      </c>
      <c r="H26" s="46">
        <v>0</v>
      </c>
      <c r="I26" s="45">
        <v>5000</v>
      </c>
      <c r="J26" s="46">
        <v>0</v>
      </c>
      <c r="K26" s="56">
        <f t="shared" si="0"/>
        <v>519000</v>
      </c>
      <c r="L26" s="52">
        <v>519000</v>
      </c>
      <c r="M26" s="53">
        <f t="shared" si="2"/>
        <v>0</v>
      </c>
      <c r="O26" s="68" t="s">
        <v>56</v>
      </c>
      <c r="P26" s="68" t="s">
        <v>57</v>
      </c>
      <c r="W26" s="67"/>
      <c r="X26" s="78"/>
      <c r="Y26" s="78"/>
      <c r="Z26" s="68"/>
    </row>
    <row r="27" spans="2:26" x14ac:dyDescent="0.25">
      <c r="B27" s="15">
        <f t="shared" si="1"/>
        <v>45006</v>
      </c>
      <c r="C27" s="43">
        <v>0</v>
      </c>
      <c r="D27" s="46">
        <f>2000+360000</f>
        <v>362000</v>
      </c>
      <c r="E27" s="45">
        <v>160000</v>
      </c>
      <c r="F27" s="46">
        <v>45000</v>
      </c>
      <c r="G27" s="43">
        <v>0</v>
      </c>
      <c r="H27" s="46">
        <v>0</v>
      </c>
      <c r="I27" s="43">
        <v>0</v>
      </c>
      <c r="J27" s="46">
        <v>6600</v>
      </c>
      <c r="K27" s="56">
        <f t="shared" si="0"/>
        <v>573600</v>
      </c>
      <c r="L27" s="51">
        <v>573600</v>
      </c>
      <c r="M27" s="53">
        <f t="shared" si="2"/>
        <v>0</v>
      </c>
      <c r="O27" s="78" t="s">
        <v>58</v>
      </c>
      <c r="W27" s="68"/>
      <c r="X27" s="78"/>
      <c r="Y27" s="68"/>
      <c r="Z27" s="68"/>
    </row>
    <row r="28" spans="2:26" x14ac:dyDescent="0.25">
      <c r="B28" s="15">
        <f t="shared" si="1"/>
        <v>45007</v>
      </c>
      <c r="C28" s="43">
        <v>8000</v>
      </c>
      <c r="D28" s="46">
        <v>524000</v>
      </c>
      <c r="E28" s="45">
        <v>0</v>
      </c>
      <c r="F28" s="46">
        <v>760000</v>
      </c>
      <c r="G28" s="43">
        <v>0</v>
      </c>
      <c r="H28" s="46">
        <v>0</v>
      </c>
      <c r="I28" s="43">
        <v>2200</v>
      </c>
      <c r="J28" s="95">
        <v>7000</v>
      </c>
      <c r="K28" s="56">
        <f>SUM(C28:J28)</f>
        <v>1301200</v>
      </c>
      <c r="L28" s="52">
        <v>1301200</v>
      </c>
      <c r="M28" s="53">
        <f t="shared" si="2"/>
        <v>0</v>
      </c>
      <c r="N28" s="78" t="s">
        <v>58</v>
      </c>
      <c r="O28" s="94" t="s">
        <v>34</v>
      </c>
      <c r="P28" s="68" t="s">
        <v>59</v>
      </c>
      <c r="W28" s="68"/>
      <c r="X28" s="67"/>
      <c r="Y28" s="68"/>
      <c r="Z28" s="68"/>
    </row>
    <row r="29" spans="2:26" x14ac:dyDescent="0.25">
      <c r="B29" s="15">
        <f t="shared" si="1"/>
        <v>45008</v>
      </c>
      <c r="C29" s="45">
        <v>0</v>
      </c>
      <c r="D29" s="46">
        <v>225000</v>
      </c>
      <c r="E29" s="45">
        <v>0</v>
      </c>
      <c r="F29" s="46">
        <v>380000</v>
      </c>
      <c r="G29" s="45">
        <v>0</v>
      </c>
      <c r="H29" s="46">
        <v>0</v>
      </c>
      <c r="I29" s="45">
        <v>2200</v>
      </c>
      <c r="J29" s="46">
        <v>2200</v>
      </c>
      <c r="K29" s="56">
        <f>SUM(C29:J29)</f>
        <v>609400</v>
      </c>
      <c r="L29" s="52">
        <v>609400</v>
      </c>
      <c r="M29" s="53">
        <f t="shared" si="2"/>
        <v>0</v>
      </c>
      <c r="O29" s="78" t="s">
        <v>58</v>
      </c>
      <c r="W29" s="67"/>
      <c r="X29" s="78"/>
      <c r="Y29" s="78"/>
      <c r="Z29" s="68"/>
    </row>
    <row r="30" spans="2:26" x14ac:dyDescent="0.25">
      <c r="B30" s="15">
        <f t="shared" si="1"/>
        <v>45009</v>
      </c>
      <c r="C30" s="43">
        <v>0</v>
      </c>
      <c r="D30" s="46">
        <v>440000</v>
      </c>
      <c r="E30" s="45">
        <v>0</v>
      </c>
      <c r="F30" s="46">
        <v>380000</v>
      </c>
      <c r="G30" s="43">
        <v>0</v>
      </c>
      <c r="H30" s="46">
        <v>0</v>
      </c>
      <c r="I30" s="43">
        <v>4400</v>
      </c>
      <c r="J30" s="46">
        <v>0</v>
      </c>
      <c r="K30" s="56">
        <f t="shared" si="0"/>
        <v>824400</v>
      </c>
      <c r="L30" s="51">
        <v>824400</v>
      </c>
      <c r="M30" s="53">
        <f t="shared" si="2"/>
        <v>0</v>
      </c>
      <c r="O30" s="78" t="s">
        <v>58</v>
      </c>
      <c r="W30" s="67"/>
      <c r="X30" s="78"/>
      <c r="Y30" s="78"/>
      <c r="Z30" s="68"/>
    </row>
    <row r="31" spans="2:26" x14ac:dyDescent="0.25">
      <c r="B31" s="15">
        <f t="shared" si="1"/>
        <v>45010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0</v>
      </c>
      <c r="I31" s="43">
        <v>0</v>
      </c>
      <c r="J31" s="46">
        <v>0</v>
      </c>
      <c r="K31" s="56">
        <f t="shared" si="0"/>
        <v>0</v>
      </c>
      <c r="L31" s="52">
        <v>0</v>
      </c>
      <c r="M31" s="53">
        <f t="shared" si="2"/>
        <v>0</v>
      </c>
      <c r="W31" s="68"/>
      <c r="X31" s="78"/>
      <c r="Y31" s="78"/>
      <c r="Z31" s="67"/>
    </row>
    <row r="32" spans="2:26" x14ac:dyDescent="0.25">
      <c r="B32" s="15">
        <f t="shared" si="1"/>
        <v>45011</v>
      </c>
      <c r="C32" s="43">
        <v>0</v>
      </c>
      <c r="D32" s="46">
        <v>0</v>
      </c>
      <c r="E32" s="43">
        <v>0</v>
      </c>
      <c r="F32" s="46">
        <v>0</v>
      </c>
      <c r="G32" s="43">
        <v>0</v>
      </c>
      <c r="H32" s="46">
        <v>0</v>
      </c>
      <c r="I32" s="43">
        <v>0</v>
      </c>
      <c r="J32" s="46"/>
      <c r="K32" s="56">
        <f t="shared" si="0"/>
        <v>0</v>
      </c>
      <c r="L32" s="52">
        <v>0</v>
      </c>
      <c r="M32" s="53">
        <f t="shared" si="2"/>
        <v>0</v>
      </c>
      <c r="W32" s="68"/>
      <c r="X32" s="67"/>
      <c r="Y32" s="78"/>
      <c r="Z32" s="68"/>
    </row>
    <row r="33" spans="1:26" x14ac:dyDescent="0.25">
      <c r="B33" s="15">
        <f t="shared" si="1"/>
        <v>45012</v>
      </c>
      <c r="C33" s="43">
        <v>0</v>
      </c>
      <c r="D33" s="46">
        <f>210000+4000+4000</f>
        <v>218000</v>
      </c>
      <c r="E33" s="45">
        <v>0</v>
      </c>
      <c r="F33" s="46">
        <v>0</v>
      </c>
      <c r="G33" s="43">
        <v>0</v>
      </c>
      <c r="H33" s="46">
        <v>0</v>
      </c>
      <c r="I33" s="43">
        <v>2200</v>
      </c>
      <c r="J33" s="46">
        <v>0</v>
      </c>
      <c r="K33" s="56">
        <f t="shared" si="0"/>
        <v>220200</v>
      </c>
      <c r="L33" s="51">
        <v>220200</v>
      </c>
      <c r="M33" s="53">
        <f t="shared" si="2"/>
        <v>0</v>
      </c>
      <c r="O33" s="78" t="s">
        <v>58</v>
      </c>
      <c r="W33" s="68"/>
      <c r="X33" s="78"/>
      <c r="Y33" s="78"/>
      <c r="Z33" s="68"/>
    </row>
    <row r="34" spans="1:26" x14ac:dyDescent="0.25">
      <c r="B34" s="15">
        <f t="shared" si="1"/>
        <v>45013</v>
      </c>
      <c r="C34" s="45">
        <v>0</v>
      </c>
      <c r="D34" s="46">
        <f>424000+630000</f>
        <v>1054000</v>
      </c>
      <c r="E34" s="45">
        <v>360000</v>
      </c>
      <c r="F34" s="46">
        <v>105000</v>
      </c>
      <c r="G34" s="45">
        <v>0</v>
      </c>
      <c r="H34" s="46">
        <v>0</v>
      </c>
      <c r="I34" s="45">
        <v>4400</v>
      </c>
      <c r="J34" s="46">
        <v>0</v>
      </c>
      <c r="K34" s="56">
        <f t="shared" si="0"/>
        <v>1523400</v>
      </c>
      <c r="L34" s="52">
        <v>1523400</v>
      </c>
      <c r="M34" s="53">
        <f t="shared" si="2"/>
        <v>0</v>
      </c>
      <c r="O34" s="68" t="s">
        <v>58</v>
      </c>
      <c r="W34" s="68"/>
      <c r="X34" s="78"/>
      <c r="Y34" s="78"/>
      <c r="Z34" s="68"/>
    </row>
    <row r="35" spans="1:26" x14ac:dyDescent="0.25">
      <c r="B35" s="15">
        <f t="shared" si="1"/>
        <v>45014</v>
      </c>
      <c r="C35" s="47">
        <v>0</v>
      </c>
      <c r="D35" s="48">
        <v>0</v>
      </c>
      <c r="E35" s="49">
        <v>0</v>
      </c>
      <c r="F35" s="50">
        <f>360000+330000</f>
        <v>690000</v>
      </c>
      <c r="G35" s="47">
        <v>0</v>
      </c>
      <c r="H35" s="48">
        <v>280000</v>
      </c>
      <c r="I35" s="47">
        <v>0</v>
      </c>
      <c r="J35" s="48">
        <v>0</v>
      </c>
      <c r="K35" s="56">
        <f t="shared" si="0"/>
        <v>970000</v>
      </c>
      <c r="L35" s="54">
        <v>970000</v>
      </c>
      <c r="M35" s="55">
        <f t="shared" si="2"/>
        <v>0</v>
      </c>
      <c r="N35" s="68" t="s">
        <v>30</v>
      </c>
      <c r="W35" s="68"/>
      <c r="X35" s="78"/>
      <c r="Y35" s="78"/>
      <c r="Z35" s="68"/>
    </row>
    <row r="36" spans="1:26" x14ac:dyDescent="0.25">
      <c r="B36" s="15">
        <f t="shared" si="1"/>
        <v>45015</v>
      </c>
      <c r="C36" s="47">
        <v>0</v>
      </c>
      <c r="D36" s="48">
        <v>690000</v>
      </c>
      <c r="E36" s="49">
        <v>0</v>
      </c>
      <c r="F36" s="50">
        <v>0</v>
      </c>
      <c r="G36" s="47">
        <v>0</v>
      </c>
      <c r="H36" s="48">
        <v>20000</v>
      </c>
      <c r="I36" s="47">
        <f>2200+6000</f>
        <v>8200</v>
      </c>
      <c r="J36" s="100">
        <v>16500</v>
      </c>
      <c r="K36" s="56">
        <f t="shared" si="0"/>
        <v>734700</v>
      </c>
      <c r="L36" s="54">
        <v>734700</v>
      </c>
      <c r="M36" s="55">
        <f t="shared" si="2"/>
        <v>0</v>
      </c>
      <c r="N36" s="68" t="s">
        <v>30</v>
      </c>
      <c r="O36" s="94" t="s">
        <v>34</v>
      </c>
      <c r="P36" s="68" t="s">
        <v>60</v>
      </c>
      <c r="Q36" s="101" t="s">
        <v>61</v>
      </c>
      <c r="W36" s="68"/>
      <c r="Z36" s="68"/>
    </row>
    <row r="37" spans="1:26" x14ac:dyDescent="0.25">
      <c r="B37" s="15">
        <f t="shared" si="1"/>
        <v>45016</v>
      </c>
      <c r="C37" s="47">
        <v>0</v>
      </c>
      <c r="D37" s="48">
        <v>4000</v>
      </c>
      <c r="E37" s="49">
        <v>159500</v>
      </c>
      <c r="F37" s="50">
        <v>650500</v>
      </c>
      <c r="G37" s="47">
        <v>0</v>
      </c>
      <c r="H37" s="48">
        <v>0</v>
      </c>
      <c r="I37" s="47">
        <v>2200</v>
      </c>
      <c r="J37" s="48">
        <v>0</v>
      </c>
      <c r="K37" s="56">
        <f t="shared" si="0"/>
        <v>816200</v>
      </c>
      <c r="L37" s="54">
        <v>816200</v>
      </c>
      <c r="M37" s="55">
        <f t="shared" si="2"/>
        <v>0</v>
      </c>
      <c r="O37" s="78"/>
      <c r="P37" s="68" t="s">
        <v>59</v>
      </c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1099000</v>
      </c>
      <c r="D39" s="25">
        <f>SUM(D7:D38)</f>
        <v>8272000</v>
      </c>
      <c r="E39" s="24">
        <f t="shared" ref="E39:J39" si="3">SUM(E7:E38)</f>
        <v>1859500</v>
      </c>
      <c r="F39" s="59">
        <f t="shared" si="3"/>
        <v>6054500</v>
      </c>
      <c r="G39" s="24">
        <f t="shared" si="3"/>
        <v>0</v>
      </c>
      <c r="H39" s="25">
        <f t="shared" si="3"/>
        <v>511500</v>
      </c>
      <c r="I39" s="24">
        <f t="shared" si="3"/>
        <v>38800</v>
      </c>
      <c r="J39" s="25">
        <f t="shared" si="3"/>
        <v>49800</v>
      </c>
      <c r="K39" s="28">
        <f>SUM(K7:K38)</f>
        <v>17885100</v>
      </c>
      <c r="L39" s="27">
        <f>SUM(L7:L38)</f>
        <v>18435100</v>
      </c>
      <c r="M39" s="26">
        <f>L39-K39</f>
        <v>550000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9371000</v>
      </c>
      <c r="D40" s="268"/>
      <c r="E40" s="267">
        <f>SUM(E39:F39)</f>
        <v>7914000</v>
      </c>
      <c r="F40" s="269"/>
      <c r="G40" s="267">
        <f>SUM(G39:H39)</f>
        <v>511500</v>
      </c>
      <c r="H40" s="268"/>
      <c r="I40" s="267">
        <f>SUM(I39:J39)</f>
        <v>88600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44985</v>
      </c>
      <c r="C45" s="3">
        <v>0</v>
      </c>
      <c r="D45" s="14">
        <v>0</v>
      </c>
      <c r="E45" s="3">
        <v>0</v>
      </c>
      <c r="F45" s="14">
        <v>390000</v>
      </c>
      <c r="G45" s="3">
        <v>0</v>
      </c>
      <c r="H45" s="14">
        <v>220000</v>
      </c>
      <c r="I45" s="3">
        <v>0</v>
      </c>
      <c r="J45" s="14">
        <v>0</v>
      </c>
      <c r="K45" s="3">
        <f>SUM(C45:J45)</f>
        <v>610000</v>
      </c>
      <c r="L45" s="3">
        <v>610000</v>
      </c>
      <c r="M45" s="3">
        <f>L45-K45</f>
        <v>0</v>
      </c>
      <c r="N45" s="85">
        <v>44986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45016</v>
      </c>
      <c r="C48" s="3">
        <v>0</v>
      </c>
      <c r="D48" s="14">
        <v>4000</v>
      </c>
      <c r="E48" s="3">
        <v>0</v>
      </c>
      <c r="F48" s="14">
        <v>650500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654500</v>
      </c>
      <c r="L48" s="3">
        <v>654500</v>
      </c>
      <c r="M48" s="3">
        <f>L48-K48</f>
        <v>0</v>
      </c>
      <c r="N48" s="85">
        <v>45017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-4000</v>
      </c>
      <c r="E50" s="262">
        <f>F45+F46-F47-F48</f>
        <v>-260500</v>
      </c>
      <c r="F50" s="263"/>
      <c r="G50" s="262">
        <f>H45+H46-H47-H48</f>
        <v>220000</v>
      </c>
      <c r="H50" s="263"/>
      <c r="I50" s="262">
        <f>J45+J46-J47-J48</f>
        <v>0</v>
      </c>
      <c r="J50" s="263"/>
    </row>
    <row r="51" spans="2:24" x14ac:dyDescent="0.25">
      <c r="B51" s="264" t="s">
        <v>12</v>
      </c>
      <c r="C51" s="264"/>
      <c r="D51" s="31">
        <f>D39+D50</f>
        <v>8268000</v>
      </c>
      <c r="E51" s="265">
        <f>F39+E50</f>
        <v>5794000</v>
      </c>
      <c r="F51" s="266"/>
      <c r="G51" s="265">
        <f>H39+G50</f>
        <v>731500</v>
      </c>
      <c r="H51" s="266"/>
      <c r="I51" s="265">
        <f>J39+I50</f>
        <v>49800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14843300</v>
      </c>
      <c r="E52" s="258"/>
      <c r="F52" s="258"/>
      <c r="G52" s="258"/>
      <c r="H52" s="258"/>
      <c r="I52" s="99"/>
      <c r="J52" s="99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D51*0.0155-12.4-12.4</f>
        <v>128129.20000000001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2997300</v>
      </c>
      <c r="D55" s="34">
        <f>D39+H39+F39+J39</f>
        <v>14887800</v>
      </c>
      <c r="E55" s="58"/>
      <c r="F55" s="58"/>
      <c r="K55" s="63" t="s">
        <v>25</v>
      </c>
      <c r="L55" s="64">
        <f>E51*0.0155</f>
        <v>89807</v>
      </c>
      <c r="N55" s="88"/>
      <c r="X55" s="71"/>
    </row>
    <row r="56" spans="2:24" x14ac:dyDescent="0.25">
      <c r="C56" s="259">
        <f>SUM(C55:D55)</f>
        <v>17885100</v>
      </c>
      <c r="D56" s="260"/>
      <c r="E56" s="57"/>
      <c r="F56" s="57"/>
      <c r="K56" s="63" t="s">
        <v>28</v>
      </c>
      <c r="L56" s="64">
        <f>G51*0.0155</f>
        <v>11338.25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I51*0.0155-6.82-38.75</f>
        <v>726.32999999999993</v>
      </c>
      <c r="W57" s="4"/>
    </row>
    <row r="58" spans="2:24" x14ac:dyDescent="0.25">
      <c r="J58" t="s">
        <v>3</v>
      </c>
      <c r="L58" s="64">
        <f>SUM(L54:L57)</f>
        <v>230000.78</v>
      </c>
      <c r="W58" s="4"/>
    </row>
    <row r="59" spans="2:24" x14ac:dyDescent="0.25">
      <c r="B59" s="1" t="s">
        <v>19</v>
      </c>
      <c r="C59" s="259">
        <f>C39+D52+E39+G39+I39</f>
        <v>17840600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1"/>
  <sheetViews>
    <sheetView topLeftCell="A4" workbookViewId="0">
      <selection activeCell="P8" sqref="P8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9" customWidth="1"/>
    <col min="14" max="14" width="8.4257812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62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45017</v>
      </c>
      <c r="C7" s="45">
        <v>0</v>
      </c>
      <c r="D7" s="46">
        <v>0</v>
      </c>
      <c r="E7" s="45">
        <v>0</v>
      </c>
      <c r="F7" s="46">
        <v>440000</v>
      </c>
      <c r="G7" s="69">
        <v>0</v>
      </c>
      <c r="H7" s="70">
        <v>0</v>
      </c>
      <c r="I7" s="69">
        <v>0</v>
      </c>
      <c r="J7" s="70">
        <v>0</v>
      </c>
      <c r="K7" s="56">
        <f t="shared" ref="K7:K37" si="0">SUM(C7:J7)</f>
        <v>440000</v>
      </c>
      <c r="L7" s="52">
        <v>930000</v>
      </c>
      <c r="M7" s="53">
        <f>L7-K7</f>
        <v>490000</v>
      </c>
      <c r="O7" s="78"/>
      <c r="P7" s="68" t="s">
        <v>69</v>
      </c>
      <c r="V7" s="68"/>
      <c r="W7" s="68"/>
      <c r="X7" s="78"/>
      <c r="Y7" s="68"/>
      <c r="Z7" s="68"/>
    </row>
    <row r="8" spans="2:26" x14ac:dyDescent="0.25">
      <c r="B8" s="15">
        <f t="shared" ref="B8:B37" si="1">B7+1</f>
        <v>45018</v>
      </c>
      <c r="C8" s="43">
        <v>0</v>
      </c>
      <c r="D8" s="46">
        <v>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0</v>
      </c>
      <c r="L8" s="52">
        <v>0</v>
      </c>
      <c r="M8" s="53">
        <f t="shared" ref="M8:M37" si="2">L8-K8</f>
        <v>0</v>
      </c>
      <c r="P8" s="68" t="s">
        <v>70</v>
      </c>
      <c r="V8" s="68"/>
      <c r="W8" s="68"/>
      <c r="X8" s="78"/>
      <c r="Y8" s="78"/>
      <c r="Z8" s="68"/>
    </row>
    <row r="9" spans="2:26" x14ac:dyDescent="0.25">
      <c r="B9" s="15">
        <f t="shared" si="1"/>
        <v>45019</v>
      </c>
      <c r="C9" s="45">
        <v>11000</v>
      </c>
      <c r="D9" s="44">
        <v>15000</v>
      </c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4000</v>
      </c>
      <c r="K9" s="56">
        <f t="shared" si="0"/>
        <v>30000</v>
      </c>
      <c r="L9" s="51">
        <v>30000</v>
      </c>
      <c r="M9" s="53">
        <f t="shared" si="2"/>
        <v>0</v>
      </c>
      <c r="O9" s="78" t="s">
        <v>33</v>
      </c>
      <c r="P9" s="68" t="s">
        <v>63</v>
      </c>
      <c r="V9" s="67"/>
      <c r="W9" s="68" t="s">
        <v>39</v>
      </c>
      <c r="X9" s="78"/>
      <c r="Y9" s="78"/>
      <c r="Z9" s="68"/>
    </row>
    <row r="10" spans="2:26" x14ac:dyDescent="0.25">
      <c r="B10" s="15">
        <f t="shared" si="1"/>
        <v>45020</v>
      </c>
      <c r="C10" s="43">
        <v>0</v>
      </c>
      <c r="D10" s="46">
        <f>500000+390000</f>
        <v>890000</v>
      </c>
      <c r="E10" s="45">
        <v>0</v>
      </c>
      <c r="F10" s="46">
        <v>0</v>
      </c>
      <c r="G10" s="43">
        <v>0</v>
      </c>
      <c r="H10" s="46">
        <v>0</v>
      </c>
      <c r="I10" s="43">
        <v>0</v>
      </c>
      <c r="J10" s="46">
        <v>7500</v>
      </c>
      <c r="K10" s="56">
        <f t="shared" si="0"/>
        <v>897500</v>
      </c>
      <c r="L10" s="52">
        <v>897500</v>
      </c>
      <c r="M10" s="53">
        <f t="shared" si="2"/>
        <v>0</v>
      </c>
      <c r="O10" s="78" t="s">
        <v>31</v>
      </c>
      <c r="P10" s="104">
        <v>0.5</v>
      </c>
      <c r="V10" s="67"/>
      <c r="W10" s="68" t="s">
        <v>30</v>
      </c>
      <c r="X10" s="78"/>
      <c r="Y10" s="78"/>
      <c r="Z10" s="68"/>
    </row>
    <row r="11" spans="2:26" x14ac:dyDescent="0.25">
      <c r="B11" s="15">
        <f t="shared" si="1"/>
        <v>45021</v>
      </c>
      <c r="C11" s="45">
        <f>4000+4000+2000</f>
        <v>10000</v>
      </c>
      <c r="D11" s="46">
        <f>4000*3</f>
        <v>12000</v>
      </c>
      <c r="E11" s="45">
        <f>360000+60000</f>
        <v>420000</v>
      </c>
      <c r="F11" s="46">
        <v>240000</v>
      </c>
      <c r="G11" s="45">
        <v>0</v>
      </c>
      <c r="H11" s="46">
        <v>0</v>
      </c>
      <c r="I11" s="45">
        <v>0</v>
      </c>
      <c r="J11" s="46">
        <v>0</v>
      </c>
      <c r="K11" s="56">
        <f t="shared" si="0"/>
        <v>682000</v>
      </c>
      <c r="L11" s="52">
        <v>1042000</v>
      </c>
      <c r="M11" s="53">
        <f t="shared" si="2"/>
        <v>360000</v>
      </c>
      <c r="O11" s="68" t="s">
        <v>64</v>
      </c>
      <c r="V11" s="68"/>
      <c r="W11" s="67" t="s">
        <v>32</v>
      </c>
      <c r="X11" s="78"/>
      <c r="Y11" s="78"/>
      <c r="Z11" s="68"/>
    </row>
    <row r="12" spans="2:26" x14ac:dyDescent="0.25">
      <c r="B12" s="15">
        <f t="shared" si="1"/>
        <v>45022</v>
      </c>
      <c r="C12" s="45">
        <v>0</v>
      </c>
      <c r="D12" s="46">
        <f>4000+500000+525000</f>
        <v>1029000</v>
      </c>
      <c r="E12" s="45">
        <v>0</v>
      </c>
      <c r="F12" s="46">
        <v>570000</v>
      </c>
      <c r="G12" s="45">
        <v>0</v>
      </c>
      <c r="H12" s="46">
        <v>0</v>
      </c>
      <c r="I12" s="45">
        <v>0</v>
      </c>
      <c r="J12" s="46">
        <v>0</v>
      </c>
      <c r="K12" s="56">
        <f t="shared" si="0"/>
        <v>1599000</v>
      </c>
      <c r="L12" s="51">
        <v>1599000</v>
      </c>
      <c r="M12" s="53">
        <f t="shared" si="2"/>
        <v>0</v>
      </c>
      <c r="V12" s="68"/>
      <c r="W12" s="68" t="s">
        <v>45</v>
      </c>
      <c r="X12" s="78"/>
      <c r="Y12" s="78"/>
      <c r="Z12" s="68"/>
    </row>
    <row r="13" spans="2:26" x14ac:dyDescent="0.25">
      <c r="B13" s="15">
        <f t="shared" si="1"/>
        <v>45023</v>
      </c>
      <c r="C13" s="45">
        <v>0</v>
      </c>
      <c r="D13" s="46">
        <f>410000+150000</f>
        <v>560000</v>
      </c>
      <c r="E13" s="45">
        <v>0</v>
      </c>
      <c r="F13" s="46">
        <f>380000+550000</f>
        <v>930000</v>
      </c>
      <c r="G13" s="45">
        <v>0</v>
      </c>
      <c r="H13" s="46">
        <v>0</v>
      </c>
      <c r="I13" s="45">
        <v>0</v>
      </c>
      <c r="J13" s="46">
        <v>0</v>
      </c>
      <c r="K13" s="56">
        <f t="shared" si="0"/>
        <v>1490000</v>
      </c>
      <c r="L13" s="52">
        <v>1490000</v>
      </c>
      <c r="M13" s="53">
        <f t="shared" si="2"/>
        <v>0</v>
      </c>
      <c r="O13" s="78"/>
      <c r="P13" s="67"/>
      <c r="V13" s="68"/>
      <c r="W13" s="68" t="s">
        <v>52</v>
      </c>
      <c r="Y13" s="79"/>
      <c r="Z13" s="68"/>
    </row>
    <row r="14" spans="2:26" x14ac:dyDescent="0.25">
      <c r="B14" s="15">
        <f t="shared" si="1"/>
        <v>45024</v>
      </c>
      <c r="C14" s="43">
        <v>0</v>
      </c>
      <c r="D14" s="46">
        <v>0</v>
      </c>
      <c r="E14" s="45">
        <v>0</v>
      </c>
      <c r="F14" s="46">
        <f>60000+10000+380000</f>
        <v>450000</v>
      </c>
      <c r="G14" s="43">
        <v>0</v>
      </c>
      <c r="H14" s="46">
        <v>0</v>
      </c>
      <c r="I14" s="43">
        <v>0</v>
      </c>
      <c r="J14" s="97">
        <f>3000+3000+7920</f>
        <v>13920</v>
      </c>
      <c r="K14" s="56">
        <f t="shared" si="0"/>
        <v>463920</v>
      </c>
      <c r="L14" s="52">
        <v>463920</v>
      </c>
      <c r="M14" s="53">
        <f t="shared" si="2"/>
        <v>0</v>
      </c>
      <c r="N14" s="94"/>
      <c r="V14" s="68"/>
      <c r="W14" s="68" t="s">
        <v>66</v>
      </c>
      <c r="X14" s="68"/>
      <c r="Y14" s="78"/>
      <c r="Z14" s="68"/>
    </row>
    <row r="15" spans="2:26" x14ac:dyDescent="0.25">
      <c r="B15" s="15">
        <f t="shared" si="1"/>
        <v>45025</v>
      </c>
      <c r="C15" s="45">
        <v>0</v>
      </c>
      <c r="D15" s="46">
        <v>0</v>
      </c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0"/>
        <v>0</v>
      </c>
      <c r="L15" s="51">
        <v>0</v>
      </c>
      <c r="M15" s="53">
        <f t="shared" si="2"/>
        <v>0</v>
      </c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45026</v>
      </c>
      <c r="C16" s="43">
        <v>4000</v>
      </c>
      <c r="D16" s="46">
        <v>23000</v>
      </c>
      <c r="E16" s="45">
        <v>0</v>
      </c>
      <c r="F16" s="46">
        <v>0</v>
      </c>
      <c r="G16" s="43">
        <v>0</v>
      </c>
      <c r="H16" s="46">
        <v>0</v>
      </c>
      <c r="I16" s="43">
        <v>0</v>
      </c>
      <c r="J16" s="46">
        <v>0</v>
      </c>
      <c r="K16" s="56">
        <f>SUM(C16:J16)</f>
        <v>27000</v>
      </c>
      <c r="L16" s="52">
        <v>27000</v>
      </c>
      <c r="M16" s="53">
        <f t="shared" si="2"/>
        <v>0</v>
      </c>
      <c r="O16" s="78"/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45027</v>
      </c>
      <c r="C17" s="45">
        <v>20000</v>
      </c>
      <c r="D17" s="46">
        <v>600000</v>
      </c>
      <c r="E17" s="43">
        <v>0</v>
      </c>
      <c r="F17" s="44">
        <f>390000+250000</f>
        <v>640000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0"/>
        <v>1260000</v>
      </c>
      <c r="L17" s="52">
        <v>1260000</v>
      </c>
      <c r="M17" s="53">
        <f t="shared" si="2"/>
        <v>0</v>
      </c>
      <c r="V17" s="67"/>
      <c r="W17" s="67"/>
      <c r="X17" s="78"/>
      <c r="Y17" s="78"/>
      <c r="Z17" s="68"/>
    </row>
    <row r="18" spans="2:26" x14ac:dyDescent="0.25">
      <c r="B18" s="15">
        <f t="shared" si="1"/>
        <v>45028</v>
      </c>
      <c r="C18" s="43">
        <v>0</v>
      </c>
      <c r="D18" s="46">
        <f>550000+3*4000</f>
        <v>562000</v>
      </c>
      <c r="E18" s="45">
        <v>0</v>
      </c>
      <c r="F18" s="46">
        <v>100000</v>
      </c>
      <c r="G18" s="43">
        <v>0</v>
      </c>
      <c r="H18" s="46">
        <v>0</v>
      </c>
      <c r="I18" s="43">
        <v>0</v>
      </c>
      <c r="J18" s="95">
        <v>11000</v>
      </c>
      <c r="K18" s="56">
        <f t="shared" si="0"/>
        <v>673000</v>
      </c>
      <c r="L18" s="51">
        <v>673000</v>
      </c>
      <c r="M18" s="53">
        <f t="shared" si="2"/>
        <v>0</v>
      </c>
      <c r="O18" s="94" t="s">
        <v>34</v>
      </c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45029</v>
      </c>
      <c r="C19" s="45">
        <v>0</v>
      </c>
      <c r="D19" s="46">
        <v>390000</v>
      </c>
      <c r="E19" s="45">
        <v>0</v>
      </c>
      <c r="F19" s="46">
        <f>360000+530000</f>
        <v>890000</v>
      </c>
      <c r="G19" s="45">
        <v>0</v>
      </c>
      <c r="H19" s="46">
        <v>0</v>
      </c>
      <c r="I19" s="45">
        <v>15000</v>
      </c>
      <c r="J19" s="46">
        <v>0</v>
      </c>
      <c r="K19" s="56">
        <f t="shared" si="0"/>
        <v>1295000</v>
      </c>
      <c r="L19" s="52">
        <v>1295000</v>
      </c>
      <c r="M19" s="53">
        <f t="shared" si="2"/>
        <v>0</v>
      </c>
      <c r="O19" s="67"/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45030</v>
      </c>
      <c r="C20" s="45">
        <v>525000</v>
      </c>
      <c r="D20" s="44">
        <v>0</v>
      </c>
      <c r="E20" s="45">
        <v>0</v>
      </c>
      <c r="F20" s="46">
        <v>360000</v>
      </c>
      <c r="G20" s="45">
        <v>0</v>
      </c>
      <c r="H20" s="46">
        <f>480000+200000</f>
        <v>680000</v>
      </c>
      <c r="I20" s="45">
        <v>0</v>
      </c>
      <c r="J20" s="46">
        <v>2200</v>
      </c>
      <c r="K20" s="56">
        <f t="shared" si="0"/>
        <v>1567200</v>
      </c>
      <c r="L20" s="52">
        <v>1567200</v>
      </c>
      <c r="M20" s="53">
        <f t="shared" si="2"/>
        <v>0</v>
      </c>
      <c r="N20" s="68" t="s">
        <v>52</v>
      </c>
      <c r="O20" s="67" t="s">
        <v>32</v>
      </c>
      <c r="P20" s="78" t="s">
        <v>58</v>
      </c>
      <c r="V20" s="67"/>
      <c r="W20" s="78" t="s">
        <v>33</v>
      </c>
      <c r="Y20" s="78"/>
      <c r="Z20" s="68"/>
    </row>
    <row r="21" spans="2:26" x14ac:dyDescent="0.25">
      <c r="B21" s="15">
        <f>B20+1</f>
        <v>45031</v>
      </c>
      <c r="C21" s="45">
        <v>0</v>
      </c>
      <c r="D21" s="46">
        <v>0</v>
      </c>
      <c r="E21" s="45">
        <v>0</v>
      </c>
      <c r="F21" s="46">
        <v>0</v>
      </c>
      <c r="G21" s="45">
        <v>0</v>
      </c>
      <c r="H21" s="46">
        <f>260000+630000</f>
        <v>890000</v>
      </c>
      <c r="I21" s="45">
        <v>0</v>
      </c>
      <c r="J21" s="46">
        <v>0</v>
      </c>
      <c r="K21" s="56">
        <f t="shared" si="0"/>
        <v>890000</v>
      </c>
      <c r="L21" s="51">
        <v>890000</v>
      </c>
      <c r="M21" s="53">
        <f t="shared" si="2"/>
        <v>0</v>
      </c>
      <c r="N21" s="68" t="s">
        <v>52</v>
      </c>
      <c r="W21" s="78" t="s">
        <v>58</v>
      </c>
      <c r="X21" s="78"/>
      <c r="Y21" s="78"/>
      <c r="Z21" s="68"/>
    </row>
    <row r="22" spans="2:26" x14ac:dyDescent="0.25">
      <c r="B22" s="15">
        <f t="shared" si="1"/>
        <v>45032</v>
      </c>
      <c r="C22" s="45">
        <v>0</v>
      </c>
      <c r="D22" s="46">
        <v>0</v>
      </c>
      <c r="E22" s="45">
        <v>0</v>
      </c>
      <c r="F22" s="46">
        <v>0</v>
      </c>
      <c r="G22" s="45">
        <v>0</v>
      </c>
      <c r="H22" s="46">
        <v>270000</v>
      </c>
      <c r="I22" s="102">
        <v>0</v>
      </c>
      <c r="J22" s="97">
        <v>0</v>
      </c>
      <c r="K22" s="56">
        <f t="shared" si="0"/>
        <v>270000</v>
      </c>
      <c r="L22" s="52">
        <v>270000</v>
      </c>
      <c r="M22" s="53">
        <f t="shared" si="2"/>
        <v>0</v>
      </c>
      <c r="N22" s="67" t="s">
        <v>52</v>
      </c>
      <c r="O22" s="94"/>
      <c r="W22" s="67"/>
      <c r="X22" s="78"/>
      <c r="Y22" s="78"/>
      <c r="Z22" s="68"/>
    </row>
    <row r="23" spans="2:26" x14ac:dyDescent="0.25">
      <c r="B23" s="15">
        <f t="shared" si="1"/>
        <v>45033</v>
      </c>
      <c r="C23" s="45">
        <v>0</v>
      </c>
      <c r="D23" s="46">
        <v>0</v>
      </c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0"/>
        <v>0</v>
      </c>
      <c r="L23" s="52">
        <v>0</v>
      </c>
      <c r="M23" s="53">
        <f t="shared" si="2"/>
        <v>0</v>
      </c>
      <c r="O23" s="78"/>
      <c r="W23" s="67"/>
      <c r="X23" s="78"/>
      <c r="Y23" s="78"/>
      <c r="Z23" s="68"/>
    </row>
    <row r="24" spans="2:26" x14ac:dyDescent="0.25">
      <c r="B24" s="15">
        <f t="shared" si="1"/>
        <v>45034</v>
      </c>
      <c r="C24" s="43">
        <v>0</v>
      </c>
      <c r="D24" s="46">
        <v>0</v>
      </c>
      <c r="E24" s="45">
        <v>300000</v>
      </c>
      <c r="F24" s="46">
        <v>340000</v>
      </c>
      <c r="G24" s="43">
        <v>0</v>
      </c>
      <c r="H24" s="46">
        <v>370000</v>
      </c>
      <c r="I24" s="43">
        <v>0</v>
      </c>
      <c r="J24" s="46">
        <v>3000</v>
      </c>
      <c r="K24" s="56">
        <f t="shared" si="0"/>
        <v>1013000</v>
      </c>
      <c r="L24" s="51">
        <v>1013000</v>
      </c>
      <c r="M24" s="53">
        <f t="shared" si="2"/>
        <v>0</v>
      </c>
      <c r="N24" s="68" t="s">
        <v>30</v>
      </c>
      <c r="V24" s="67"/>
      <c r="W24" s="67"/>
      <c r="Y24" s="78"/>
      <c r="Z24" s="68"/>
    </row>
    <row r="25" spans="2:26" x14ac:dyDescent="0.25">
      <c r="B25" s="15">
        <f t="shared" si="1"/>
        <v>45035</v>
      </c>
      <c r="C25" s="45">
        <v>0</v>
      </c>
      <c r="D25" s="46">
        <v>0</v>
      </c>
      <c r="E25" s="45">
        <v>0</v>
      </c>
      <c r="F25" s="46">
        <v>810000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0"/>
        <v>810000</v>
      </c>
      <c r="L25" s="52">
        <v>810000</v>
      </c>
      <c r="M25" s="53">
        <f t="shared" si="2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45036</v>
      </c>
      <c r="C26" s="45">
        <v>0</v>
      </c>
      <c r="D26" s="46">
        <v>0</v>
      </c>
      <c r="E26" s="45">
        <v>720000</v>
      </c>
      <c r="F26" s="46">
        <v>115000</v>
      </c>
      <c r="G26" s="45">
        <v>0</v>
      </c>
      <c r="H26" s="46">
        <v>0</v>
      </c>
      <c r="I26" s="45">
        <v>3000</v>
      </c>
      <c r="J26" s="46">
        <v>4100</v>
      </c>
      <c r="K26" s="56">
        <f t="shared" si="0"/>
        <v>842100</v>
      </c>
      <c r="L26" s="52">
        <v>842100</v>
      </c>
      <c r="M26" s="53">
        <f t="shared" si="2"/>
        <v>0</v>
      </c>
      <c r="W26" s="67"/>
      <c r="X26" s="78"/>
      <c r="Y26" s="78"/>
      <c r="Z26" s="68"/>
    </row>
    <row r="27" spans="2:26" x14ac:dyDescent="0.25">
      <c r="B27" s="15">
        <f t="shared" si="1"/>
        <v>45037</v>
      </c>
      <c r="C27" s="43">
        <v>0</v>
      </c>
      <c r="D27" s="46">
        <v>0</v>
      </c>
      <c r="E27" s="45">
        <v>0</v>
      </c>
      <c r="F27" s="46">
        <v>125000</v>
      </c>
      <c r="G27" s="43">
        <v>0</v>
      </c>
      <c r="H27" s="46">
        <v>0</v>
      </c>
      <c r="I27" s="43">
        <v>0</v>
      </c>
      <c r="J27" s="46">
        <v>3000</v>
      </c>
      <c r="K27" s="56">
        <f t="shared" si="0"/>
        <v>128000</v>
      </c>
      <c r="L27" s="51">
        <v>378000</v>
      </c>
      <c r="M27" s="53">
        <f t="shared" si="2"/>
        <v>250000</v>
      </c>
      <c r="O27" s="78" t="s">
        <v>65</v>
      </c>
      <c r="W27" s="68"/>
      <c r="X27" s="78"/>
      <c r="Y27" s="68"/>
      <c r="Z27" s="68"/>
    </row>
    <row r="28" spans="2:26" x14ac:dyDescent="0.25">
      <c r="B28" s="15">
        <f t="shared" si="1"/>
        <v>45038</v>
      </c>
      <c r="C28" s="43">
        <v>0</v>
      </c>
      <c r="D28" s="46">
        <v>0</v>
      </c>
      <c r="E28" s="45">
        <v>0</v>
      </c>
      <c r="F28" s="46">
        <v>360000</v>
      </c>
      <c r="G28" s="43">
        <v>0</v>
      </c>
      <c r="H28" s="46">
        <v>2500</v>
      </c>
      <c r="I28" s="43">
        <v>0</v>
      </c>
      <c r="J28" s="97">
        <v>13860</v>
      </c>
      <c r="K28" s="56">
        <f>SUM(C28:J28)</f>
        <v>376360</v>
      </c>
      <c r="L28" s="52">
        <v>376360</v>
      </c>
      <c r="M28" s="53">
        <f t="shared" si="2"/>
        <v>0</v>
      </c>
      <c r="N28" s="78"/>
      <c r="O28" s="94"/>
      <c r="W28" s="68"/>
      <c r="X28" s="67"/>
      <c r="Y28" s="68"/>
      <c r="Z28" s="68"/>
    </row>
    <row r="29" spans="2:26" x14ac:dyDescent="0.25">
      <c r="B29" s="15">
        <f t="shared" si="1"/>
        <v>45039</v>
      </c>
      <c r="C29" s="45">
        <v>0</v>
      </c>
      <c r="D29" s="46">
        <v>0</v>
      </c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97">
        <v>0</v>
      </c>
      <c r="K29" s="56">
        <f>SUM(C29:J29)</f>
        <v>0</v>
      </c>
      <c r="L29" s="52">
        <v>0</v>
      </c>
      <c r="M29" s="53">
        <f t="shared" si="2"/>
        <v>0</v>
      </c>
      <c r="O29" s="78"/>
      <c r="W29" s="67"/>
      <c r="X29" s="78"/>
      <c r="Y29" s="78"/>
      <c r="Z29" s="68"/>
    </row>
    <row r="30" spans="2:26" x14ac:dyDescent="0.25">
      <c r="B30" s="15">
        <f t="shared" si="1"/>
        <v>45040</v>
      </c>
      <c r="C30" s="43">
        <v>0</v>
      </c>
      <c r="D30" s="46">
        <v>0</v>
      </c>
      <c r="E30" s="45">
        <v>0</v>
      </c>
      <c r="F30" s="46">
        <v>0</v>
      </c>
      <c r="G30" s="43">
        <v>0</v>
      </c>
      <c r="H30" s="46">
        <v>0</v>
      </c>
      <c r="I30" s="43">
        <v>0</v>
      </c>
      <c r="J30" s="97">
        <v>0</v>
      </c>
      <c r="K30" s="56">
        <f t="shared" si="0"/>
        <v>0</v>
      </c>
      <c r="L30" s="51">
        <v>0</v>
      </c>
      <c r="M30" s="53">
        <f t="shared" si="2"/>
        <v>0</v>
      </c>
      <c r="O30" s="78"/>
      <c r="W30" s="67"/>
      <c r="X30" s="78"/>
      <c r="Y30" s="78"/>
      <c r="Z30" s="68"/>
    </row>
    <row r="31" spans="2:26" x14ac:dyDescent="0.25">
      <c r="B31" s="15">
        <f t="shared" si="1"/>
        <v>45041</v>
      </c>
      <c r="C31" s="43">
        <v>0</v>
      </c>
      <c r="D31" s="46">
        <v>0</v>
      </c>
      <c r="E31" s="45">
        <v>0</v>
      </c>
      <c r="F31" s="46">
        <f>440000+550000</f>
        <v>990000</v>
      </c>
      <c r="G31" s="43">
        <v>0</v>
      </c>
      <c r="H31" s="46">
        <v>0</v>
      </c>
      <c r="I31" s="43">
        <v>0</v>
      </c>
      <c r="J31" s="97">
        <v>2200</v>
      </c>
      <c r="K31" s="56">
        <f t="shared" si="0"/>
        <v>992200</v>
      </c>
      <c r="L31" s="52">
        <v>992200</v>
      </c>
      <c r="M31" s="53">
        <f t="shared" si="2"/>
        <v>0</v>
      </c>
      <c r="W31" s="68"/>
      <c r="X31" s="78"/>
      <c r="Y31" s="78"/>
      <c r="Z31" s="67"/>
    </row>
    <row r="32" spans="2:26" x14ac:dyDescent="0.25">
      <c r="B32" s="15">
        <f t="shared" si="1"/>
        <v>45042</v>
      </c>
      <c r="C32" s="43">
        <v>0</v>
      </c>
      <c r="D32" s="46">
        <v>0</v>
      </c>
      <c r="E32" s="43">
        <v>440000</v>
      </c>
      <c r="F32" s="46">
        <f>115000+35000</f>
        <v>150000</v>
      </c>
      <c r="G32" s="43">
        <v>0</v>
      </c>
      <c r="H32" s="46">
        <v>2500</v>
      </c>
      <c r="I32" s="43">
        <v>0</v>
      </c>
      <c r="J32" s="97">
        <v>4000</v>
      </c>
      <c r="K32" s="56">
        <f t="shared" si="0"/>
        <v>596500</v>
      </c>
      <c r="L32" s="52">
        <v>596500</v>
      </c>
      <c r="M32" s="53">
        <f t="shared" si="2"/>
        <v>0</v>
      </c>
      <c r="N32" s="68" t="s">
        <v>39</v>
      </c>
      <c r="W32" s="68"/>
      <c r="X32" s="67"/>
      <c r="Y32" s="78"/>
      <c r="Z32" s="68"/>
    </row>
    <row r="33" spans="1:26" x14ac:dyDescent="0.25">
      <c r="B33" s="15">
        <f t="shared" si="1"/>
        <v>45043</v>
      </c>
      <c r="C33" s="43">
        <v>0</v>
      </c>
      <c r="D33" s="46">
        <v>0</v>
      </c>
      <c r="E33" s="45">
        <v>110000</v>
      </c>
      <c r="F33" s="46">
        <v>70000</v>
      </c>
      <c r="G33" s="43">
        <v>0</v>
      </c>
      <c r="H33" s="46">
        <v>0</v>
      </c>
      <c r="I33" s="43">
        <v>0</v>
      </c>
      <c r="J33" s="97">
        <v>0</v>
      </c>
      <c r="K33" s="56">
        <f t="shared" si="0"/>
        <v>180000</v>
      </c>
      <c r="L33" s="51">
        <v>180000</v>
      </c>
      <c r="M33" s="53">
        <f t="shared" si="2"/>
        <v>0</v>
      </c>
      <c r="O33" s="78"/>
      <c r="W33" s="68"/>
      <c r="X33" s="78"/>
      <c r="Y33" s="78"/>
      <c r="Z33" s="68"/>
    </row>
    <row r="34" spans="1:26" x14ac:dyDescent="0.25">
      <c r="B34" s="15">
        <f t="shared" si="1"/>
        <v>45044</v>
      </c>
      <c r="C34" s="45">
        <v>0</v>
      </c>
      <c r="D34" s="46">
        <v>150000</v>
      </c>
      <c r="E34" s="45">
        <f>20000+500000</f>
        <v>520000</v>
      </c>
      <c r="F34" s="46">
        <v>330000</v>
      </c>
      <c r="G34" s="45">
        <v>0</v>
      </c>
      <c r="H34" s="46">
        <v>2500</v>
      </c>
      <c r="I34" s="45">
        <v>0</v>
      </c>
      <c r="J34" s="97">
        <v>4400</v>
      </c>
      <c r="K34" s="56">
        <f t="shared" si="0"/>
        <v>1006900</v>
      </c>
      <c r="L34" s="52">
        <v>1006900</v>
      </c>
      <c r="M34" s="53">
        <f t="shared" si="2"/>
        <v>0</v>
      </c>
      <c r="N34" s="68" t="s">
        <v>39</v>
      </c>
      <c r="W34" s="68"/>
      <c r="X34" s="78"/>
      <c r="Y34" s="78"/>
      <c r="Z34" s="68"/>
    </row>
    <row r="35" spans="1:26" x14ac:dyDescent="0.25">
      <c r="B35" s="15">
        <f t="shared" si="1"/>
        <v>45045</v>
      </c>
      <c r="C35" s="47">
        <v>0</v>
      </c>
      <c r="D35" s="48">
        <v>320000</v>
      </c>
      <c r="E35" s="49">
        <v>0</v>
      </c>
      <c r="F35" s="50">
        <v>0</v>
      </c>
      <c r="G35" s="47">
        <v>0</v>
      </c>
      <c r="H35" s="48">
        <v>2500</v>
      </c>
      <c r="I35" s="47">
        <v>0</v>
      </c>
      <c r="J35" s="103">
        <f>4000+4180</f>
        <v>8180</v>
      </c>
      <c r="K35" s="56">
        <f t="shared" si="0"/>
        <v>330680</v>
      </c>
      <c r="L35" s="54">
        <v>330680</v>
      </c>
      <c r="M35" s="55">
        <f t="shared" si="2"/>
        <v>0</v>
      </c>
      <c r="W35" s="68"/>
      <c r="X35" s="78"/>
      <c r="Y35" s="78"/>
      <c r="Z35" s="68"/>
    </row>
    <row r="36" spans="1:26" x14ac:dyDescent="0.25">
      <c r="B36" s="15">
        <f t="shared" si="1"/>
        <v>45046</v>
      </c>
      <c r="C36" s="47">
        <v>0</v>
      </c>
      <c r="D36" s="48">
        <v>0</v>
      </c>
      <c r="E36" s="49">
        <v>0</v>
      </c>
      <c r="F36" s="50">
        <v>0</v>
      </c>
      <c r="G36" s="47">
        <v>0</v>
      </c>
      <c r="H36" s="48">
        <v>0</v>
      </c>
      <c r="I36" s="47">
        <v>0</v>
      </c>
      <c r="J36" s="103">
        <v>0</v>
      </c>
      <c r="K36" s="56">
        <f t="shared" si="0"/>
        <v>0</v>
      </c>
      <c r="L36" s="54">
        <v>0</v>
      </c>
      <c r="M36" s="55">
        <f t="shared" si="2"/>
        <v>0</v>
      </c>
      <c r="O36" s="94"/>
      <c r="Q36" s="101"/>
      <c r="W36" s="68"/>
      <c r="Z36" s="68"/>
    </row>
    <row r="37" spans="1:26" x14ac:dyDescent="0.25">
      <c r="B37" s="15">
        <f t="shared" si="1"/>
        <v>45047</v>
      </c>
      <c r="C37" s="47"/>
      <c r="D37" s="48"/>
      <c r="E37" s="49"/>
      <c r="F37" s="50"/>
      <c r="G37" s="47"/>
      <c r="H37" s="48"/>
      <c r="I37" s="47"/>
      <c r="J37" s="103"/>
      <c r="K37" s="56">
        <f t="shared" si="0"/>
        <v>0</v>
      </c>
      <c r="L37" s="54"/>
      <c r="M37" s="55">
        <f t="shared" si="2"/>
        <v>0</v>
      </c>
      <c r="O37" s="78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570000</v>
      </c>
      <c r="D39" s="25">
        <f>SUM(D7:D38)</f>
        <v>4551000</v>
      </c>
      <c r="E39" s="24">
        <f t="shared" ref="E39:J39" si="3">SUM(E7:E38)</f>
        <v>2510000</v>
      </c>
      <c r="F39" s="59">
        <f t="shared" si="3"/>
        <v>7910000</v>
      </c>
      <c r="G39" s="24">
        <f t="shared" si="3"/>
        <v>0</v>
      </c>
      <c r="H39" s="25">
        <f t="shared" si="3"/>
        <v>2220000</v>
      </c>
      <c r="I39" s="24">
        <f t="shared" si="3"/>
        <v>18000</v>
      </c>
      <c r="J39" s="25">
        <f t="shared" si="3"/>
        <v>81360</v>
      </c>
      <c r="K39" s="28">
        <f>SUM(K7:K38)</f>
        <v>17860360</v>
      </c>
      <c r="L39" s="27">
        <f>SUM(L7:L38)</f>
        <v>18960360</v>
      </c>
      <c r="M39" s="26">
        <f>L39-K39</f>
        <v>1100000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5121000</v>
      </c>
      <c r="D40" s="268"/>
      <c r="E40" s="267">
        <f>SUM(E39:F39)</f>
        <v>10420000</v>
      </c>
      <c r="F40" s="269"/>
      <c r="G40" s="267">
        <f>SUM(G39:H39)</f>
        <v>2220000</v>
      </c>
      <c r="H40" s="268"/>
      <c r="I40" s="267">
        <f>SUM(I39:J39)</f>
        <v>99360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45016</v>
      </c>
      <c r="C45" s="3">
        <v>0</v>
      </c>
      <c r="D45" s="14">
        <v>4000</v>
      </c>
      <c r="E45" s="3">
        <v>0</v>
      </c>
      <c r="F45" s="14">
        <v>650500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654500</v>
      </c>
      <c r="L45" s="3">
        <v>654500</v>
      </c>
      <c r="M45" s="3">
        <f>L45-K45</f>
        <v>0</v>
      </c>
      <c r="N45" s="85">
        <v>45017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45046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0</v>
      </c>
      <c r="L48" s="3"/>
      <c r="M48" s="3">
        <f>L48-K48</f>
        <v>0</v>
      </c>
      <c r="N48" s="85">
        <v>45047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4000</v>
      </c>
      <c r="E50" s="262">
        <f>F45+F46-F47-F48</f>
        <v>650500</v>
      </c>
      <c r="F50" s="263"/>
      <c r="G50" s="262">
        <f>H45+H46-H47-H48</f>
        <v>0</v>
      </c>
      <c r="H50" s="263"/>
      <c r="I50" s="262">
        <f>J45+J46-J47-J48</f>
        <v>0</v>
      </c>
      <c r="J50" s="263"/>
    </row>
    <row r="51" spans="2:24" x14ac:dyDescent="0.25">
      <c r="B51" s="264" t="s">
        <v>12</v>
      </c>
      <c r="C51" s="264"/>
      <c r="D51" s="31">
        <f>D39+D50</f>
        <v>4555000</v>
      </c>
      <c r="E51" s="265">
        <f>F39+E50</f>
        <v>8560500</v>
      </c>
      <c r="F51" s="266"/>
      <c r="G51" s="265">
        <f>H39+G50</f>
        <v>2220000</v>
      </c>
      <c r="H51" s="266"/>
      <c r="I51" s="265">
        <f>J39+I50</f>
        <v>81360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15416860</v>
      </c>
      <c r="E52" s="258"/>
      <c r="F52" s="258"/>
      <c r="G52" s="258"/>
      <c r="H52" s="258"/>
      <c r="I52" s="99"/>
      <c r="J52" s="99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D51*0.0155-12.4-9.3</f>
        <v>70580.800000000003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3098000</v>
      </c>
      <c r="D55" s="34">
        <f>D39+H39+F39+J39</f>
        <v>14762360</v>
      </c>
      <c r="E55" s="58"/>
      <c r="F55" s="58"/>
      <c r="K55" s="63" t="s">
        <v>25</v>
      </c>
      <c r="L55" s="64">
        <f>E51*0.0155+9.3</f>
        <v>132697.04999999999</v>
      </c>
      <c r="N55" s="88"/>
      <c r="X55" s="71"/>
    </row>
    <row r="56" spans="2:24" x14ac:dyDescent="0.25">
      <c r="C56" s="259">
        <f>SUM(C55:D55)</f>
        <v>17860360</v>
      </c>
      <c r="D56" s="260"/>
      <c r="E56" s="57"/>
      <c r="F56" s="57"/>
      <c r="K56" s="63" t="s">
        <v>28</v>
      </c>
      <c r="L56" s="64">
        <f>G51*0.0155</f>
        <v>34410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1261.08</v>
      </c>
      <c r="W57" s="4"/>
    </row>
    <row r="58" spans="2:24" x14ac:dyDescent="0.25">
      <c r="J58" t="s">
        <v>3</v>
      </c>
      <c r="L58" s="64">
        <f>SUM(L54:L57)</f>
        <v>238948.92999999996</v>
      </c>
      <c r="W58" s="4"/>
    </row>
    <row r="59" spans="2:24" x14ac:dyDescent="0.25">
      <c r="B59" s="1" t="s">
        <v>19</v>
      </c>
      <c r="C59" s="259">
        <f>C39+D52+E39+G39+I39</f>
        <v>18514860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61"/>
  <sheetViews>
    <sheetView topLeftCell="A7" workbookViewId="0">
      <selection activeCell="P9" sqref="P9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9" customWidth="1"/>
    <col min="14" max="14" width="8.4257812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67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45047</v>
      </c>
      <c r="C7" s="45">
        <v>0</v>
      </c>
      <c r="D7" s="46">
        <v>0</v>
      </c>
      <c r="E7" s="45">
        <v>0</v>
      </c>
      <c r="F7" s="46">
        <v>0</v>
      </c>
      <c r="G7" s="69">
        <v>0</v>
      </c>
      <c r="H7" s="70">
        <v>0</v>
      </c>
      <c r="I7" s="69">
        <v>0</v>
      </c>
      <c r="J7" s="70">
        <v>0</v>
      </c>
      <c r="K7" s="56">
        <f t="shared" ref="K7:K37" si="0">SUM(C7:J7)</f>
        <v>0</v>
      </c>
      <c r="L7" s="52">
        <v>0</v>
      </c>
      <c r="M7" s="53">
        <f>L7-K7</f>
        <v>0</v>
      </c>
      <c r="O7" s="78"/>
      <c r="V7" s="68"/>
      <c r="W7" s="68"/>
      <c r="X7" s="78"/>
      <c r="Y7" s="68"/>
      <c r="Z7" s="68"/>
    </row>
    <row r="8" spans="2:26" x14ac:dyDescent="0.25">
      <c r="B8" s="15">
        <f t="shared" ref="B8:B37" si="1">B7+1</f>
        <v>45048</v>
      </c>
      <c r="C8" s="43">
        <v>0</v>
      </c>
      <c r="D8" s="46">
        <v>0</v>
      </c>
      <c r="E8" s="45">
        <v>0</v>
      </c>
      <c r="F8" s="46">
        <v>0</v>
      </c>
      <c r="G8" s="43">
        <v>0</v>
      </c>
      <c r="H8" s="46">
        <v>7500</v>
      </c>
      <c r="I8" s="43">
        <v>0</v>
      </c>
      <c r="J8" s="46">
        <v>0</v>
      </c>
      <c r="K8" s="56">
        <f t="shared" si="0"/>
        <v>7500</v>
      </c>
      <c r="L8" s="52">
        <v>7500</v>
      </c>
      <c r="M8" s="53">
        <f t="shared" ref="M8:M37" si="2">L8-K8</f>
        <v>0</v>
      </c>
      <c r="N8" s="68" t="s">
        <v>39</v>
      </c>
      <c r="V8" s="68"/>
      <c r="W8" s="68"/>
      <c r="X8" s="78"/>
      <c r="Y8" s="78"/>
      <c r="Z8" s="68"/>
    </row>
    <row r="9" spans="2:26" x14ac:dyDescent="0.25">
      <c r="B9" s="15">
        <f t="shared" si="1"/>
        <v>45049</v>
      </c>
      <c r="C9" s="45">
        <v>0</v>
      </c>
      <c r="D9" s="44">
        <v>0</v>
      </c>
      <c r="E9" s="45">
        <v>0</v>
      </c>
      <c r="F9" s="46">
        <f>265000+5000+5000+360000</f>
        <v>635000</v>
      </c>
      <c r="G9" s="45">
        <v>0</v>
      </c>
      <c r="H9" s="46">
        <v>0</v>
      </c>
      <c r="I9" s="45">
        <v>0</v>
      </c>
      <c r="J9" s="95">
        <v>3000</v>
      </c>
      <c r="K9" s="56">
        <f t="shared" si="0"/>
        <v>638000</v>
      </c>
      <c r="L9" s="51">
        <v>740400</v>
      </c>
      <c r="M9" s="53">
        <f t="shared" si="2"/>
        <v>102400</v>
      </c>
      <c r="N9" s="94" t="s">
        <v>34</v>
      </c>
      <c r="O9" s="78"/>
      <c r="P9" s="68" t="s">
        <v>68</v>
      </c>
      <c r="V9" s="67"/>
      <c r="W9" s="68" t="s">
        <v>39</v>
      </c>
      <c r="X9" s="78"/>
      <c r="Y9" s="78"/>
      <c r="Z9" s="68"/>
    </row>
    <row r="10" spans="2:26" x14ac:dyDescent="0.25">
      <c r="B10" s="15">
        <f t="shared" si="1"/>
        <v>45050</v>
      </c>
      <c r="C10" s="43">
        <v>0</v>
      </c>
      <c r="D10" s="46">
        <v>0</v>
      </c>
      <c r="E10" s="45">
        <v>5000</v>
      </c>
      <c r="F10" s="46">
        <f>550000+5000+5000</f>
        <v>560000</v>
      </c>
      <c r="G10" s="43">
        <v>0</v>
      </c>
      <c r="H10" s="46">
        <v>0</v>
      </c>
      <c r="I10" s="43">
        <v>0</v>
      </c>
      <c r="J10" s="46">
        <v>2200</v>
      </c>
      <c r="K10" s="56">
        <f t="shared" si="0"/>
        <v>567200</v>
      </c>
      <c r="L10" s="52">
        <v>567200</v>
      </c>
      <c r="M10" s="53">
        <f t="shared" si="2"/>
        <v>0</v>
      </c>
      <c r="O10" s="78"/>
      <c r="P10" s="104"/>
      <c r="V10" s="67"/>
      <c r="W10" s="68" t="s">
        <v>30</v>
      </c>
      <c r="X10" s="78"/>
      <c r="Y10" s="78"/>
      <c r="Z10" s="68"/>
    </row>
    <row r="11" spans="2:26" x14ac:dyDescent="0.25">
      <c r="B11" s="15">
        <f t="shared" si="1"/>
        <v>45051</v>
      </c>
      <c r="C11" s="45">
        <v>0</v>
      </c>
      <c r="D11" s="46">
        <v>3000</v>
      </c>
      <c r="E11" s="45">
        <v>0</v>
      </c>
      <c r="F11" s="46">
        <v>1135000</v>
      </c>
      <c r="G11" s="45">
        <v>0</v>
      </c>
      <c r="H11" s="46">
        <v>260000</v>
      </c>
      <c r="I11" s="45">
        <v>0</v>
      </c>
      <c r="J11" s="46">
        <v>0</v>
      </c>
      <c r="K11" s="56">
        <f t="shared" si="0"/>
        <v>1398000</v>
      </c>
      <c r="L11" s="52">
        <v>1398000</v>
      </c>
      <c r="M11" s="53">
        <f t="shared" si="2"/>
        <v>0</v>
      </c>
      <c r="N11" s="68" t="s">
        <v>30</v>
      </c>
      <c r="V11" s="68"/>
      <c r="W11" s="67" t="s">
        <v>32</v>
      </c>
      <c r="X11" s="78"/>
      <c r="Y11" s="78"/>
      <c r="Z11" s="68"/>
    </row>
    <row r="12" spans="2:26" x14ac:dyDescent="0.25">
      <c r="B12" s="15">
        <f t="shared" si="1"/>
        <v>45052</v>
      </c>
      <c r="C12" s="45">
        <v>0</v>
      </c>
      <c r="D12" s="46">
        <v>0</v>
      </c>
      <c r="E12" s="45">
        <v>5000</v>
      </c>
      <c r="F12" s="46">
        <v>0</v>
      </c>
      <c r="G12" s="45">
        <v>0</v>
      </c>
      <c r="H12" s="46">
        <v>260000</v>
      </c>
      <c r="I12" s="45">
        <v>0</v>
      </c>
      <c r="J12" s="46">
        <v>0</v>
      </c>
      <c r="K12" s="56">
        <f t="shared" si="0"/>
        <v>265000</v>
      </c>
      <c r="L12" s="51">
        <v>265000</v>
      </c>
      <c r="M12" s="53">
        <f t="shared" si="2"/>
        <v>0</v>
      </c>
      <c r="N12" s="68" t="s">
        <v>30</v>
      </c>
      <c r="V12" s="68"/>
      <c r="W12" s="68" t="s">
        <v>45</v>
      </c>
      <c r="X12" s="78"/>
      <c r="Y12" s="78"/>
      <c r="Z12" s="68"/>
    </row>
    <row r="13" spans="2:26" x14ac:dyDescent="0.25">
      <c r="B13" s="15">
        <f t="shared" si="1"/>
        <v>45053</v>
      </c>
      <c r="C13" s="45">
        <v>0</v>
      </c>
      <c r="D13" s="46">
        <v>0</v>
      </c>
      <c r="E13" s="45">
        <v>0</v>
      </c>
      <c r="F13" s="46">
        <f>770000+20000</f>
        <v>790000</v>
      </c>
      <c r="G13" s="45">
        <v>0</v>
      </c>
      <c r="H13" s="46">
        <f>20000+390000</f>
        <v>410000</v>
      </c>
      <c r="I13" s="45">
        <v>0</v>
      </c>
      <c r="J13" s="46">
        <v>0</v>
      </c>
      <c r="K13" s="56">
        <f t="shared" si="0"/>
        <v>1200000</v>
      </c>
      <c r="L13" s="52">
        <v>1200000</v>
      </c>
      <c r="M13" s="53">
        <f t="shared" si="2"/>
        <v>0</v>
      </c>
      <c r="N13" s="68" t="s">
        <v>71</v>
      </c>
      <c r="O13" s="78"/>
      <c r="P13" s="67"/>
      <c r="V13" s="68"/>
      <c r="W13" s="68" t="s">
        <v>52</v>
      </c>
      <c r="Y13" s="79"/>
      <c r="Z13" s="68"/>
    </row>
    <row r="14" spans="2:26" x14ac:dyDescent="0.25">
      <c r="B14" s="15">
        <f t="shared" si="1"/>
        <v>45054</v>
      </c>
      <c r="C14" s="43">
        <v>0</v>
      </c>
      <c r="D14" s="46">
        <v>0</v>
      </c>
      <c r="E14" s="45">
        <v>0</v>
      </c>
      <c r="F14" s="46">
        <v>0</v>
      </c>
      <c r="G14" s="43">
        <v>0</v>
      </c>
      <c r="H14" s="46">
        <v>0</v>
      </c>
      <c r="I14" s="43">
        <v>0</v>
      </c>
      <c r="J14" s="97">
        <v>30000</v>
      </c>
      <c r="K14" s="56">
        <f t="shared" si="0"/>
        <v>30000</v>
      </c>
      <c r="L14" s="52">
        <v>30000</v>
      </c>
      <c r="M14" s="53">
        <f t="shared" si="2"/>
        <v>0</v>
      </c>
      <c r="N14" s="78" t="s">
        <v>31</v>
      </c>
      <c r="V14" s="68"/>
      <c r="W14" s="68" t="s">
        <v>66</v>
      </c>
      <c r="X14" s="68"/>
      <c r="Y14" s="78"/>
      <c r="Z14" s="68"/>
    </row>
    <row r="15" spans="2:26" x14ac:dyDescent="0.25">
      <c r="B15" s="15">
        <f t="shared" si="1"/>
        <v>45055</v>
      </c>
      <c r="C15" s="45">
        <v>0</v>
      </c>
      <c r="D15" s="46">
        <v>0</v>
      </c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0"/>
        <v>0</v>
      </c>
      <c r="L15" s="51">
        <v>0</v>
      </c>
      <c r="M15" s="53">
        <f t="shared" si="2"/>
        <v>0</v>
      </c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45056</v>
      </c>
      <c r="C16" s="43">
        <v>8000</v>
      </c>
      <c r="D16" s="46">
        <v>16000</v>
      </c>
      <c r="E16" s="45">
        <v>0</v>
      </c>
      <c r="F16" s="46">
        <f>360000+5000</f>
        <v>365000</v>
      </c>
      <c r="G16" s="43">
        <v>0</v>
      </c>
      <c r="H16" s="46">
        <v>0</v>
      </c>
      <c r="I16" s="43">
        <v>4000</v>
      </c>
      <c r="J16" s="95">
        <v>8800</v>
      </c>
      <c r="K16" s="56">
        <f>SUM(C16:J16)</f>
        <v>401800</v>
      </c>
      <c r="L16" s="52">
        <v>401800</v>
      </c>
      <c r="M16" s="53">
        <f t="shared" si="2"/>
        <v>0</v>
      </c>
      <c r="N16" s="78" t="s">
        <v>33</v>
      </c>
      <c r="O16" s="94" t="s">
        <v>34</v>
      </c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45057</v>
      </c>
      <c r="C17" s="45">
        <v>0</v>
      </c>
      <c r="D17" s="46">
        <v>0</v>
      </c>
      <c r="E17" s="43">
        <v>220000</v>
      </c>
      <c r="F17" s="44">
        <f>380000+200000+25000+5000+5000</f>
        <v>615000</v>
      </c>
      <c r="G17" s="45">
        <v>0</v>
      </c>
      <c r="H17" s="44">
        <v>0</v>
      </c>
      <c r="I17" s="45">
        <v>0</v>
      </c>
      <c r="J17" s="44">
        <v>2200</v>
      </c>
      <c r="K17" s="56">
        <f t="shared" si="0"/>
        <v>837200</v>
      </c>
      <c r="L17" s="52">
        <v>961800</v>
      </c>
      <c r="M17" s="53">
        <f t="shared" si="2"/>
        <v>124600</v>
      </c>
      <c r="N17" s="78" t="s">
        <v>58</v>
      </c>
      <c r="P17" s="68" t="s">
        <v>72</v>
      </c>
      <c r="V17" s="67"/>
      <c r="W17" s="67"/>
      <c r="X17" s="78"/>
      <c r="Y17" s="78"/>
      <c r="Z17" s="68"/>
    </row>
    <row r="18" spans="2:26" x14ac:dyDescent="0.25">
      <c r="B18" s="15">
        <f t="shared" si="1"/>
        <v>45058</v>
      </c>
      <c r="C18" s="43">
        <v>0</v>
      </c>
      <c r="D18" s="46">
        <v>0</v>
      </c>
      <c r="E18" s="45">
        <v>0</v>
      </c>
      <c r="F18" s="46">
        <f>360000+5000+5000+5000</f>
        <v>375000</v>
      </c>
      <c r="G18" s="43">
        <v>0</v>
      </c>
      <c r="H18" s="46">
        <v>0</v>
      </c>
      <c r="I18" s="43">
        <v>0</v>
      </c>
      <c r="J18" s="97">
        <v>34200</v>
      </c>
      <c r="K18" s="56">
        <f t="shared" si="0"/>
        <v>409200</v>
      </c>
      <c r="L18" s="51">
        <v>409200</v>
      </c>
      <c r="M18" s="53">
        <f t="shared" si="2"/>
        <v>0</v>
      </c>
      <c r="N18" s="78" t="s">
        <v>31</v>
      </c>
      <c r="O18" s="106" t="s">
        <v>49</v>
      </c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45059</v>
      </c>
      <c r="C19" s="45">
        <v>0</v>
      </c>
      <c r="D19" s="46">
        <v>266600</v>
      </c>
      <c r="E19" s="45">
        <v>0</v>
      </c>
      <c r="F19" s="46">
        <v>0</v>
      </c>
      <c r="G19" s="45">
        <v>122000</v>
      </c>
      <c r="H19" s="46">
        <f>68000+400+187200</f>
        <v>255600</v>
      </c>
      <c r="I19" s="45">
        <v>3000</v>
      </c>
      <c r="J19" s="46">
        <v>15000</v>
      </c>
      <c r="K19" s="56">
        <f t="shared" si="0"/>
        <v>662200</v>
      </c>
      <c r="L19" s="52">
        <v>662200</v>
      </c>
      <c r="M19" s="53">
        <f t="shared" si="2"/>
        <v>0</v>
      </c>
      <c r="O19" s="67"/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45060</v>
      </c>
      <c r="C20" s="45">
        <v>252000</v>
      </c>
      <c r="D20" s="44">
        <v>378000</v>
      </c>
      <c r="E20" s="45">
        <v>0</v>
      </c>
      <c r="F20" s="46">
        <f>225000+226800</f>
        <v>451800</v>
      </c>
      <c r="G20" s="45">
        <v>0</v>
      </c>
      <c r="H20" s="46">
        <v>0</v>
      </c>
      <c r="I20" s="45">
        <v>0</v>
      </c>
      <c r="J20" s="46">
        <v>0</v>
      </c>
      <c r="K20" s="56">
        <f t="shared" si="0"/>
        <v>1081800</v>
      </c>
      <c r="L20" s="52">
        <v>1081800</v>
      </c>
      <c r="M20" s="53">
        <f t="shared" si="2"/>
        <v>0</v>
      </c>
      <c r="O20" s="67"/>
      <c r="P20" s="78"/>
      <c r="V20" s="67"/>
      <c r="W20" s="78" t="s">
        <v>33</v>
      </c>
      <c r="Y20" s="78"/>
      <c r="Z20" s="68"/>
    </row>
    <row r="21" spans="2:26" x14ac:dyDescent="0.25">
      <c r="B21" s="15">
        <f>B20+1</f>
        <v>45061</v>
      </c>
      <c r="C21" s="45">
        <f>4000+2000</f>
        <v>6000</v>
      </c>
      <c r="D21" s="46">
        <f>4000*4</f>
        <v>16000</v>
      </c>
      <c r="E21" s="45">
        <v>0</v>
      </c>
      <c r="F21" s="46">
        <v>30000</v>
      </c>
      <c r="G21" s="45">
        <v>0</v>
      </c>
      <c r="H21" s="46">
        <v>0</v>
      </c>
      <c r="I21" s="45">
        <v>0</v>
      </c>
      <c r="J21" s="46">
        <v>19800</v>
      </c>
      <c r="K21" s="56">
        <f t="shared" si="0"/>
        <v>71800</v>
      </c>
      <c r="L21" s="51">
        <v>71800</v>
      </c>
      <c r="M21" s="53">
        <f t="shared" si="2"/>
        <v>0</v>
      </c>
      <c r="W21" s="78" t="s">
        <v>58</v>
      </c>
      <c r="X21" s="78"/>
      <c r="Y21" s="78"/>
      <c r="Z21" s="68"/>
    </row>
    <row r="22" spans="2:26" x14ac:dyDescent="0.25">
      <c r="B22" s="15">
        <f t="shared" si="1"/>
        <v>45062</v>
      </c>
      <c r="C22" s="45">
        <v>0</v>
      </c>
      <c r="D22" s="46">
        <v>600000</v>
      </c>
      <c r="E22" s="45">
        <v>0</v>
      </c>
      <c r="F22" s="46">
        <v>0</v>
      </c>
      <c r="G22" s="45">
        <v>0</v>
      </c>
      <c r="H22" s="46">
        <v>10000</v>
      </c>
      <c r="I22" s="102">
        <v>0</v>
      </c>
      <c r="J22" s="97">
        <v>0</v>
      </c>
      <c r="K22" s="56">
        <f t="shared" si="0"/>
        <v>610000</v>
      </c>
      <c r="L22" s="52">
        <v>610000</v>
      </c>
      <c r="M22" s="53">
        <f t="shared" si="2"/>
        <v>0</v>
      </c>
      <c r="N22" s="67" t="s">
        <v>30</v>
      </c>
      <c r="O22" s="106" t="s">
        <v>73</v>
      </c>
      <c r="W22" s="67"/>
      <c r="X22" s="78"/>
      <c r="Y22" s="78"/>
      <c r="Z22" s="68"/>
    </row>
    <row r="23" spans="2:26" x14ac:dyDescent="0.25">
      <c r="B23" s="15">
        <f t="shared" si="1"/>
        <v>45063</v>
      </c>
      <c r="C23" s="45">
        <v>2000</v>
      </c>
      <c r="D23" s="46">
        <v>602000</v>
      </c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0"/>
        <v>604000</v>
      </c>
      <c r="L23" s="52">
        <v>604000</v>
      </c>
      <c r="M23" s="53">
        <f t="shared" si="2"/>
        <v>0</v>
      </c>
      <c r="O23" s="78"/>
      <c r="W23" s="67"/>
      <c r="X23" s="78"/>
      <c r="Y23" s="78"/>
      <c r="Z23" s="68"/>
    </row>
    <row r="24" spans="2:26" x14ac:dyDescent="0.25">
      <c r="B24" s="15">
        <f t="shared" si="1"/>
        <v>45064</v>
      </c>
      <c r="C24" s="43">
        <f>2000+490000</f>
        <v>492000</v>
      </c>
      <c r="D24" s="46">
        <v>670000</v>
      </c>
      <c r="E24" s="45">
        <v>0</v>
      </c>
      <c r="F24" s="46">
        <v>0</v>
      </c>
      <c r="G24" s="43">
        <v>0</v>
      </c>
      <c r="H24" s="46">
        <v>2500</v>
      </c>
      <c r="I24" s="43">
        <v>4000</v>
      </c>
      <c r="J24" s="46">
        <v>2200</v>
      </c>
      <c r="K24" s="56">
        <f t="shared" si="0"/>
        <v>1170700</v>
      </c>
      <c r="L24" s="51">
        <v>1180700</v>
      </c>
      <c r="M24" s="53">
        <f t="shared" si="2"/>
        <v>10000</v>
      </c>
      <c r="P24" s="68" t="s">
        <v>74</v>
      </c>
      <c r="V24" s="67"/>
      <c r="W24" s="67"/>
      <c r="Y24" s="78"/>
      <c r="Z24" s="68"/>
    </row>
    <row r="25" spans="2:26" x14ac:dyDescent="0.25">
      <c r="B25" s="15">
        <f t="shared" si="1"/>
        <v>45065</v>
      </c>
      <c r="C25" s="45">
        <v>0</v>
      </c>
      <c r="D25" s="46">
        <v>440000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0"/>
        <v>440000</v>
      </c>
      <c r="L25" s="52">
        <v>440000</v>
      </c>
      <c r="M25" s="53">
        <f t="shared" si="2"/>
        <v>0</v>
      </c>
      <c r="V25" s="67"/>
      <c r="W25" s="67"/>
      <c r="X25" s="78"/>
      <c r="Y25" s="78"/>
      <c r="Z25" s="68"/>
    </row>
    <row r="26" spans="2:26" x14ac:dyDescent="0.25">
      <c r="B26" s="15">
        <f t="shared" si="1"/>
        <v>45066</v>
      </c>
      <c r="C26" s="45">
        <v>0</v>
      </c>
      <c r="D26" s="46">
        <v>0</v>
      </c>
      <c r="E26" s="45">
        <v>0</v>
      </c>
      <c r="F26" s="46">
        <v>0</v>
      </c>
      <c r="G26" s="45">
        <v>200000</v>
      </c>
      <c r="H26" s="46">
        <v>80000</v>
      </c>
      <c r="I26" s="45">
        <v>0</v>
      </c>
      <c r="J26" s="46">
        <f>4000+3600</f>
        <v>7600</v>
      </c>
      <c r="K26" s="56">
        <f t="shared" si="0"/>
        <v>287600</v>
      </c>
      <c r="L26" s="52">
        <v>287600</v>
      </c>
      <c r="M26" s="53">
        <f t="shared" si="2"/>
        <v>0</v>
      </c>
      <c r="O26" s="94" t="s">
        <v>75</v>
      </c>
      <c r="W26" s="67"/>
      <c r="X26" s="78"/>
      <c r="Y26" s="78"/>
      <c r="Z26" s="68"/>
    </row>
    <row r="27" spans="2:26" x14ac:dyDescent="0.25">
      <c r="B27" s="15">
        <f t="shared" si="1"/>
        <v>45067</v>
      </c>
      <c r="C27" s="43">
        <v>0</v>
      </c>
      <c r="D27" s="46">
        <v>0</v>
      </c>
      <c r="E27" s="45">
        <v>0</v>
      </c>
      <c r="F27" s="46">
        <v>0</v>
      </c>
      <c r="G27" s="43">
        <v>0</v>
      </c>
      <c r="H27" s="46">
        <v>0</v>
      </c>
      <c r="I27" s="43">
        <v>0</v>
      </c>
      <c r="J27" s="46">
        <v>0</v>
      </c>
      <c r="K27" s="56">
        <f t="shared" si="0"/>
        <v>0</v>
      </c>
      <c r="L27" s="51">
        <v>0</v>
      </c>
      <c r="M27" s="53">
        <f t="shared" si="2"/>
        <v>0</v>
      </c>
      <c r="O27" s="78"/>
      <c r="W27" s="68"/>
      <c r="X27" s="78"/>
      <c r="Y27" s="68"/>
      <c r="Z27" s="68"/>
    </row>
    <row r="28" spans="2:26" x14ac:dyDescent="0.25">
      <c r="B28" s="15">
        <f t="shared" si="1"/>
        <v>45068</v>
      </c>
      <c r="C28" s="43">
        <v>470000</v>
      </c>
      <c r="D28" s="46">
        <f>100000+4000*4+2000</f>
        <v>118000</v>
      </c>
      <c r="E28" s="45">
        <v>0</v>
      </c>
      <c r="F28" s="46">
        <v>0</v>
      </c>
      <c r="G28" s="43">
        <v>0</v>
      </c>
      <c r="H28" s="46">
        <v>2500</v>
      </c>
      <c r="I28" s="43">
        <v>0</v>
      </c>
      <c r="J28" s="97">
        <f>4000+11900</f>
        <v>15900</v>
      </c>
      <c r="K28" s="56">
        <f>SUM(C28:J28)</f>
        <v>606400</v>
      </c>
      <c r="L28" s="52">
        <v>606400</v>
      </c>
      <c r="M28" s="53">
        <f t="shared" si="2"/>
        <v>0</v>
      </c>
      <c r="N28" s="78" t="s">
        <v>39</v>
      </c>
      <c r="O28" s="94" t="s">
        <v>76</v>
      </c>
      <c r="Q28" s="68" t="s">
        <v>33</v>
      </c>
      <c r="W28" s="68"/>
      <c r="X28" s="67"/>
      <c r="Y28" s="68"/>
      <c r="Z28" s="68"/>
    </row>
    <row r="29" spans="2:26" x14ac:dyDescent="0.25">
      <c r="B29" s="15">
        <f t="shared" si="1"/>
        <v>45069</v>
      </c>
      <c r="C29" s="45">
        <v>1000000</v>
      </c>
      <c r="D29" s="46">
        <f>700000+200000</f>
        <v>900000</v>
      </c>
      <c r="E29" s="45">
        <v>0</v>
      </c>
      <c r="F29" s="46">
        <f>5000+5000</f>
        <v>10000</v>
      </c>
      <c r="G29" s="45">
        <v>0</v>
      </c>
      <c r="H29" s="46">
        <v>20000</v>
      </c>
      <c r="I29" s="45">
        <v>0</v>
      </c>
      <c r="J29" s="97">
        <v>0</v>
      </c>
      <c r="K29" s="56">
        <f>SUM(C29:J29)</f>
        <v>1930000</v>
      </c>
      <c r="L29" s="52">
        <v>1930000</v>
      </c>
      <c r="M29" s="53">
        <f t="shared" si="2"/>
        <v>0</v>
      </c>
      <c r="N29" s="68" t="s">
        <v>30</v>
      </c>
      <c r="O29" s="78"/>
      <c r="W29" s="67"/>
      <c r="X29" s="78"/>
      <c r="Y29" s="78"/>
      <c r="Z29" s="68"/>
    </row>
    <row r="30" spans="2:26" x14ac:dyDescent="0.25">
      <c r="B30" s="15">
        <f t="shared" si="1"/>
        <v>45070</v>
      </c>
      <c r="C30" s="43">
        <v>0</v>
      </c>
      <c r="D30" s="46">
        <v>4000</v>
      </c>
      <c r="E30" s="45">
        <f>5000+5000</f>
        <v>10000</v>
      </c>
      <c r="F30" s="46">
        <f>360000+5000</f>
        <v>365000</v>
      </c>
      <c r="G30" s="43">
        <v>0</v>
      </c>
      <c r="H30" s="46">
        <v>0</v>
      </c>
      <c r="I30" s="43">
        <v>0</v>
      </c>
      <c r="J30" s="97">
        <v>4000</v>
      </c>
      <c r="K30" s="56">
        <f t="shared" si="0"/>
        <v>383000</v>
      </c>
      <c r="L30" s="51">
        <v>383000</v>
      </c>
      <c r="M30" s="53">
        <f t="shared" si="2"/>
        <v>0</v>
      </c>
      <c r="O30" s="78"/>
      <c r="W30" s="67"/>
      <c r="X30" s="78"/>
      <c r="Y30" s="78"/>
      <c r="Z30" s="68"/>
    </row>
    <row r="31" spans="2:26" x14ac:dyDescent="0.25">
      <c r="B31" s="15">
        <f t="shared" si="1"/>
        <v>45071</v>
      </c>
      <c r="C31" s="43">
        <v>0</v>
      </c>
      <c r="D31" s="46">
        <v>550000</v>
      </c>
      <c r="E31" s="45">
        <v>0</v>
      </c>
      <c r="F31" s="46">
        <f>380000+50000</f>
        <v>430000</v>
      </c>
      <c r="G31" s="43">
        <v>0</v>
      </c>
      <c r="H31" s="46">
        <v>0</v>
      </c>
      <c r="I31" s="43">
        <v>0</v>
      </c>
      <c r="J31" s="97">
        <v>0</v>
      </c>
      <c r="K31" s="56">
        <f t="shared" si="0"/>
        <v>980000</v>
      </c>
      <c r="L31" s="52">
        <v>980000</v>
      </c>
      <c r="M31" s="53">
        <f t="shared" si="2"/>
        <v>0</v>
      </c>
      <c r="W31" s="68"/>
      <c r="X31" s="78"/>
      <c r="Y31" s="78"/>
      <c r="Z31" s="67"/>
    </row>
    <row r="32" spans="2:26" x14ac:dyDescent="0.25">
      <c r="B32" s="15">
        <f t="shared" si="1"/>
        <v>45072</v>
      </c>
      <c r="C32" s="43">
        <v>0</v>
      </c>
      <c r="D32" s="46">
        <v>0</v>
      </c>
      <c r="E32" s="43">
        <f>150000+5000</f>
        <v>155000</v>
      </c>
      <c r="F32" s="46">
        <f>200000+5000+5000</f>
        <v>210000</v>
      </c>
      <c r="G32" s="43">
        <v>0</v>
      </c>
      <c r="H32" s="46">
        <v>0</v>
      </c>
      <c r="I32" s="43">
        <v>0</v>
      </c>
      <c r="J32" s="97">
        <v>30000</v>
      </c>
      <c r="K32" s="56">
        <f t="shared" si="0"/>
        <v>395000</v>
      </c>
      <c r="L32" s="52">
        <v>395000</v>
      </c>
      <c r="M32" s="53">
        <f t="shared" si="2"/>
        <v>0</v>
      </c>
      <c r="W32" s="68"/>
      <c r="X32" s="67"/>
      <c r="Y32" s="78"/>
      <c r="Z32" s="68"/>
    </row>
    <row r="33" spans="1:26" x14ac:dyDescent="0.25">
      <c r="B33" s="15">
        <f t="shared" si="1"/>
        <v>45073</v>
      </c>
      <c r="C33" s="43">
        <v>0</v>
      </c>
      <c r="D33" s="46">
        <v>0</v>
      </c>
      <c r="E33" s="45">
        <v>80000</v>
      </c>
      <c r="F33" s="46">
        <f>350000+400000+60000-60000</f>
        <v>750000</v>
      </c>
      <c r="G33" s="43">
        <v>0</v>
      </c>
      <c r="H33" s="46">
        <v>0</v>
      </c>
      <c r="I33" s="43">
        <v>0</v>
      </c>
      <c r="J33" s="95">
        <v>11000</v>
      </c>
      <c r="K33" s="56">
        <f t="shared" si="0"/>
        <v>841000</v>
      </c>
      <c r="L33" s="51">
        <v>841000</v>
      </c>
      <c r="M33" s="53">
        <f t="shared" si="2"/>
        <v>0</v>
      </c>
      <c r="O33" s="94" t="s">
        <v>34</v>
      </c>
      <c r="W33" s="68"/>
      <c r="X33" s="78"/>
      <c r="Y33" s="78"/>
      <c r="Z33" s="68"/>
    </row>
    <row r="34" spans="1:26" x14ac:dyDescent="0.25">
      <c r="B34" s="15">
        <f t="shared" si="1"/>
        <v>45074</v>
      </c>
      <c r="C34" s="45">
        <v>0</v>
      </c>
      <c r="D34" s="46">
        <v>0</v>
      </c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97">
        <v>0</v>
      </c>
      <c r="K34" s="56">
        <f t="shared" si="0"/>
        <v>0</v>
      </c>
      <c r="L34" s="52">
        <v>0</v>
      </c>
      <c r="M34" s="53">
        <f t="shared" si="2"/>
        <v>0</v>
      </c>
      <c r="W34" s="68"/>
      <c r="X34" s="78"/>
      <c r="Y34" s="78"/>
      <c r="Z34" s="68"/>
    </row>
    <row r="35" spans="1:26" x14ac:dyDescent="0.25">
      <c r="B35" s="15">
        <f t="shared" si="1"/>
        <v>45075</v>
      </c>
      <c r="C35" s="47">
        <v>4000</v>
      </c>
      <c r="D35" s="48">
        <f>395000+4000*4</f>
        <v>411000</v>
      </c>
      <c r="E35" s="49">
        <v>0</v>
      </c>
      <c r="F35" s="50">
        <v>0</v>
      </c>
      <c r="G35" s="47">
        <v>0</v>
      </c>
      <c r="H35" s="48">
        <v>0</v>
      </c>
      <c r="I35" s="47">
        <v>0</v>
      </c>
      <c r="J35" s="103">
        <v>0</v>
      </c>
      <c r="K35" s="56">
        <f t="shared" si="0"/>
        <v>415000</v>
      </c>
      <c r="L35" s="54">
        <v>415000</v>
      </c>
      <c r="M35" s="55">
        <f t="shared" si="2"/>
        <v>0</v>
      </c>
      <c r="W35" s="68"/>
      <c r="X35" s="78"/>
      <c r="Y35" s="78"/>
      <c r="Z35" s="68"/>
    </row>
    <row r="36" spans="1:26" x14ac:dyDescent="0.25">
      <c r="B36" s="15">
        <f t="shared" si="1"/>
        <v>45076</v>
      </c>
      <c r="C36" s="47">
        <v>0</v>
      </c>
      <c r="D36" s="48">
        <v>15000</v>
      </c>
      <c r="E36" s="49">
        <v>0</v>
      </c>
      <c r="F36" s="50">
        <v>430000</v>
      </c>
      <c r="G36" s="47">
        <v>0</v>
      </c>
      <c r="H36" s="48">
        <v>0</v>
      </c>
      <c r="I36" s="47">
        <v>0</v>
      </c>
      <c r="J36" s="103">
        <v>0</v>
      </c>
      <c r="K36" s="56">
        <f t="shared" si="0"/>
        <v>445000</v>
      </c>
      <c r="L36" s="54">
        <v>445000</v>
      </c>
      <c r="M36" s="55">
        <f t="shared" si="2"/>
        <v>0</v>
      </c>
      <c r="O36" s="94"/>
      <c r="Q36" s="101"/>
      <c r="W36" s="68"/>
      <c r="Z36" s="68"/>
    </row>
    <row r="37" spans="1:26" x14ac:dyDescent="0.25">
      <c r="B37" s="15">
        <f t="shared" si="1"/>
        <v>45077</v>
      </c>
      <c r="C37" s="47">
        <f>4000*3</f>
        <v>12000</v>
      </c>
      <c r="D37" s="48">
        <f>4000*3+2000+15000</f>
        <v>29000</v>
      </c>
      <c r="E37" s="49">
        <v>0</v>
      </c>
      <c r="F37" s="50">
        <f>5000+60000+850000</f>
        <v>915000</v>
      </c>
      <c r="G37" s="47">
        <v>0</v>
      </c>
      <c r="H37" s="48">
        <v>2500</v>
      </c>
      <c r="I37" s="108">
        <v>1000</v>
      </c>
      <c r="J37" s="100">
        <v>10000</v>
      </c>
      <c r="K37" s="56">
        <f t="shared" si="0"/>
        <v>969500</v>
      </c>
      <c r="L37" s="54">
        <v>969500</v>
      </c>
      <c r="M37" s="55">
        <f t="shared" si="2"/>
        <v>0</v>
      </c>
      <c r="O37" s="94" t="s">
        <v>34</v>
      </c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67"/>
      <c r="O38" s="78"/>
      <c r="P38" s="78"/>
    </row>
    <row r="39" spans="1:26" ht="15.75" x14ac:dyDescent="0.25">
      <c r="B39" s="23" t="s">
        <v>3</v>
      </c>
      <c r="C39" s="24">
        <f>SUM(C7:C38)</f>
        <v>2246000</v>
      </c>
      <c r="D39" s="25">
        <f>SUM(D7:D38)</f>
        <v>5018600</v>
      </c>
      <c r="E39" s="24">
        <f t="shared" ref="E39:J39" si="3">SUM(E7:E38)</f>
        <v>475000</v>
      </c>
      <c r="F39" s="59">
        <f t="shared" si="3"/>
        <v>8066800</v>
      </c>
      <c r="G39" s="24">
        <f t="shared" si="3"/>
        <v>322000</v>
      </c>
      <c r="H39" s="25">
        <f t="shared" si="3"/>
        <v>1310600</v>
      </c>
      <c r="I39" s="24">
        <f t="shared" si="3"/>
        <v>12000</v>
      </c>
      <c r="J39" s="25">
        <f t="shared" si="3"/>
        <v>195900</v>
      </c>
      <c r="K39" s="28">
        <f>SUM(K7:K38)</f>
        <v>17646900</v>
      </c>
      <c r="L39" s="27">
        <f>SUM(L7:L38)</f>
        <v>17883900</v>
      </c>
      <c r="M39" s="26">
        <f>L39-K39</f>
        <v>237000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7264600</v>
      </c>
      <c r="D40" s="268"/>
      <c r="E40" s="267">
        <f>SUM(E39:F39)</f>
        <v>8541800</v>
      </c>
      <c r="F40" s="269"/>
      <c r="G40" s="267">
        <f>SUM(G39:H39)</f>
        <v>1632600</v>
      </c>
      <c r="H40" s="268"/>
      <c r="I40" s="267">
        <f>SUM(I39:J39)</f>
        <v>207900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45046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0</v>
      </c>
      <c r="L45" s="3"/>
      <c r="M45" s="3">
        <f>L45-K45</f>
        <v>0</v>
      </c>
      <c r="N45" s="85">
        <v>45047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45077</v>
      </c>
      <c r="C48" s="3">
        <v>0</v>
      </c>
      <c r="D48" s="14">
        <v>29000</v>
      </c>
      <c r="E48" s="3">
        <v>0</v>
      </c>
      <c r="F48" s="14">
        <v>915000</v>
      </c>
      <c r="G48" s="3">
        <v>0</v>
      </c>
      <c r="H48" s="14">
        <v>2500</v>
      </c>
      <c r="I48" s="3">
        <v>0</v>
      </c>
      <c r="J48" s="14">
        <v>10000</v>
      </c>
      <c r="K48" s="3">
        <f>SUM(C48:J48)</f>
        <v>956500</v>
      </c>
      <c r="L48" s="3">
        <v>956500</v>
      </c>
      <c r="M48" s="3">
        <f>L48-K48</f>
        <v>0</v>
      </c>
      <c r="N48" s="85">
        <v>45078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-29000</v>
      </c>
      <c r="E50" s="262">
        <f>F45+F46-F47-F48</f>
        <v>-915000</v>
      </c>
      <c r="F50" s="263"/>
      <c r="G50" s="262">
        <f>H45+H46-H47-H48</f>
        <v>-2500</v>
      </c>
      <c r="H50" s="263"/>
      <c r="I50" s="262">
        <f>J45+J46-J47-J48</f>
        <v>-10000</v>
      </c>
      <c r="J50" s="263"/>
    </row>
    <row r="51" spans="2:24" x14ac:dyDescent="0.25">
      <c r="B51" s="264" t="s">
        <v>12</v>
      </c>
      <c r="C51" s="264"/>
      <c r="D51" s="31">
        <f>D39+D50</f>
        <v>4989600</v>
      </c>
      <c r="E51" s="265">
        <f>F39+E50</f>
        <v>7151800</v>
      </c>
      <c r="F51" s="266"/>
      <c r="G51" s="265">
        <f>H39+G50</f>
        <v>1308100</v>
      </c>
      <c r="H51" s="266"/>
      <c r="I51" s="265">
        <f>J39+I50</f>
        <v>185900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13635400</v>
      </c>
      <c r="E52" s="258"/>
      <c r="F52" s="258"/>
      <c r="G52" s="258"/>
      <c r="H52" s="258"/>
      <c r="I52" s="105"/>
      <c r="J52" s="105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77338.8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3055000</v>
      </c>
      <c r="D55" s="34">
        <f>D39+H39+F39+J39</f>
        <v>14591900</v>
      </c>
      <c r="E55" s="58"/>
      <c r="F55" s="58"/>
      <c r="K55" s="63" t="s">
        <v>25</v>
      </c>
      <c r="L55" s="64">
        <f>E51*0.0155</f>
        <v>110852.9</v>
      </c>
      <c r="N55" s="88"/>
      <c r="X55" s="71"/>
    </row>
    <row r="56" spans="2:24" x14ac:dyDescent="0.25">
      <c r="C56" s="259">
        <f>SUM(C55:D55)</f>
        <v>17646900</v>
      </c>
      <c r="D56" s="260"/>
      <c r="E56" s="57"/>
      <c r="F56" s="57"/>
      <c r="K56" s="63" t="s">
        <v>28</v>
      </c>
      <c r="L56" s="64">
        <f>G51*0.0155</f>
        <v>20275.55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2881.45</v>
      </c>
      <c r="W57" s="4"/>
    </row>
    <row r="58" spans="2:24" x14ac:dyDescent="0.25">
      <c r="J58" t="s">
        <v>3</v>
      </c>
      <c r="L58" s="64">
        <f>SUM(L54:L57)</f>
        <v>211348.7</v>
      </c>
      <c r="W58" s="4"/>
    </row>
    <row r="59" spans="2:24" x14ac:dyDescent="0.25">
      <c r="B59" s="1" t="s">
        <v>19</v>
      </c>
      <c r="C59" s="259">
        <f>C39+D52+E39+G39+I39</f>
        <v>16690400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52:C52"/>
    <mergeCell ref="D52:H52"/>
    <mergeCell ref="C56:D56"/>
    <mergeCell ref="C59:D59"/>
    <mergeCell ref="B50:C50"/>
    <mergeCell ref="E50:F50"/>
    <mergeCell ref="G50:H50"/>
    <mergeCell ref="I50:J50"/>
    <mergeCell ref="B51:C51"/>
    <mergeCell ref="E51:F51"/>
    <mergeCell ref="G51:H51"/>
    <mergeCell ref="I51:J51"/>
    <mergeCell ref="C40:D40"/>
    <mergeCell ref="E40:F40"/>
    <mergeCell ref="G40:H40"/>
    <mergeCell ref="I40:J40"/>
    <mergeCell ref="C43:D43"/>
    <mergeCell ref="E43:F43"/>
    <mergeCell ref="G43:H43"/>
    <mergeCell ref="I43:J43"/>
    <mergeCell ref="B2:K2"/>
    <mergeCell ref="B3:C3"/>
    <mergeCell ref="D3:G3"/>
    <mergeCell ref="C5:D5"/>
    <mergeCell ref="E5:F5"/>
    <mergeCell ref="G5:H5"/>
    <mergeCell ref="I5:J5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61"/>
  <sheetViews>
    <sheetView topLeftCell="A13" workbookViewId="0">
      <selection activeCell="W13" sqref="W13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9" customWidth="1"/>
    <col min="14" max="14" width="8.4257812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77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45078</v>
      </c>
      <c r="C7" s="45">
        <v>0</v>
      </c>
      <c r="D7" s="46">
        <v>0</v>
      </c>
      <c r="E7" s="45">
        <v>355000</v>
      </c>
      <c r="F7" s="46">
        <f>360000+60000</f>
        <v>420000</v>
      </c>
      <c r="G7" s="69">
        <v>0</v>
      </c>
      <c r="H7" s="70">
        <v>0</v>
      </c>
      <c r="I7" s="69">
        <v>0</v>
      </c>
      <c r="J7" s="70">
        <v>3500</v>
      </c>
      <c r="K7" s="56">
        <f t="shared" ref="K7:K37" si="0">SUM(C7:J7)</f>
        <v>778500</v>
      </c>
      <c r="L7" s="52">
        <v>778500</v>
      </c>
      <c r="M7" s="53">
        <f>L7-K7</f>
        <v>0</v>
      </c>
      <c r="O7" s="78"/>
      <c r="V7" s="68"/>
      <c r="W7" s="68"/>
      <c r="X7" s="78"/>
      <c r="Y7" s="68"/>
      <c r="Z7" s="68"/>
    </row>
    <row r="8" spans="2:26" x14ac:dyDescent="0.25">
      <c r="B8" s="15">
        <f t="shared" ref="B8:B37" si="1">B7+1</f>
        <v>45079</v>
      </c>
      <c r="C8" s="43">
        <v>550000</v>
      </c>
      <c r="D8" s="46">
        <v>0</v>
      </c>
      <c r="E8" s="45">
        <f>5000*3</f>
        <v>15000</v>
      </c>
      <c r="F8" s="46">
        <f>30000+5000*8</f>
        <v>70000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635000</v>
      </c>
      <c r="L8" s="52">
        <v>635000</v>
      </c>
      <c r="M8" s="53">
        <f t="shared" ref="M8:M37" si="2">L8-K8</f>
        <v>0</v>
      </c>
      <c r="N8" s="109"/>
      <c r="O8" s="109"/>
      <c r="P8" s="109"/>
      <c r="Q8" s="109"/>
      <c r="V8" s="68"/>
      <c r="W8" s="68" t="s">
        <v>78</v>
      </c>
      <c r="X8" s="78"/>
      <c r="Y8" s="78"/>
      <c r="Z8" s="68"/>
    </row>
    <row r="9" spans="2:26" x14ac:dyDescent="0.25">
      <c r="B9" s="15">
        <f t="shared" si="1"/>
        <v>45080</v>
      </c>
      <c r="C9" s="45">
        <v>0</v>
      </c>
      <c r="D9" s="44">
        <v>0</v>
      </c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97">
        <v>0</v>
      </c>
      <c r="K9" s="56">
        <f t="shared" si="0"/>
        <v>0</v>
      </c>
      <c r="L9" s="51">
        <v>0</v>
      </c>
      <c r="M9" s="53">
        <f t="shared" si="2"/>
        <v>0</v>
      </c>
      <c r="N9" s="110"/>
      <c r="O9" s="111"/>
      <c r="P9" s="109"/>
      <c r="Q9" s="109"/>
      <c r="V9" s="67"/>
      <c r="W9" s="68" t="s">
        <v>39</v>
      </c>
      <c r="X9" s="78"/>
      <c r="Y9" s="78"/>
      <c r="Z9" s="68"/>
    </row>
    <row r="10" spans="2:26" x14ac:dyDescent="0.25">
      <c r="B10" s="15">
        <f t="shared" si="1"/>
        <v>45081</v>
      </c>
      <c r="C10" s="43">
        <v>0</v>
      </c>
      <c r="D10" s="46">
        <v>0</v>
      </c>
      <c r="E10" s="45">
        <v>0</v>
      </c>
      <c r="F10" s="46">
        <v>0</v>
      </c>
      <c r="G10" s="43">
        <v>0</v>
      </c>
      <c r="H10" s="46">
        <v>0</v>
      </c>
      <c r="I10" s="43">
        <v>0</v>
      </c>
      <c r="J10" s="46">
        <v>0</v>
      </c>
      <c r="K10" s="56">
        <f t="shared" si="0"/>
        <v>0</v>
      </c>
      <c r="L10" s="52">
        <v>0</v>
      </c>
      <c r="M10" s="53">
        <f t="shared" si="2"/>
        <v>0</v>
      </c>
      <c r="N10" s="109"/>
      <c r="O10" s="111"/>
      <c r="P10" s="112"/>
      <c r="Q10" s="109"/>
      <c r="V10" s="67"/>
      <c r="W10" s="68" t="s">
        <v>30</v>
      </c>
      <c r="X10" s="78"/>
      <c r="Y10" s="78"/>
      <c r="Z10" s="68"/>
    </row>
    <row r="11" spans="2:26" x14ac:dyDescent="0.25">
      <c r="B11" s="15">
        <f t="shared" si="1"/>
        <v>45082</v>
      </c>
      <c r="C11" s="45">
        <f>4000*3</f>
        <v>12000</v>
      </c>
      <c r="D11" s="46">
        <f>420000+50000+4000*4</f>
        <v>486000</v>
      </c>
      <c r="E11" s="45">
        <f>5000*2</f>
        <v>10000</v>
      </c>
      <c r="F11" s="46">
        <f>470000+460000+5000*2</f>
        <v>940000</v>
      </c>
      <c r="G11" s="45">
        <v>1500</v>
      </c>
      <c r="H11" s="46">
        <v>260000</v>
      </c>
      <c r="I11" s="45">
        <f>4000+15000</f>
        <v>19000</v>
      </c>
      <c r="J11" s="46">
        <v>0</v>
      </c>
      <c r="K11" s="56">
        <f t="shared" si="0"/>
        <v>1728500</v>
      </c>
      <c r="L11" s="52">
        <v>1728500</v>
      </c>
      <c r="M11" s="53">
        <f t="shared" si="2"/>
        <v>0</v>
      </c>
      <c r="N11" s="68" t="s">
        <v>30</v>
      </c>
      <c r="O11" s="68" t="s">
        <v>52</v>
      </c>
      <c r="P11" s="109"/>
      <c r="Q11" s="109"/>
      <c r="V11" s="68"/>
      <c r="W11" s="67" t="s">
        <v>32</v>
      </c>
      <c r="X11" s="78"/>
      <c r="Y11" s="78"/>
      <c r="Z11" s="68"/>
    </row>
    <row r="12" spans="2:26" x14ac:dyDescent="0.25">
      <c r="B12" s="15">
        <f t="shared" si="1"/>
        <v>45083</v>
      </c>
      <c r="C12" s="45">
        <v>0</v>
      </c>
      <c r="D12" s="46">
        <f>470000+150000</f>
        <v>620000</v>
      </c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56">
        <f t="shared" si="0"/>
        <v>620000</v>
      </c>
      <c r="L12" s="51">
        <v>620000</v>
      </c>
      <c r="M12" s="53">
        <f t="shared" si="2"/>
        <v>0</v>
      </c>
      <c r="N12" s="109"/>
      <c r="O12" s="109"/>
      <c r="P12" s="109"/>
      <c r="Q12" s="109"/>
      <c r="V12" s="68"/>
      <c r="W12" s="68"/>
      <c r="X12" s="78"/>
      <c r="Y12" s="78"/>
      <c r="Z12" s="68"/>
    </row>
    <row r="13" spans="2:26" x14ac:dyDescent="0.25">
      <c r="B13" s="15">
        <f t="shared" si="1"/>
        <v>45084</v>
      </c>
      <c r="C13" s="45">
        <f>4000*2</f>
        <v>8000</v>
      </c>
      <c r="D13" s="46">
        <f>4000*3+650000</f>
        <v>662000</v>
      </c>
      <c r="E13" s="45">
        <f>5000+1150000</f>
        <v>1155000</v>
      </c>
      <c r="F13" s="46">
        <f>5000*2</f>
        <v>10000</v>
      </c>
      <c r="G13" s="45">
        <v>281500</v>
      </c>
      <c r="H13" s="46">
        <v>0</v>
      </c>
      <c r="I13" s="45">
        <v>0</v>
      </c>
      <c r="J13" s="46">
        <v>0</v>
      </c>
      <c r="K13" s="56">
        <f t="shared" si="0"/>
        <v>2116500</v>
      </c>
      <c r="L13" s="52">
        <v>2116500</v>
      </c>
      <c r="M13" s="53">
        <f t="shared" si="2"/>
        <v>0</v>
      </c>
      <c r="N13" s="109" t="s">
        <v>30</v>
      </c>
      <c r="P13" s="106"/>
      <c r="Q13" s="109"/>
      <c r="V13" s="68"/>
      <c r="W13" s="68" t="s">
        <v>52</v>
      </c>
      <c r="Y13" s="79"/>
      <c r="Z13" s="68"/>
    </row>
    <row r="14" spans="2:26" x14ac:dyDescent="0.25">
      <c r="B14" s="15">
        <f t="shared" si="1"/>
        <v>45085</v>
      </c>
      <c r="C14" s="43">
        <v>0</v>
      </c>
      <c r="D14" s="46">
        <v>420000</v>
      </c>
      <c r="E14" s="45">
        <v>0</v>
      </c>
      <c r="F14" s="46">
        <f>5000*3+480000</f>
        <v>495000</v>
      </c>
      <c r="G14" s="43">
        <v>0</v>
      </c>
      <c r="H14" s="46">
        <v>0</v>
      </c>
      <c r="I14" s="43">
        <v>2200</v>
      </c>
      <c r="J14" s="95">
        <v>4000</v>
      </c>
      <c r="K14" s="56">
        <f t="shared" si="0"/>
        <v>921200</v>
      </c>
      <c r="L14" s="52">
        <v>921200</v>
      </c>
      <c r="M14" s="53">
        <f t="shared" si="2"/>
        <v>0</v>
      </c>
      <c r="N14" s="78" t="s">
        <v>58</v>
      </c>
      <c r="O14" s="94" t="s">
        <v>34</v>
      </c>
      <c r="P14" s="109"/>
      <c r="Q14" s="109"/>
      <c r="V14" s="68"/>
      <c r="W14" s="68" t="s">
        <v>66</v>
      </c>
      <c r="X14" s="68"/>
      <c r="Y14" s="78"/>
      <c r="Z14" s="68"/>
    </row>
    <row r="15" spans="2:26" x14ac:dyDescent="0.25">
      <c r="B15" s="15">
        <f t="shared" si="1"/>
        <v>45086</v>
      </c>
      <c r="C15" s="45">
        <v>0</v>
      </c>
      <c r="D15" s="46">
        <v>470000</v>
      </c>
      <c r="E15" s="45">
        <v>0</v>
      </c>
      <c r="F15" s="46">
        <v>710000</v>
      </c>
      <c r="G15" s="45">
        <v>0</v>
      </c>
      <c r="H15" s="46">
        <v>0</v>
      </c>
      <c r="I15" s="45">
        <v>0</v>
      </c>
      <c r="J15" s="46">
        <f>40000+4000</f>
        <v>44000</v>
      </c>
      <c r="K15" s="56">
        <f t="shared" si="0"/>
        <v>1224000</v>
      </c>
      <c r="L15" s="51">
        <v>1224000</v>
      </c>
      <c r="M15" s="53">
        <f t="shared" si="2"/>
        <v>0</v>
      </c>
      <c r="N15" s="101">
        <v>40000</v>
      </c>
      <c r="O15" s="94" t="s">
        <v>34</v>
      </c>
      <c r="P15" s="109"/>
      <c r="Q15" s="109"/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45087</v>
      </c>
      <c r="C16" s="43">
        <v>0</v>
      </c>
      <c r="D16" s="46">
        <v>0</v>
      </c>
      <c r="E16" s="45">
        <v>0</v>
      </c>
      <c r="F16" s="46">
        <v>630000</v>
      </c>
      <c r="G16" s="43">
        <v>0</v>
      </c>
      <c r="H16" s="46">
        <f>100000+2500</f>
        <v>102500</v>
      </c>
      <c r="I16" s="43">
        <v>3800</v>
      </c>
      <c r="J16" s="97">
        <v>0</v>
      </c>
      <c r="K16" s="56">
        <f>SUM(C16:J16)</f>
        <v>736300</v>
      </c>
      <c r="L16" s="52">
        <v>736300</v>
      </c>
      <c r="M16" s="53">
        <f t="shared" si="2"/>
        <v>0</v>
      </c>
      <c r="N16" s="111" t="s">
        <v>58</v>
      </c>
      <c r="O16" s="68" t="s">
        <v>30</v>
      </c>
      <c r="P16" s="68" t="s">
        <v>39</v>
      </c>
      <c r="Q16" s="109"/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45088</v>
      </c>
      <c r="C17" s="45">
        <v>0</v>
      </c>
      <c r="D17" s="46">
        <v>0</v>
      </c>
      <c r="E17" s="43">
        <v>0</v>
      </c>
      <c r="F17" s="44">
        <v>0</v>
      </c>
      <c r="G17" s="45">
        <v>0</v>
      </c>
      <c r="H17" s="44">
        <v>0</v>
      </c>
      <c r="I17" s="45">
        <v>0</v>
      </c>
      <c r="J17" s="44">
        <v>0</v>
      </c>
      <c r="K17" s="56">
        <f t="shared" si="0"/>
        <v>0</v>
      </c>
      <c r="L17" s="52">
        <v>0</v>
      </c>
      <c r="M17" s="53">
        <f t="shared" si="2"/>
        <v>0</v>
      </c>
      <c r="N17" s="111"/>
      <c r="O17" s="109"/>
      <c r="P17" s="109"/>
      <c r="Q17" s="109"/>
      <c r="V17" s="67"/>
      <c r="W17" s="67"/>
      <c r="X17" s="78"/>
      <c r="Y17" s="78"/>
      <c r="Z17" s="68"/>
    </row>
    <row r="18" spans="2:26" x14ac:dyDescent="0.25">
      <c r="B18" s="15">
        <f t="shared" si="1"/>
        <v>45089</v>
      </c>
      <c r="C18" s="43">
        <v>0</v>
      </c>
      <c r="D18" s="46">
        <v>0</v>
      </c>
      <c r="E18" s="45">
        <v>0</v>
      </c>
      <c r="F18" s="46">
        <v>0</v>
      </c>
      <c r="G18" s="43">
        <v>0</v>
      </c>
      <c r="H18" s="46">
        <v>0</v>
      </c>
      <c r="I18" s="43">
        <v>0</v>
      </c>
      <c r="J18" s="97">
        <v>0</v>
      </c>
      <c r="K18" s="56">
        <f t="shared" si="0"/>
        <v>0</v>
      </c>
      <c r="L18" s="51">
        <v>0</v>
      </c>
      <c r="M18" s="53">
        <f t="shared" si="2"/>
        <v>0</v>
      </c>
      <c r="N18" s="111"/>
      <c r="O18" s="106"/>
      <c r="P18" s="109"/>
      <c r="Q18" s="109"/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45090</v>
      </c>
      <c r="C19" s="45">
        <v>0</v>
      </c>
      <c r="D19" s="46">
        <v>0</v>
      </c>
      <c r="E19" s="45">
        <f>5000*3</f>
        <v>15000</v>
      </c>
      <c r="F19" s="46">
        <f>360000+5000*3+35000</f>
        <v>410000</v>
      </c>
      <c r="G19" s="45">
        <v>0</v>
      </c>
      <c r="H19" s="46">
        <v>1500</v>
      </c>
      <c r="I19" s="45">
        <v>0</v>
      </c>
      <c r="J19" s="46">
        <v>30000</v>
      </c>
      <c r="K19" s="56">
        <f t="shared" si="0"/>
        <v>456500</v>
      </c>
      <c r="L19" s="52">
        <v>456500</v>
      </c>
      <c r="M19" s="53">
        <f t="shared" si="2"/>
        <v>0</v>
      </c>
      <c r="N19" s="68" t="s">
        <v>30</v>
      </c>
      <c r="O19" s="78" t="s">
        <v>31</v>
      </c>
      <c r="P19" s="109"/>
      <c r="Q19" s="109"/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45091</v>
      </c>
      <c r="C20" s="45">
        <v>0</v>
      </c>
      <c r="D20" s="44">
        <v>0</v>
      </c>
      <c r="E20" s="45">
        <v>0</v>
      </c>
      <c r="F20" s="46">
        <f>570000+5000+60000</f>
        <v>635000</v>
      </c>
      <c r="G20" s="45">
        <v>0</v>
      </c>
      <c r="H20" s="46">
        <v>0</v>
      </c>
      <c r="I20" s="45">
        <v>4000</v>
      </c>
      <c r="J20" s="46">
        <v>0</v>
      </c>
      <c r="K20" s="56">
        <f t="shared" si="0"/>
        <v>639000</v>
      </c>
      <c r="L20" s="52">
        <v>639000</v>
      </c>
      <c r="M20" s="53">
        <f t="shared" si="2"/>
        <v>0</v>
      </c>
      <c r="N20" s="109"/>
      <c r="O20" s="106"/>
      <c r="P20" s="111"/>
      <c r="Q20" s="109"/>
      <c r="V20" s="67"/>
      <c r="W20" s="78" t="s">
        <v>33</v>
      </c>
      <c r="Y20" s="78"/>
      <c r="Z20" s="68"/>
    </row>
    <row r="21" spans="2:26" x14ac:dyDescent="0.25">
      <c r="B21" s="15">
        <f>B20+1</f>
        <v>45092</v>
      </c>
      <c r="C21" s="45">
        <v>0</v>
      </c>
      <c r="D21" s="46">
        <v>0</v>
      </c>
      <c r="E21" s="45">
        <v>0</v>
      </c>
      <c r="F21" s="46">
        <v>550000</v>
      </c>
      <c r="G21" s="45">
        <v>0</v>
      </c>
      <c r="H21" s="46">
        <v>2500</v>
      </c>
      <c r="I21" s="98">
        <v>8000</v>
      </c>
      <c r="J21" s="95">
        <v>11000</v>
      </c>
      <c r="K21" s="56">
        <f t="shared" si="0"/>
        <v>571500</v>
      </c>
      <c r="L21" s="51">
        <v>571500</v>
      </c>
      <c r="M21" s="53">
        <f t="shared" si="2"/>
        <v>0</v>
      </c>
      <c r="N21" s="109"/>
      <c r="O21" s="94" t="s">
        <v>34</v>
      </c>
      <c r="P21" s="109"/>
      <c r="Q21" s="109"/>
      <c r="W21" s="78" t="s">
        <v>58</v>
      </c>
      <c r="X21" s="78"/>
      <c r="Y21" s="78"/>
      <c r="Z21" s="68"/>
    </row>
    <row r="22" spans="2:26" x14ac:dyDescent="0.25">
      <c r="B22" s="15">
        <f t="shared" si="1"/>
        <v>45093</v>
      </c>
      <c r="C22" s="45">
        <v>0</v>
      </c>
      <c r="D22" s="46">
        <v>0</v>
      </c>
      <c r="E22" s="45">
        <v>0</v>
      </c>
      <c r="F22" s="46">
        <v>0</v>
      </c>
      <c r="G22" s="45">
        <v>0</v>
      </c>
      <c r="H22" s="46">
        <v>0</v>
      </c>
      <c r="I22" s="102">
        <v>0</v>
      </c>
      <c r="J22" s="97">
        <v>0</v>
      </c>
      <c r="K22" s="56">
        <f t="shared" si="0"/>
        <v>0</v>
      </c>
      <c r="L22" s="52">
        <v>0</v>
      </c>
      <c r="M22" s="53">
        <f t="shared" si="2"/>
        <v>0</v>
      </c>
      <c r="N22" s="106"/>
      <c r="O22" s="106"/>
      <c r="P22" s="109"/>
      <c r="Q22" s="109"/>
      <c r="W22" s="67"/>
      <c r="X22" s="78"/>
      <c r="Y22" s="78"/>
      <c r="Z22" s="68"/>
    </row>
    <row r="23" spans="2:26" x14ac:dyDescent="0.25">
      <c r="B23" s="15">
        <f t="shared" si="1"/>
        <v>45094</v>
      </c>
      <c r="C23" s="45">
        <v>0</v>
      </c>
      <c r="D23" s="46">
        <v>0</v>
      </c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56">
        <f t="shared" si="0"/>
        <v>0</v>
      </c>
      <c r="L23" s="52">
        <v>0</v>
      </c>
      <c r="M23" s="53">
        <f t="shared" si="2"/>
        <v>0</v>
      </c>
      <c r="N23" s="109"/>
      <c r="O23" s="111"/>
      <c r="P23" s="109"/>
      <c r="Q23" s="109"/>
      <c r="W23" s="67"/>
      <c r="X23" s="78"/>
      <c r="Y23" s="78"/>
      <c r="Z23" s="68"/>
    </row>
    <row r="24" spans="2:26" x14ac:dyDescent="0.25">
      <c r="B24" s="15">
        <f t="shared" si="1"/>
        <v>45095</v>
      </c>
      <c r="C24" s="43">
        <v>0</v>
      </c>
      <c r="D24" s="46">
        <v>0</v>
      </c>
      <c r="E24" s="45">
        <v>0</v>
      </c>
      <c r="F24" s="46">
        <v>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0"/>
        <v>0</v>
      </c>
      <c r="L24" s="51">
        <v>0</v>
      </c>
      <c r="M24" s="53">
        <f t="shared" si="2"/>
        <v>0</v>
      </c>
      <c r="N24" s="109"/>
      <c r="O24" s="109"/>
      <c r="P24" s="109"/>
      <c r="Q24" s="109"/>
      <c r="V24" s="67"/>
      <c r="W24" s="67"/>
      <c r="Y24" s="78"/>
      <c r="Z24" s="68"/>
    </row>
    <row r="25" spans="2:26" x14ac:dyDescent="0.25">
      <c r="B25" s="15">
        <f t="shared" si="1"/>
        <v>45096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0"/>
        <v>0</v>
      </c>
      <c r="L25" s="52">
        <v>0</v>
      </c>
      <c r="M25" s="53">
        <f t="shared" si="2"/>
        <v>0</v>
      </c>
      <c r="N25" s="109"/>
      <c r="O25" s="109"/>
      <c r="P25" s="109"/>
      <c r="Q25" s="109"/>
      <c r="V25" s="67"/>
      <c r="W25" s="67"/>
      <c r="X25" s="78"/>
      <c r="Y25" s="78"/>
      <c r="Z25" s="68"/>
    </row>
    <row r="26" spans="2:26" x14ac:dyDescent="0.25">
      <c r="B26" s="15">
        <f t="shared" si="1"/>
        <v>45097</v>
      </c>
      <c r="C26" s="45">
        <v>0</v>
      </c>
      <c r="D26" s="46">
        <v>0</v>
      </c>
      <c r="E26" s="45">
        <v>0</v>
      </c>
      <c r="F26" s="46">
        <f>5000*2+180000</f>
        <v>190000</v>
      </c>
      <c r="G26" s="45">
        <v>0</v>
      </c>
      <c r="H26" s="46">
        <v>5000</v>
      </c>
      <c r="I26" s="45">
        <v>0</v>
      </c>
      <c r="J26" s="46">
        <v>0</v>
      </c>
      <c r="K26" s="56">
        <f t="shared" si="0"/>
        <v>195000</v>
      </c>
      <c r="L26" s="52">
        <v>195000</v>
      </c>
      <c r="M26" s="53">
        <f t="shared" si="2"/>
        <v>0</v>
      </c>
      <c r="N26" s="68" t="s">
        <v>39</v>
      </c>
      <c r="O26" s="110"/>
      <c r="P26" s="109"/>
      <c r="Q26" s="109"/>
      <c r="W26" s="67"/>
      <c r="X26" s="78"/>
      <c r="Y26" s="78"/>
      <c r="Z26" s="68"/>
    </row>
    <row r="27" spans="2:26" x14ac:dyDescent="0.25">
      <c r="B27" s="15">
        <f t="shared" si="1"/>
        <v>45098</v>
      </c>
      <c r="C27" s="43">
        <v>0</v>
      </c>
      <c r="D27" s="46">
        <f>4000*2+200000+470000</f>
        <v>678000</v>
      </c>
      <c r="E27" s="45">
        <v>5000</v>
      </c>
      <c r="F27" s="46">
        <f>5000+360000+380000</f>
        <v>745000</v>
      </c>
      <c r="G27" s="43">
        <v>0</v>
      </c>
      <c r="H27" s="46">
        <v>1500</v>
      </c>
      <c r="I27" s="43">
        <v>0</v>
      </c>
      <c r="J27" s="95">
        <v>47500</v>
      </c>
      <c r="K27" s="56">
        <f t="shared" si="0"/>
        <v>1477000</v>
      </c>
      <c r="L27" s="51">
        <v>1477000</v>
      </c>
      <c r="M27" s="53">
        <f t="shared" si="2"/>
        <v>0</v>
      </c>
      <c r="N27" s="109" t="s">
        <v>30</v>
      </c>
      <c r="O27" s="94" t="s">
        <v>34</v>
      </c>
      <c r="P27" s="109"/>
      <c r="Q27" s="109"/>
      <c r="W27" s="68"/>
      <c r="X27" s="78"/>
      <c r="Y27" s="68"/>
      <c r="Z27" s="68"/>
    </row>
    <row r="28" spans="2:26" x14ac:dyDescent="0.25">
      <c r="B28" s="15">
        <f t="shared" si="1"/>
        <v>45099</v>
      </c>
      <c r="C28" s="43">
        <v>0</v>
      </c>
      <c r="D28" s="46">
        <v>460000</v>
      </c>
      <c r="E28" s="45">
        <v>0</v>
      </c>
      <c r="F28" s="46">
        <v>951000</v>
      </c>
      <c r="G28" s="43">
        <v>0</v>
      </c>
      <c r="H28" s="46">
        <v>3800</v>
      </c>
      <c r="I28" s="43">
        <v>0</v>
      </c>
      <c r="J28" s="97">
        <v>13680</v>
      </c>
      <c r="K28" s="56">
        <f>SUM(C28:J28)</f>
        <v>1428480</v>
      </c>
      <c r="L28" s="52">
        <v>1428480</v>
      </c>
      <c r="M28" s="53">
        <f t="shared" si="2"/>
        <v>0</v>
      </c>
      <c r="N28" s="111" t="s">
        <v>30</v>
      </c>
      <c r="O28" s="78" t="s">
        <v>58</v>
      </c>
      <c r="P28" s="109"/>
      <c r="Q28" s="109"/>
      <c r="W28" s="68"/>
      <c r="X28" s="67"/>
      <c r="Y28" s="68"/>
      <c r="Z28" s="68"/>
    </row>
    <row r="29" spans="2:26" x14ac:dyDescent="0.25">
      <c r="B29" s="15">
        <f t="shared" si="1"/>
        <v>45100</v>
      </c>
      <c r="C29" s="45">
        <v>0</v>
      </c>
      <c r="D29" s="46">
        <f>600000+15000</f>
        <v>615000</v>
      </c>
      <c r="E29" s="45">
        <f>5000+940000</f>
        <v>945000</v>
      </c>
      <c r="F29" s="46">
        <f>5000*3</f>
        <v>15000</v>
      </c>
      <c r="G29" s="45">
        <v>0</v>
      </c>
      <c r="H29" s="46">
        <v>2500</v>
      </c>
      <c r="I29" s="45">
        <v>0</v>
      </c>
      <c r="J29" s="97">
        <v>0</v>
      </c>
      <c r="K29" s="56">
        <f>SUM(C29:J29)</f>
        <v>1577500</v>
      </c>
      <c r="L29" s="52">
        <v>1577500</v>
      </c>
      <c r="M29" s="53">
        <f t="shared" si="2"/>
        <v>0</v>
      </c>
      <c r="N29" s="109" t="s">
        <v>39</v>
      </c>
      <c r="O29" s="111"/>
      <c r="P29" s="109"/>
      <c r="Q29" s="109"/>
      <c r="W29" s="67"/>
      <c r="X29" s="78"/>
      <c r="Y29" s="78"/>
      <c r="Z29" s="68"/>
    </row>
    <row r="30" spans="2:26" x14ac:dyDescent="0.25">
      <c r="B30" s="15">
        <f t="shared" si="1"/>
        <v>45101</v>
      </c>
      <c r="C30" s="43">
        <v>0</v>
      </c>
      <c r="D30" s="46">
        <v>0</v>
      </c>
      <c r="E30" s="45">
        <v>0</v>
      </c>
      <c r="F30" s="46">
        <v>0</v>
      </c>
      <c r="G30" s="43">
        <v>0</v>
      </c>
      <c r="H30" s="46">
        <v>0</v>
      </c>
      <c r="I30" s="43">
        <v>20000</v>
      </c>
      <c r="J30" s="97">
        <v>23800</v>
      </c>
      <c r="K30" s="56">
        <f t="shared" si="0"/>
        <v>43800</v>
      </c>
      <c r="L30" s="51">
        <v>43800</v>
      </c>
      <c r="M30" s="53">
        <f t="shared" si="2"/>
        <v>0</v>
      </c>
      <c r="N30" s="109"/>
      <c r="O30" s="111"/>
      <c r="P30" s="109"/>
      <c r="Q30" s="109"/>
      <c r="W30" s="67"/>
      <c r="X30" s="78"/>
      <c r="Y30" s="78"/>
      <c r="Z30" s="68"/>
    </row>
    <row r="31" spans="2:26" x14ac:dyDescent="0.25">
      <c r="B31" s="15">
        <f t="shared" si="1"/>
        <v>45102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0</v>
      </c>
      <c r="I31" s="43">
        <v>0</v>
      </c>
      <c r="J31" s="97">
        <v>0</v>
      </c>
      <c r="K31" s="56">
        <f t="shared" si="0"/>
        <v>0</v>
      </c>
      <c r="L31" s="52">
        <v>0</v>
      </c>
      <c r="M31" s="53">
        <f t="shared" si="2"/>
        <v>0</v>
      </c>
      <c r="N31" s="109"/>
      <c r="O31" s="109"/>
      <c r="P31" s="109"/>
      <c r="Q31" s="109"/>
      <c r="W31" s="68"/>
      <c r="X31" s="78"/>
      <c r="Y31" s="78"/>
      <c r="Z31" s="67"/>
    </row>
    <row r="32" spans="2:26" x14ac:dyDescent="0.25">
      <c r="B32" s="15">
        <f t="shared" si="1"/>
        <v>45103</v>
      </c>
      <c r="C32" s="43">
        <v>2000</v>
      </c>
      <c r="D32" s="46">
        <f>4000*2+30000+470000</f>
        <v>508000</v>
      </c>
      <c r="E32" s="43">
        <v>0</v>
      </c>
      <c r="F32" s="46">
        <v>0</v>
      </c>
      <c r="G32" s="43">
        <v>0</v>
      </c>
      <c r="H32" s="46">
        <v>0</v>
      </c>
      <c r="I32" s="43">
        <v>0</v>
      </c>
      <c r="J32" s="97">
        <v>0</v>
      </c>
      <c r="K32" s="56">
        <f t="shared" si="0"/>
        <v>510000</v>
      </c>
      <c r="L32" s="52">
        <v>510000</v>
      </c>
      <c r="M32" s="53">
        <f t="shared" si="2"/>
        <v>0</v>
      </c>
      <c r="N32" s="109"/>
      <c r="O32" s="109"/>
      <c r="P32" s="109"/>
      <c r="Q32" s="109"/>
      <c r="W32" s="68"/>
      <c r="X32" s="67"/>
      <c r="Y32" s="78"/>
      <c r="Z32" s="68"/>
    </row>
    <row r="33" spans="1:26" x14ac:dyDescent="0.25">
      <c r="B33" s="15">
        <f t="shared" si="1"/>
        <v>45104</v>
      </c>
      <c r="C33" s="43">
        <v>0</v>
      </c>
      <c r="D33" s="46">
        <v>500000</v>
      </c>
      <c r="E33" s="45">
        <v>5000</v>
      </c>
      <c r="F33" s="46">
        <f>380000+5000*2</f>
        <v>390000</v>
      </c>
      <c r="G33" s="43">
        <v>102000</v>
      </c>
      <c r="H33" s="46">
        <v>150000</v>
      </c>
      <c r="I33" s="43">
        <v>0</v>
      </c>
      <c r="J33" s="97">
        <v>9400</v>
      </c>
      <c r="K33" s="56">
        <f t="shared" si="0"/>
        <v>1156400</v>
      </c>
      <c r="L33" s="51">
        <v>1156400</v>
      </c>
      <c r="M33" s="53">
        <f t="shared" si="2"/>
        <v>0</v>
      </c>
      <c r="N33" s="68" t="s">
        <v>78</v>
      </c>
      <c r="O33" s="78" t="s">
        <v>33</v>
      </c>
      <c r="P33" s="109"/>
      <c r="Q33" s="109"/>
      <c r="W33" s="68"/>
      <c r="X33" s="78"/>
      <c r="Y33" s="78"/>
      <c r="Z33" s="68"/>
    </row>
    <row r="34" spans="1:26" x14ac:dyDescent="0.25">
      <c r="B34" s="15">
        <f t="shared" si="1"/>
        <v>45105</v>
      </c>
      <c r="C34" s="45">
        <f>4000+2000</f>
        <v>6000</v>
      </c>
      <c r="D34" s="46">
        <f>4000*4</f>
        <v>16000</v>
      </c>
      <c r="E34" s="45">
        <f>360000+5000*3-5000</f>
        <v>370000</v>
      </c>
      <c r="F34" s="46">
        <f>480000-480000</f>
        <v>0</v>
      </c>
      <c r="G34" s="45">
        <v>0</v>
      </c>
      <c r="H34" s="46">
        <v>0</v>
      </c>
      <c r="I34" s="45">
        <v>0</v>
      </c>
      <c r="J34" s="97">
        <v>0</v>
      </c>
      <c r="K34" s="56">
        <f t="shared" si="0"/>
        <v>392000</v>
      </c>
      <c r="L34" s="52">
        <v>392000</v>
      </c>
      <c r="M34" s="53">
        <f t="shared" si="2"/>
        <v>0</v>
      </c>
      <c r="N34" s="109"/>
      <c r="O34" s="78" t="s">
        <v>79</v>
      </c>
      <c r="P34" s="109"/>
      <c r="Q34" s="109"/>
      <c r="W34" s="68"/>
      <c r="X34" s="78"/>
      <c r="Y34" s="78"/>
      <c r="Z34" s="68"/>
    </row>
    <row r="35" spans="1:26" x14ac:dyDescent="0.25">
      <c r="B35" s="15">
        <f t="shared" si="1"/>
        <v>45106</v>
      </c>
      <c r="C35" s="47">
        <v>0</v>
      </c>
      <c r="D35" s="48">
        <v>0</v>
      </c>
      <c r="E35" s="49">
        <v>335000</v>
      </c>
      <c r="F35" s="50">
        <f>220000+565000</f>
        <v>785000</v>
      </c>
      <c r="G35" s="47">
        <v>4500</v>
      </c>
      <c r="H35" s="48">
        <v>9000</v>
      </c>
      <c r="I35" s="108">
        <v>10500</v>
      </c>
      <c r="J35" s="103">
        <f>26700+22857+13680</f>
        <v>63237</v>
      </c>
      <c r="K35" s="56">
        <f t="shared" si="0"/>
        <v>1207237</v>
      </c>
      <c r="L35" s="54">
        <v>1207237</v>
      </c>
      <c r="M35" s="55">
        <f t="shared" si="2"/>
        <v>0</v>
      </c>
      <c r="N35" s="109" t="s">
        <v>30</v>
      </c>
      <c r="O35" s="94" t="s">
        <v>34</v>
      </c>
      <c r="P35" s="109" t="s">
        <v>80</v>
      </c>
      <c r="Q35" s="114">
        <f>10500+26700</f>
        <v>37200</v>
      </c>
      <c r="W35" s="68"/>
      <c r="X35" s="78"/>
      <c r="Y35" s="78"/>
      <c r="Z35" s="68"/>
    </row>
    <row r="36" spans="1:26" x14ac:dyDescent="0.25">
      <c r="B36" s="15">
        <f t="shared" si="1"/>
        <v>45107</v>
      </c>
      <c r="C36" s="47">
        <f>4000*4</f>
        <v>16000</v>
      </c>
      <c r="D36" s="48">
        <v>4000</v>
      </c>
      <c r="E36" s="49">
        <f>5000*2</f>
        <v>10000</v>
      </c>
      <c r="F36" s="50">
        <f>350000+360000+5000*3</f>
        <v>725000</v>
      </c>
      <c r="G36" s="47">
        <v>0</v>
      </c>
      <c r="H36" s="48">
        <v>176000</v>
      </c>
      <c r="I36" s="47">
        <v>3000</v>
      </c>
      <c r="J36" s="103">
        <v>17100</v>
      </c>
      <c r="K36" s="56">
        <f t="shared" si="0"/>
        <v>951100</v>
      </c>
      <c r="L36" s="54">
        <v>951100</v>
      </c>
      <c r="M36" s="55">
        <f t="shared" si="2"/>
        <v>0</v>
      </c>
      <c r="N36" s="109" t="s">
        <v>78</v>
      </c>
      <c r="O36" s="106" t="s">
        <v>58</v>
      </c>
      <c r="P36" s="109"/>
      <c r="Q36" s="109"/>
      <c r="W36" s="68"/>
      <c r="Z36" s="68"/>
    </row>
    <row r="37" spans="1:26" x14ac:dyDescent="0.25">
      <c r="B37" s="15">
        <f t="shared" si="1"/>
        <v>45108</v>
      </c>
      <c r="C37" s="47"/>
      <c r="D37" s="48"/>
      <c r="E37" s="49"/>
      <c r="F37" s="50"/>
      <c r="G37" s="47"/>
      <c r="H37" s="48"/>
      <c r="I37" s="108"/>
      <c r="J37" s="100"/>
      <c r="K37" s="56">
        <f t="shared" si="0"/>
        <v>0</v>
      </c>
      <c r="L37" s="54"/>
      <c r="M37" s="55">
        <f t="shared" si="2"/>
        <v>0</v>
      </c>
      <c r="N37" s="109"/>
      <c r="O37" s="110"/>
      <c r="P37" s="109"/>
      <c r="Q37" s="109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106"/>
      <c r="O38" s="111"/>
      <c r="P38" s="111"/>
      <c r="Q38" s="109"/>
    </row>
    <row r="39" spans="1:26" ht="15.75" x14ac:dyDescent="0.25">
      <c r="B39" s="23" t="s">
        <v>3</v>
      </c>
      <c r="C39" s="24">
        <f>SUM(C7:C38)</f>
        <v>594000</v>
      </c>
      <c r="D39" s="25">
        <f>SUM(D7:D38)</f>
        <v>5439000</v>
      </c>
      <c r="E39" s="24">
        <f t="shared" ref="E39:J39" si="3">SUM(E7:E38)</f>
        <v>3220000</v>
      </c>
      <c r="F39" s="59">
        <f t="shared" si="3"/>
        <v>8671000</v>
      </c>
      <c r="G39" s="24">
        <f t="shared" si="3"/>
        <v>389500</v>
      </c>
      <c r="H39" s="25">
        <f t="shared" si="3"/>
        <v>714300</v>
      </c>
      <c r="I39" s="24">
        <f t="shared" si="3"/>
        <v>70500</v>
      </c>
      <c r="J39" s="25">
        <f t="shared" si="3"/>
        <v>267217</v>
      </c>
      <c r="K39" s="28">
        <f>SUM(K7:K38)</f>
        <v>19365517</v>
      </c>
      <c r="L39" s="27">
        <f>SUM(L7:L38)</f>
        <v>19365517</v>
      </c>
      <c r="M39" s="26">
        <f>L39-K39</f>
        <v>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6033000</v>
      </c>
      <c r="D40" s="268"/>
      <c r="E40" s="267">
        <f>SUM(E39:F39)</f>
        <v>11891000</v>
      </c>
      <c r="F40" s="269"/>
      <c r="G40" s="267">
        <f>SUM(G39:H39)</f>
        <v>1103800</v>
      </c>
      <c r="H40" s="268"/>
      <c r="I40" s="267">
        <f>SUM(I39:J39)</f>
        <v>337717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45077</v>
      </c>
      <c r="C45" s="3">
        <v>0</v>
      </c>
      <c r="D45" s="14">
        <v>29000</v>
      </c>
      <c r="E45" s="3">
        <v>0</v>
      </c>
      <c r="F45" s="14">
        <v>915000</v>
      </c>
      <c r="G45" s="3">
        <v>0</v>
      </c>
      <c r="H45" s="14">
        <v>2500</v>
      </c>
      <c r="I45" s="3">
        <v>0</v>
      </c>
      <c r="J45" s="14">
        <v>10000</v>
      </c>
      <c r="K45" s="3">
        <f>SUM(C45:J45)</f>
        <v>956500</v>
      </c>
      <c r="L45" s="3">
        <v>956500</v>
      </c>
      <c r="M45" s="3">
        <f>L45-K45</f>
        <v>0</v>
      </c>
      <c r="N45" s="85">
        <v>45078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45107</v>
      </c>
      <c r="C48" s="3">
        <v>0</v>
      </c>
      <c r="D48" s="14">
        <v>4000</v>
      </c>
      <c r="E48" s="3">
        <v>0</v>
      </c>
      <c r="F48" s="14">
        <v>725000</v>
      </c>
      <c r="G48" s="3">
        <v>0</v>
      </c>
      <c r="H48" s="14">
        <v>176000</v>
      </c>
      <c r="I48" s="3">
        <v>0</v>
      </c>
      <c r="J48" s="14">
        <v>17100</v>
      </c>
      <c r="K48" s="3">
        <f>SUM(C48:J48)</f>
        <v>922100</v>
      </c>
      <c r="L48" s="3">
        <v>922100</v>
      </c>
      <c r="M48" s="3">
        <f>L48-K48</f>
        <v>0</v>
      </c>
      <c r="N48" s="85">
        <v>45108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25000</v>
      </c>
      <c r="E50" s="262">
        <f>F45+F46-F47-F48</f>
        <v>190000</v>
      </c>
      <c r="F50" s="263"/>
      <c r="G50" s="262">
        <f>H45+H46-H47-H48</f>
        <v>-173500</v>
      </c>
      <c r="H50" s="263"/>
      <c r="I50" s="262">
        <f>J45+J46-J47-J48</f>
        <v>-7100</v>
      </c>
      <c r="J50" s="263"/>
    </row>
    <row r="51" spans="2:24" x14ac:dyDescent="0.25">
      <c r="B51" s="264" t="s">
        <v>12</v>
      </c>
      <c r="C51" s="264"/>
      <c r="D51" s="31">
        <f>D39+D50</f>
        <v>5464000</v>
      </c>
      <c r="E51" s="265">
        <f>F39+E50</f>
        <v>8861000</v>
      </c>
      <c r="F51" s="266"/>
      <c r="G51" s="265">
        <f>H39+G50</f>
        <v>540800</v>
      </c>
      <c r="H51" s="266"/>
      <c r="I51" s="265">
        <f>J39+I50</f>
        <v>260117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15125917</v>
      </c>
      <c r="E52" s="258"/>
      <c r="F52" s="258"/>
      <c r="G52" s="258"/>
      <c r="H52" s="258"/>
      <c r="I52" s="107"/>
      <c r="J52" s="107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84692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4274000</v>
      </c>
      <c r="D55" s="34">
        <f>D39+H39+F39+J39</f>
        <v>15091517</v>
      </c>
      <c r="E55" s="58"/>
      <c r="F55" s="58"/>
      <c r="K55" s="63" t="s">
        <v>25</v>
      </c>
      <c r="L55" s="64">
        <f>E51*0.0155</f>
        <v>137345.5</v>
      </c>
      <c r="N55" s="88"/>
      <c r="X55" s="71"/>
    </row>
    <row r="56" spans="2:24" x14ac:dyDescent="0.25">
      <c r="C56" s="259">
        <f>SUM(C55:D55)</f>
        <v>19365517</v>
      </c>
      <c r="D56" s="260"/>
      <c r="E56" s="57"/>
      <c r="F56" s="57"/>
      <c r="K56" s="63" t="s">
        <v>28</v>
      </c>
      <c r="L56" s="64">
        <f>G51*0.0155</f>
        <v>8382.4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4031.8134999999997</v>
      </c>
      <c r="W57" s="4"/>
    </row>
    <row r="58" spans="2:24" x14ac:dyDescent="0.25">
      <c r="J58" t="s">
        <v>3</v>
      </c>
      <c r="L58" s="64">
        <f>SUM(L54:L57)</f>
        <v>234451.71349999998</v>
      </c>
      <c r="W58" s="4"/>
    </row>
    <row r="59" spans="2:24" x14ac:dyDescent="0.25">
      <c r="B59" s="1" t="s">
        <v>19</v>
      </c>
      <c r="C59" s="259">
        <f>C39+D52+E39+G39+I39</f>
        <v>19399917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61"/>
  <sheetViews>
    <sheetView topLeftCell="A7" workbookViewId="0">
      <selection activeCell="Q34" sqref="Q34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9" customWidth="1"/>
    <col min="14" max="14" width="8.42578125" style="68" customWidth="1"/>
    <col min="15" max="15" width="7.7109375" style="68" customWidth="1"/>
    <col min="16" max="16" width="14" style="68" customWidth="1"/>
    <col min="17" max="17" width="10.5703125" style="68" customWidth="1"/>
    <col min="18" max="18" width="3.5703125" style="68" customWidth="1"/>
    <col min="19" max="19" width="4.570312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81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45108</v>
      </c>
      <c r="C7" s="45">
        <v>0</v>
      </c>
      <c r="D7" s="46">
        <v>0</v>
      </c>
      <c r="E7" s="45">
        <v>0</v>
      </c>
      <c r="F7" s="46">
        <v>0</v>
      </c>
      <c r="G7" s="69">
        <v>0</v>
      </c>
      <c r="H7" s="70">
        <f>280000+2500</f>
        <v>282500</v>
      </c>
      <c r="I7" s="69">
        <v>0</v>
      </c>
      <c r="J7" s="70">
        <f>15000</f>
        <v>15000</v>
      </c>
      <c r="K7" s="56">
        <f t="shared" ref="K7:K37" si="0">SUM(C7:J7)</f>
        <v>297500</v>
      </c>
      <c r="L7" s="52">
        <v>297500</v>
      </c>
      <c r="M7" s="53">
        <f>L7-K7</f>
        <v>0</v>
      </c>
      <c r="N7" s="68" t="s">
        <v>30</v>
      </c>
      <c r="O7" s="68" t="s">
        <v>39</v>
      </c>
      <c r="P7" s="78" t="s">
        <v>31</v>
      </c>
      <c r="Q7" s="109"/>
      <c r="V7" s="68"/>
      <c r="W7" s="68" t="s">
        <v>82</v>
      </c>
      <c r="X7" s="78"/>
      <c r="Y7" s="68"/>
      <c r="Z7" s="68"/>
    </row>
    <row r="8" spans="2:26" x14ac:dyDescent="0.25">
      <c r="B8" s="15">
        <f t="shared" ref="B8:B37" si="1">B7+1</f>
        <v>45109</v>
      </c>
      <c r="C8" s="43">
        <v>0</v>
      </c>
      <c r="D8" s="46">
        <v>0</v>
      </c>
      <c r="E8" s="45">
        <v>0</v>
      </c>
      <c r="F8" s="46">
        <v>0</v>
      </c>
      <c r="G8" s="43">
        <v>0</v>
      </c>
      <c r="H8" s="46">
        <v>0</v>
      </c>
      <c r="I8" s="43">
        <v>0</v>
      </c>
      <c r="J8" s="46">
        <v>0</v>
      </c>
      <c r="K8" s="56">
        <f t="shared" si="0"/>
        <v>0</v>
      </c>
      <c r="L8" s="52">
        <v>0</v>
      </c>
      <c r="M8" s="53">
        <f t="shared" ref="M8:M37" si="2">L8-K8</f>
        <v>0</v>
      </c>
      <c r="N8" s="109"/>
      <c r="O8" s="109"/>
      <c r="P8" s="109"/>
      <c r="Q8" s="109"/>
      <c r="V8" s="68"/>
      <c r="W8" s="68" t="s">
        <v>78</v>
      </c>
      <c r="X8" s="78"/>
      <c r="Y8" s="78"/>
      <c r="Z8" s="68"/>
    </row>
    <row r="9" spans="2:26" x14ac:dyDescent="0.25">
      <c r="B9" s="15">
        <f t="shared" si="1"/>
        <v>45110</v>
      </c>
      <c r="C9" s="45">
        <v>0</v>
      </c>
      <c r="D9" s="44">
        <v>0</v>
      </c>
      <c r="E9" s="45">
        <f>5000*2</f>
        <v>10000</v>
      </c>
      <c r="F9" s="46">
        <f>150000+5000*2</f>
        <v>160000</v>
      </c>
      <c r="G9" s="45">
        <v>0</v>
      </c>
      <c r="H9" s="46">
        <v>0</v>
      </c>
      <c r="I9" s="45">
        <v>0</v>
      </c>
      <c r="J9" s="95">
        <v>13900</v>
      </c>
      <c r="K9" s="56">
        <f t="shared" si="0"/>
        <v>183900</v>
      </c>
      <c r="L9" s="51">
        <v>183900</v>
      </c>
      <c r="M9" s="53">
        <f t="shared" si="2"/>
        <v>0</v>
      </c>
      <c r="N9" s="110"/>
      <c r="O9" s="94" t="s">
        <v>34</v>
      </c>
      <c r="P9" s="109"/>
      <c r="Q9" s="109"/>
      <c r="V9" s="67"/>
      <c r="W9" s="68" t="s">
        <v>39</v>
      </c>
      <c r="X9" s="78"/>
      <c r="Y9" s="78"/>
      <c r="Z9" s="68"/>
    </row>
    <row r="10" spans="2:26" x14ac:dyDescent="0.25">
      <c r="B10" s="15">
        <f t="shared" si="1"/>
        <v>45111</v>
      </c>
      <c r="C10" s="43">
        <v>0</v>
      </c>
      <c r="D10" s="46">
        <f>400000+4000</f>
        <v>404000</v>
      </c>
      <c r="E10" s="45">
        <v>0</v>
      </c>
      <c r="F10" s="46">
        <f>580000+60000</f>
        <v>640000</v>
      </c>
      <c r="G10" s="43">
        <v>740000</v>
      </c>
      <c r="H10" s="46">
        <v>0</v>
      </c>
      <c r="I10" s="43">
        <v>0</v>
      </c>
      <c r="J10" s="46">
        <v>0</v>
      </c>
      <c r="K10" s="56">
        <f t="shared" si="0"/>
        <v>1784000</v>
      </c>
      <c r="L10" s="52">
        <v>1784000</v>
      </c>
      <c r="M10" s="53">
        <f t="shared" si="2"/>
        <v>0</v>
      </c>
      <c r="N10" s="109" t="s">
        <v>30</v>
      </c>
      <c r="O10" s="111"/>
      <c r="P10" s="112"/>
      <c r="Q10" s="109"/>
      <c r="V10" s="67"/>
      <c r="W10" s="68" t="s">
        <v>30</v>
      </c>
      <c r="X10" s="78"/>
      <c r="Y10" s="78"/>
      <c r="Z10" s="68"/>
    </row>
    <row r="11" spans="2:26" x14ac:dyDescent="0.25">
      <c r="B11" s="15">
        <f t="shared" si="1"/>
        <v>45112</v>
      </c>
      <c r="C11" s="45">
        <v>0</v>
      </c>
      <c r="D11" s="46">
        <f>550000+470000</f>
        <v>1020000</v>
      </c>
      <c r="E11" s="45">
        <v>0</v>
      </c>
      <c r="F11" s="46">
        <f>555000+100000</f>
        <v>655000</v>
      </c>
      <c r="G11" s="45">
        <v>0</v>
      </c>
      <c r="H11" s="46">
        <v>0</v>
      </c>
      <c r="I11" s="45">
        <v>0</v>
      </c>
      <c r="J11" s="46">
        <v>6500</v>
      </c>
      <c r="K11" s="56">
        <f t="shared" si="0"/>
        <v>1681500</v>
      </c>
      <c r="L11" s="52">
        <v>1681500</v>
      </c>
      <c r="M11" s="53">
        <f t="shared" si="2"/>
        <v>0</v>
      </c>
      <c r="N11" s="109"/>
      <c r="O11" s="109"/>
      <c r="P11" s="109"/>
      <c r="Q11" s="109"/>
      <c r="V11" s="68"/>
      <c r="W11" s="67" t="s">
        <v>32</v>
      </c>
      <c r="X11" s="78"/>
      <c r="Y11" s="78"/>
      <c r="Z11" s="68"/>
    </row>
    <row r="12" spans="2:26" x14ac:dyDescent="0.25">
      <c r="B12" s="15">
        <f t="shared" si="1"/>
        <v>45113</v>
      </c>
      <c r="C12" s="45">
        <v>0</v>
      </c>
      <c r="D12" s="46">
        <v>470000</v>
      </c>
      <c r="E12" s="45">
        <v>0</v>
      </c>
      <c r="F12" s="46">
        <v>0</v>
      </c>
      <c r="G12" s="45">
        <v>0</v>
      </c>
      <c r="H12" s="46">
        <f>1500+250000</f>
        <v>251500</v>
      </c>
      <c r="I12" s="45">
        <v>0</v>
      </c>
      <c r="J12" s="46">
        <f>20+3900+3900</f>
        <v>7820</v>
      </c>
      <c r="K12" s="56">
        <f t="shared" si="0"/>
        <v>729320</v>
      </c>
      <c r="L12" s="51">
        <v>729320</v>
      </c>
      <c r="M12" s="53">
        <f t="shared" si="2"/>
        <v>0</v>
      </c>
      <c r="N12" s="67" t="s">
        <v>32</v>
      </c>
      <c r="O12" s="68" t="s">
        <v>30</v>
      </c>
      <c r="P12" s="109"/>
      <c r="Q12" s="109"/>
      <c r="V12" s="68"/>
      <c r="W12" s="68"/>
      <c r="X12" s="78"/>
      <c r="Y12" s="78"/>
      <c r="Z12" s="68"/>
    </row>
    <row r="13" spans="2:26" x14ac:dyDescent="0.25">
      <c r="B13" s="15">
        <f t="shared" si="1"/>
        <v>45114</v>
      </c>
      <c r="C13" s="45">
        <f>420000+90000</f>
        <v>510000</v>
      </c>
      <c r="D13" s="46">
        <f>4000*3</f>
        <v>12000</v>
      </c>
      <c r="E13" s="45">
        <v>0</v>
      </c>
      <c r="F13" s="46">
        <v>0</v>
      </c>
      <c r="G13" s="45">
        <f>1500</f>
        <v>1500</v>
      </c>
      <c r="H13" s="46">
        <f>1500+2500</f>
        <v>4000</v>
      </c>
      <c r="I13" s="45">
        <v>0</v>
      </c>
      <c r="J13" s="46">
        <f>8900+3800</f>
        <v>12700</v>
      </c>
      <c r="K13" s="56">
        <f t="shared" si="0"/>
        <v>540200</v>
      </c>
      <c r="L13" s="52">
        <v>540200</v>
      </c>
      <c r="M13" s="53">
        <f t="shared" si="2"/>
        <v>0</v>
      </c>
      <c r="N13" s="68" t="s">
        <v>30</v>
      </c>
      <c r="O13" s="68" t="s">
        <v>39</v>
      </c>
      <c r="P13" s="106"/>
      <c r="Q13" s="109"/>
      <c r="V13" s="68"/>
      <c r="W13" s="68" t="s">
        <v>52</v>
      </c>
      <c r="Y13" s="79"/>
      <c r="Z13" s="68"/>
    </row>
    <row r="14" spans="2:26" x14ac:dyDescent="0.25">
      <c r="B14" s="15">
        <f t="shared" si="1"/>
        <v>45115</v>
      </c>
      <c r="C14" s="43">
        <v>0</v>
      </c>
      <c r="D14" s="46">
        <v>0</v>
      </c>
      <c r="E14" s="45">
        <v>0</v>
      </c>
      <c r="F14" s="46">
        <v>0</v>
      </c>
      <c r="G14" s="43">
        <v>2500</v>
      </c>
      <c r="H14" s="46">
        <f>2500*2</f>
        <v>5000</v>
      </c>
      <c r="I14" s="43">
        <v>0</v>
      </c>
      <c r="J14" s="97">
        <f>15000+17100</f>
        <v>32100</v>
      </c>
      <c r="K14" s="56">
        <f t="shared" si="0"/>
        <v>39600</v>
      </c>
      <c r="L14" s="52">
        <v>39600</v>
      </c>
      <c r="M14" s="53">
        <f t="shared" si="2"/>
        <v>0</v>
      </c>
      <c r="N14" s="111"/>
      <c r="O14" s="110"/>
      <c r="P14" s="109"/>
      <c r="Q14" s="109"/>
      <c r="V14" s="68"/>
      <c r="W14" s="68" t="s">
        <v>66</v>
      </c>
      <c r="X14" s="68"/>
      <c r="Y14" s="78"/>
      <c r="Z14" s="68"/>
    </row>
    <row r="15" spans="2:26" x14ac:dyDescent="0.25">
      <c r="B15" s="15">
        <f t="shared" si="1"/>
        <v>45116</v>
      </c>
      <c r="C15" s="45">
        <v>0</v>
      </c>
      <c r="D15" s="46">
        <v>0</v>
      </c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56">
        <f t="shared" si="0"/>
        <v>0</v>
      </c>
      <c r="L15" s="51">
        <v>0</v>
      </c>
      <c r="M15" s="53">
        <f t="shared" si="2"/>
        <v>0</v>
      </c>
      <c r="N15" s="109"/>
      <c r="O15" s="110"/>
      <c r="P15" s="109"/>
      <c r="Q15" s="109"/>
      <c r="R15" s="80"/>
      <c r="S15" s="80"/>
      <c r="T15" s="80"/>
      <c r="U15" s="80"/>
      <c r="X15" s="80"/>
      <c r="Y15" s="80"/>
      <c r="Z15" s="80"/>
    </row>
    <row r="16" spans="2:26" x14ac:dyDescent="0.25">
      <c r="B16" s="15">
        <f t="shared" si="1"/>
        <v>45117</v>
      </c>
      <c r="C16" s="43">
        <v>4000</v>
      </c>
      <c r="D16" s="46">
        <v>4000</v>
      </c>
      <c r="E16" s="45">
        <f>5000*2</f>
        <v>10000</v>
      </c>
      <c r="F16" s="46">
        <f>5000*3</f>
        <v>15000</v>
      </c>
      <c r="G16" s="43">
        <v>0</v>
      </c>
      <c r="H16" s="46">
        <v>0</v>
      </c>
      <c r="I16" s="43">
        <f>3000</f>
        <v>3000</v>
      </c>
      <c r="J16" s="97">
        <f>45000+54760</f>
        <v>99760</v>
      </c>
      <c r="K16" s="56">
        <f>SUM(C16:J16)</f>
        <v>135760</v>
      </c>
      <c r="L16" s="52">
        <v>135760</v>
      </c>
      <c r="M16" s="53">
        <f t="shared" si="2"/>
        <v>0</v>
      </c>
      <c r="N16" s="116">
        <f>3000+45000</f>
        <v>48000</v>
      </c>
      <c r="O16" s="94" t="s">
        <v>34</v>
      </c>
      <c r="P16" s="109"/>
      <c r="Q16" s="109"/>
      <c r="R16" s="80"/>
      <c r="S16" s="80"/>
      <c r="T16" s="80"/>
      <c r="U16" s="80"/>
      <c r="V16" s="65"/>
      <c r="W16" s="94" t="s">
        <v>34</v>
      </c>
      <c r="Y16" s="80"/>
      <c r="Z16" s="80"/>
    </row>
    <row r="17" spans="2:26" x14ac:dyDescent="0.25">
      <c r="B17" s="15">
        <f t="shared" si="1"/>
        <v>45118</v>
      </c>
      <c r="C17" s="45">
        <v>0</v>
      </c>
      <c r="D17" s="46">
        <v>0</v>
      </c>
      <c r="E17" s="43">
        <v>0</v>
      </c>
      <c r="F17" s="44">
        <f>355000+60000+90000+5000*2</f>
        <v>515000</v>
      </c>
      <c r="G17" s="45">
        <v>0</v>
      </c>
      <c r="H17" s="44">
        <f>1500+2500+2500</f>
        <v>6500</v>
      </c>
      <c r="I17" s="45">
        <v>19000</v>
      </c>
      <c r="J17" s="44">
        <v>11960</v>
      </c>
      <c r="K17" s="56">
        <f t="shared" si="0"/>
        <v>552460</v>
      </c>
      <c r="L17" s="52">
        <v>552460</v>
      </c>
      <c r="M17" s="53">
        <f t="shared" si="2"/>
        <v>0</v>
      </c>
      <c r="N17" s="111"/>
      <c r="O17" s="109"/>
      <c r="P17" s="109"/>
      <c r="Q17" s="109"/>
      <c r="V17" s="67"/>
      <c r="W17" s="67"/>
      <c r="X17" s="78"/>
      <c r="Y17" s="78"/>
      <c r="Z17" s="68"/>
    </row>
    <row r="18" spans="2:26" x14ac:dyDescent="0.25">
      <c r="B18" s="15">
        <f t="shared" si="1"/>
        <v>45119</v>
      </c>
      <c r="C18" s="43">
        <v>0</v>
      </c>
      <c r="D18" s="46">
        <v>0</v>
      </c>
      <c r="E18" s="45">
        <v>5000</v>
      </c>
      <c r="F18" s="46">
        <f>5000*2</f>
        <v>10000</v>
      </c>
      <c r="G18" s="43">
        <v>0</v>
      </c>
      <c r="H18" s="46">
        <v>220000</v>
      </c>
      <c r="I18" s="43">
        <v>0</v>
      </c>
      <c r="J18" s="97">
        <f>3000+17900+3800+14500</f>
        <v>39200</v>
      </c>
      <c r="K18" s="56">
        <f t="shared" si="0"/>
        <v>274200</v>
      </c>
      <c r="L18" s="51">
        <v>274200</v>
      </c>
      <c r="M18" s="53">
        <f t="shared" si="2"/>
        <v>0</v>
      </c>
      <c r="N18" s="68" t="s">
        <v>82</v>
      </c>
      <c r="O18" s="106"/>
      <c r="P18" s="109"/>
      <c r="Q18" s="109"/>
      <c r="V18" s="67"/>
      <c r="W18" s="78" t="s">
        <v>31</v>
      </c>
      <c r="X18" s="78"/>
      <c r="Y18" s="78"/>
      <c r="Z18" s="68"/>
    </row>
    <row r="19" spans="2:26" x14ac:dyDescent="0.25">
      <c r="B19" s="15">
        <f t="shared" si="1"/>
        <v>45120</v>
      </c>
      <c r="C19" s="45">
        <v>0</v>
      </c>
      <c r="D19" s="46">
        <v>0</v>
      </c>
      <c r="E19" s="45">
        <v>505000</v>
      </c>
      <c r="F19" s="46">
        <v>740000</v>
      </c>
      <c r="G19" s="45">
        <f>300000+60000</f>
        <v>360000</v>
      </c>
      <c r="H19" s="46">
        <v>0</v>
      </c>
      <c r="I19" s="45">
        <v>4000</v>
      </c>
      <c r="J19" s="46">
        <v>0</v>
      </c>
      <c r="K19" s="56">
        <f t="shared" si="0"/>
        <v>1609000</v>
      </c>
      <c r="L19" s="52">
        <v>1609000</v>
      </c>
      <c r="M19" s="53">
        <f t="shared" si="2"/>
        <v>0</v>
      </c>
      <c r="N19" s="67" t="s">
        <v>32</v>
      </c>
      <c r="O19" s="68" t="s">
        <v>30</v>
      </c>
      <c r="P19" s="109" t="s">
        <v>83</v>
      </c>
      <c r="Q19" s="109"/>
      <c r="V19" s="67"/>
      <c r="W19" s="67" t="s">
        <v>49</v>
      </c>
      <c r="X19" s="78"/>
      <c r="Y19" s="78"/>
      <c r="Z19" s="68"/>
    </row>
    <row r="20" spans="2:26" x14ac:dyDescent="0.25">
      <c r="B20" s="15">
        <f t="shared" si="1"/>
        <v>45121</v>
      </c>
      <c r="C20" s="45">
        <v>0</v>
      </c>
      <c r="D20" s="44">
        <v>0</v>
      </c>
      <c r="E20" s="45">
        <v>0</v>
      </c>
      <c r="F20" s="46">
        <f>515000+350000+5000</f>
        <v>870000</v>
      </c>
      <c r="G20" s="45">
        <f>70000+3000</f>
        <v>73000</v>
      </c>
      <c r="H20" s="46">
        <v>0</v>
      </c>
      <c r="I20" s="45">
        <v>0</v>
      </c>
      <c r="J20" s="46">
        <f>3900+4000+10500+3900+6500</f>
        <v>28800</v>
      </c>
      <c r="K20" s="56">
        <f t="shared" si="0"/>
        <v>971800</v>
      </c>
      <c r="L20" s="52">
        <v>971800</v>
      </c>
      <c r="M20" s="53">
        <f t="shared" si="2"/>
        <v>0</v>
      </c>
      <c r="N20" s="68" t="s">
        <v>66</v>
      </c>
      <c r="O20" s="106" t="s">
        <v>30</v>
      </c>
      <c r="P20" s="111"/>
      <c r="Q20" s="109"/>
      <c r="V20" s="67"/>
      <c r="W20" s="78" t="s">
        <v>33</v>
      </c>
      <c r="Y20" s="78"/>
      <c r="Z20" s="68"/>
    </row>
    <row r="21" spans="2:26" x14ac:dyDescent="0.25">
      <c r="B21" s="15">
        <f>B20+1</f>
        <v>45122</v>
      </c>
      <c r="C21" s="45">
        <v>0</v>
      </c>
      <c r="D21" s="46">
        <v>0</v>
      </c>
      <c r="E21" s="45">
        <f>500000+160000</f>
        <v>660000</v>
      </c>
      <c r="F21" s="46">
        <v>60000</v>
      </c>
      <c r="G21" s="45">
        <v>0</v>
      </c>
      <c r="H21" s="46">
        <f>2500+1500</f>
        <v>4000</v>
      </c>
      <c r="I21" s="102">
        <f>14300+21700+15000</f>
        <v>51000</v>
      </c>
      <c r="J21" s="97">
        <f>700+10260+6500</f>
        <v>17460</v>
      </c>
      <c r="K21" s="56">
        <f t="shared" si="0"/>
        <v>792460</v>
      </c>
      <c r="L21" s="51">
        <v>807460</v>
      </c>
      <c r="M21" s="53">
        <f t="shared" si="2"/>
        <v>15000</v>
      </c>
      <c r="N21" s="68" t="s">
        <v>30</v>
      </c>
      <c r="O21" s="68" t="s">
        <v>39</v>
      </c>
      <c r="P21" s="109" t="s">
        <v>84</v>
      </c>
      <c r="Q21" s="109"/>
      <c r="W21" s="78" t="s">
        <v>58</v>
      </c>
      <c r="X21" s="78"/>
      <c r="Y21" s="78"/>
      <c r="Z21" s="68"/>
    </row>
    <row r="22" spans="2:26" x14ac:dyDescent="0.25">
      <c r="B22" s="15">
        <f t="shared" si="1"/>
        <v>45123</v>
      </c>
      <c r="C22" s="45">
        <v>0</v>
      </c>
      <c r="D22" s="46">
        <v>0</v>
      </c>
      <c r="E22" s="45">
        <v>0</v>
      </c>
      <c r="F22" s="46">
        <v>0</v>
      </c>
      <c r="G22" s="45">
        <v>0</v>
      </c>
      <c r="H22" s="46">
        <v>0</v>
      </c>
      <c r="I22" s="102">
        <v>0</v>
      </c>
      <c r="J22" s="97">
        <v>0</v>
      </c>
      <c r="K22" s="56">
        <f t="shared" si="0"/>
        <v>0</v>
      </c>
      <c r="L22" s="52">
        <v>0</v>
      </c>
      <c r="M22" s="53">
        <f t="shared" si="2"/>
        <v>0</v>
      </c>
      <c r="N22" s="106"/>
      <c r="O22" s="106"/>
      <c r="P22" s="109"/>
      <c r="Q22" s="109"/>
      <c r="W22" s="67"/>
      <c r="X22" s="78"/>
      <c r="Y22" s="78"/>
      <c r="Z22" s="68"/>
    </row>
    <row r="23" spans="2:26" x14ac:dyDescent="0.25">
      <c r="B23" s="15">
        <f t="shared" si="1"/>
        <v>45124</v>
      </c>
      <c r="C23" s="45">
        <v>0</v>
      </c>
      <c r="D23" s="46">
        <v>0</v>
      </c>
      <c r="E23" s="45">
        <v>0</v>
      </c>
      <c r="F23" s="46">
        <v>0</v>
      </c>
      <c r="G23" s="45">
        <v>0</v>
      </c>
      <c r="H23" s="46">
        <v>0</v>
      </c>
      <c r="I23" s="102">
        <v>0</v>
      </c>
      <c r="J23" s="97">
        <v>0</v>
      </c>
      <c r="K23" s="56">
        <f t="shared" si="0"/>
        <v>0</v>
      </c>
      <c r="L23" s="52">
        <v>0</v>
      </c>
      <c r="M23" s="53">
        <f t="shared" si="2"/>
        <v>0</v>
      </c>
      <c r="N23" s="109"/>
      <c r="O23" s="111"/>
      <c r="P23" s="109"/>
      <c r="Q23" s="109"/>
      <c r="W23" s="67"/>
      <c r="X23" s="78"/>
      <c r="Y23" s="78"/>
      <c r="Z23" s="68"/>
    </row>
    <row r="24" spans="2:26" x14ac:dyDescent="0.25">
      <c r="B24" s="15">
        <f t="shared" si="1"/>
        <v>45125</v>
      </c>
      <c r="C24" s="43">
        <v>0</v>
      </c>
      <c r="D24" s="46">
        <v>0</v>
      </c>
      <c r="E24" s="45">
        <v>10000</v>
      </c>
      <c r="F24" s="46">
        <v>0</v>
      </c>
      <c r="G24" s="43">
        <v>0</v>
      </c>
      <c r="H24" s="46">
        <v>0</v>
      </c>
      <c r="I24" s="43">
        <v>0</v>
      </c>
      <c r="J24" s="46">
        <v>0</v>
      </c>
      <c r="K24" s="56">
        <f t="shared" si="0"/>
        <v>10000</v>
      </c>
      <c r="L24" s="51">
        <v>75700</v>
      </c>
      <c r="M24" s="53">
        <f t="shared" si="2"/>
        <v>65700</v>
      </c>
      <c r="N24" s="118" t="s">
        <v>85</v>
      </c>
      <c r="O24" s="118"/>
      <c r="P24" s="118"/>
      <c r="Q24" s="109"/>
      <c r="V24" s="67"/>
      <c r="W24" s="67"/>
      <c r="Y24" s="78"/>
      <c r="Z24" s="68"/>
    </row>
    <row r="25" spans="2:26" x14ac:dyDescent="0.25">
      <c r="B25" s="15">
        <f t="shared" si="1"/>
        <v>45126</v>
      </c>
      <c r="C25" s="45">
        <v>0</v>
      </c>
      <c r="D25" s="46">
        <v>0</v>
      </c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56">
        <f t="shared" si="0"/>
        <v>0</v>
      </c>
      <c r="L25" s="52">
        <v>0</v>
      </c>
      <c r="M25" s="53">
        <f t="shared" si="2"/>
        <v>0</v>
      </c>
      <c r="N25" s="109"/>
      <c r="O25" s="109"/>
      <c r="P25" s="109"/>
      <c r="Q25" s="109"/>
      <c r="V25" s="67"/>
      <c r="W25" s="67"/>
      <c r="X25" s="78"/>
      <c r="Y25" s="78"/>
      <c r="Z25" s="68"/>
    </row>
    <row r="26" spans="2:26" x14ac:dyDescent="0.25">
      <c r="B26" s="15">
        <f t="shared" si="1"/>
        <v>45127</v>
      </c>
      <c r="C26" s="45">
        <v>0</v>
      </c>
      <c r="D26" s="46">
        <v>0</v>
      </c>
      <c r="E26" s="45">
        <v>0</v>
      </c>
      <c r="F26" s="46">
        <v>0</v>
      </c>
      <c r="G26" s="45">
        <v>0</v>
      </c>
      <c r="H26" s="46">
        <v>2500</v>
      </c>
      <c r="I26" s="45">
        <v>1850</v>
      </c>
      <c r="J26" s="46">
        <f>2150+18900</f>
        <v>21050</v>
      </c>
      <c r="K26" s="56">
        <f t="shared" si="0"/>
        <v>25400</v>
      </c>
      <c r="L26" s="52">
        <v>25400</v>
      </c>
      <c r="M26" s="53">
        <f t="shared" si="2"/>
        <v>0</v>
      </c>
      <c r="N26" s="109"/>
      <c r="O26" s="110"/>
      <c r="P26" s="109"/>
      <c r="Q26" s="109"/>
      <c r="W26" s="67"/>
      <c r="X26" s="78"/>
      <c r="Y26" s="78"/>
      <c r="Z26" s="68"/>
    </row>
    <row r="27" spans="2:26" x14ac:dyDescent="0.25">
      <c r="B27" s="15">
        <f t="shared" si="1"/>
        <v>45128</v>
      </c>
      <c r="C27" s="45">
        <v>0</v>
      </c>
      <c r="D27" s="46">
        <v>0</v>
      </c>
      <c r="E27" s="45">
        <v>0</v>
      </c>
      <c r="F27" s="46">
        <v>0</v>
      </c>
      <c r="G27" s="45">
        <v>0</v>
      </c>
      <c r="H27" s="46">
        <v>0</v>
      </c>
      <c r="I27" s="102">
        <v>0</v>
      </c>
      <c r="J27" s="97">
        <v>0</v>
      </c>
      <c r="K27" s="56">
        <f t="shared" si="0"/>
        <v>0</v>
      </c>
      <c r="L27" s="51">
        <v>0</v>
      </c>
      <c r="M27" s="53">
        <f t="shared" si="2"/>
        <v>0</v>
      </c>
      <c r="N27" s="109"/>
      <c r="O27" s="110"/>
      <c r="P27" s="109"/>
      <c r="Q27" s="109"/>
      <c r="W27" s="68"/>
      <c r="X27" s="78"/>
      <c r="Y27" s="68"/>
      <c r="Z27" s="68"/>
    </row>
    <row r="28" spans="2:26" x14ac:dyDescent="0.25">
      <c r="B28" s="15">
        <f t="shared" si="1"/>
        <v>45129</v>
      </c>
      <c r="C28" s="45">
        <v>0</v>
      </c>
      <c r="D28" s="46">
        <v>0</v>
      </c>
      <c r="E28" s="45">
        <v>0</v>
      </c>
      <c r="F28" s="46">
        <v>0</v>
      </c>
      <c r="G28" s="45">
        <v>0</v>
      </c>
      <c r="H28" s="46">
        <v>0</v>
      </c>
      <c r="I28" s="102">
        <v>0</v>
      </c>
      <c r="J28" s="97">
        <v>0</v>
      </c>
      <c r="K28" s="56">
        <f>SUM(C28:J28)</f>
        <v>0</v>
      </c>
      <c r="L28" s="52">
        <v>0</v>
      </c>
      <c r="M28" s="53">
        <f t="shared" si="2"/>
        <v>0</v>
      </c>
      <c r="N28" s="111"/>
      <c r="O28" s="111"/>
      <c r="P28" s="109"/>
      <c r="Q28" s="109"/>
      <c r="W28" s="68"/>
      <c r="X28" s="67"/>
      <c r="Y28" s="68"/>
      <c r="Z28" s="68"/>
    </row>
    <row r="29" spans="2:26" x14ac:dyDescent="0.25">
      <c r="B29" s="15">
        <f t="shared" si="1"/>
        <v>45130</v>
      </c>
      <c r="C29" s="45">
        <v>0</v>
      </c>
      <c r="D29" s="46">
        <v>0</v>
      </c>
      <c r="E29" s="45">
        <v>0</v>
      </c>
      <c r="F29" s="46">
        <v>0</v>
      </c>
      <c r="G29" s="45">
        <v>0</v>
      </c>
      <c r="H29" s="46">
        <v>0</v>
      </c>
      <c r="I29" s="102">
        <v>0</v>
      </c>
      <c r="J29" s="97">
        <v>0</v>
      </c>
      <c r="K29" s="56">
        <f>SUM(C29:J29)</f>
        <v>0</v>
      </c>
      <c r="L29" s="52">
        <v>0</v>
      </c>
      <c r="M29" s="53">
        <f t="shared" si="2"/>
        <v>0</v>
      </c>
      <c r="N29" s="109"/>
      <c r="O29" s="111"/>
      <c r="P29" s="109"/>
      <c r="Q29" s="109"/>
      <c r="W29" s="67"/>
      <c r="X29" s="78"/>
      <c r="Y29" s="78"/>
      <c r="Z29" s="68"/>
    </row>
    <row r="30" spans="2:26" x14ac:dyDescent="0.25">
      <c r="B30" s="15">
        <f t="shared" si="1"/>
        <v>45131</v>
      </c>
      <c r="C30" s="45">
        <v>0</v>
      </c>
      <c r="D30" s="46">
        <v>0</v>
      </c>
      <c r="E30" s="45">
        <v>0</v>
      </c>
      <c r="F30" s="46">
        <v>0</v>
      </c>
      <c r="G30" s="45">
        <v>0</v>
      </c>
      <c r="H30" s="46">
        <v>0</v>
      </c>
      <c r="I30" s="102">
        <v>0</v>
      </c>
      <c r="J30" s="97">
        <v>0</v>
      </c>
      <c r="K30" s="56">
        <f t="shared" si="0"/>
        <v>0</v>
      </c>
      <c r="L30" s="51">
        <v>0</v>
      </c>
      <c r="M30" s="53">
        <f t="shared" si="2"/>
        <v>0</v>
      </c>
      <c r="N30" s="109"/>
      <c r="O30" s="111"/>
      <c r="P30" s="109"/>
      <c r="Q30" s="109"/>
      <c r="W30" s="67"/>
      <c r="X30" s="78"/>
      <c r="Y30" s="78"/>
      <c r="Z30" s="68"/>
    </row>
    <row r="31" spans="2:26" x14ac:dyDescent="0.25">
      <c r="B31" s="15">
        <f t="shared" si="1"/>
        <v>45132</v>
      </c>
      <c r="C31" s="43">
        <v>0</v>
      </c>
      <c r="D31" s="46">
        <v>0</v>
      </c>
      <c r="E31" s="45">
        <v>0</v>
      </c>
      <c r="F31" s="46">
        <v>0</v>
      </c>
      <c r="G31" s="43">
        <v>0</v>
      </c>
      <c r="H31" s="46">
        <v>0</v>
      </c>
      <c r="I31" s="43">
        <v>0</v>
      </c>
      <c r="J31" s="97">
        <v>9450</v>
      </c>
      <c r="K31" s="56">
        <f t="shared" si="0"/>
        <v>9450</v>
      </c>
      <c r="L31" s="52">
        <v>9450</v>
      </c>
      <c r="M31" s="53">
        <f t="shared" si="2"/>
        <v>0</v>
      </c>
      <c r="N31" s="109"/>
      <c r="O31" s="109"/>
      <c r="P31" s="109"/>
      <c r="Q31" s="109"/>
      <c r="W31" s="68"/>
      <c r="X31" s="78"/>
      <c r="Y31" s="78"/>
      <c r="Z31" s="67"/>
    </row>
    <row r="32" spans="2:26" x14ac:dyDescent="0.25">
      <c r="B32" s="15">
        <f t="shared" si="1"/>
        <v>45133</v>
      </c>
      <c r="C32" s="45">
        <v>0</v>
      </c>
      <c r="D32" s="46">
        <v>0</v>
      </c>
      <c r="E32" s="45">
        <v>0</v>
      </c>
      <c r="F32" s="46">
        <v>0</v>
      </c>
      <c r="G32" s="45">
        <v>0</v>
      </c>
      <c r="H32" s="46">
        <v>0</v>
      </c>
      <c r="I32" s="102">
        <v>0</v>
      </c>
      <c r="J32" s="97">
        <v>0</v>
      </c>
      <c r="K32" s="56">
        <f t="shared" si="0"/>
        <v>0</v>
      </c>
      <c r="L32" s="52">
        <v>0</v>
      </c>
      <c r="M32" s="53">
        <f t="shared" si="2"/>
        <v>0</v>
      </c>
      <c r="N32" s="109"/>
      <c r="O32" s="109"/>
      <c r="P32" s="109"/>
      <c r="Q32" s="109"/>
      <c r="W32" s="68"/>
      <c r="X32" s="67"/>
      <c r="Y32" s="78"/>
      <c r="Z32" s="68"/>
    </row>
    <row r="33" spans="1:26" x14ac:dyDescent="0.25">
      <c r="B33" s="15">
        <f t="shared" si="1"/>
        <v>45134</v>
      </c>
      <c r="C33" s="45">
        <v>0</v>
      </c>
      <c r="D33" s="46">
        <v>0</v>
      </c>
      <c r="E33" s="45">
        <v>0</v>
      </c>
      <c r="F33" s="46">
        <v>0</v>
      </c>
      <c r="G33" s="45">
        <v>0</v>
      </c>
      <c r="H33" s="46">
        <v>0</v>
      </c>
      <c r="I33" s="102">
        <v>0</v>
      </c>
      <c r="J33" s="97">
        <v>0</v>
      </c>
      <c r="K33" s="56">
        <f t="shared" si="0"/>
        <v>0</v>
      </c>
      <c r="L33" s="51">
        <v>0</v>
      </c>
      <c r="M33" s="53">
        <f t="shared" si="2"/>
        <v>0</v>
      </c>
      <c r="N33" s="109"/>
      <c r="O33" s="111"/>
      <c r="P33" s="109"/>
      <c r="Q33" s="109"/>
      <c r="W33" s="68"/>
      <c r="X33" s="78"/>
      <c r="Y33" s="78"/>
      <c r="Z33" s="68"/>
    </row>
    <row r="34" spans="1:26" x14ac:dyDescent="0.25">
      <c r="B34" s="15">
        <f t="shared" si="1"/>
        <v>45135</v>
      </c>
      <c r="C34" s="45">
        <v>0</v>
      </c>
      <c r="D34" s="46">
        <v>0</v>
      </c>
      <c r="E34" s="45">
        <v>0</v>
      </c>
      <c r="F34" s="46">
        <v>0</v>
      </c>
      <c r="G34" s="45">
        <v>0</v>
      </c>
      <c r="H34" s="46">
        <v>0</v>
      </c>
      <c r="I34" s="102">
        <v>0</v>
      </c>
      <c r="J34" s="97">
        <v>0</v>
      </c>
      <c r="K34" s="56">
        <f t="shared" si="0"/>
        <v>0</v>
      </c>
      <c r="L34" s="52">
        <v>0</v>
      </c>
      <c r="M34" s="53">
        <f t="shared" si="2"/>
        <v>0</v>
      </c>
      <c r="N34" s="109"/>
      <c r="O34" s="111"/>
      <c r="P34" s="109"/>
      <c r="Q34" s="109"/>
      <c r="W34" s="68"/>
      <c r="X34" s="78"/>
      <c r="Y34" s="78"/>
      <c r="Z34" s="68"/>
    </row>
    <row r="35" spans="1:26" x14ac:dyDescent="0.25">
      <c r="B35" s="15">
        <f t="shared" si="1"/>
        <v>45136</v>
      </c>
      <c r="C35" s="45">
        <v>0</v>
      </c>
      <c r="D35" s="46">
        <v>0</v>
      </c>
      <c r="E35" s="45">
        <v>0</v>
      </c>
      <c r="F35" s="46">
        <v>0</v>
      </c>
      <c r="G35" s="45">
        <v>0</v>
      </c>
      <c r="H35" s="46">
        <v>0</v>
      </c>
      <c r="I35" s="102">
        <v>0</v>
      </c>
      <c r="J35" s="97">
        <v>0</v>
      </c>
      <c r="K35" s="56">
        <f t="shared" si="0"/>
        <v>0</v>
      </c>
      <c r="L35" s="54">
        <v>0</v>
      </c>
      <c r="M35" s="55">
        <f t="shared" si="2"/>
        <v>0</v>
      </c>
      <c r="N35" s="109"/>
      <c r="O35" s="110"/>
      <c r="P35" s="109"/>
      <c r="Q35" s="115"/>
      <c r="W35" s="68"/>
      <c r="X35" s="78"/>
      <c r="Y35" s="78"/>
      <c r="Z35" s="68"/>
    </row>
    <row r="36" spans="1:26" x14ac:dyDescent="0.25">
      <c r="B36" s="15">
        <f t="shared" si="1"/>
        <v>45137</v>
      </c>
      <c r="C36" s="45">
        <v>0</v>
      </c>
      <c r="D36" s="46">
        <v>0</v>
      </c>
      <c r="E36" s="45">
        <v>0</v>
      </c>
      <c r="F36" s="46">
        <v>0</v>
      </c>
      <c r="G36" s="45">
        <v>0</v>
      </c>
      <c r="H36" s="46">
        <v>0</v>
      </c>
      <c r="I36" s="102">
        <v>0</v>
      </c>
      <c r="J36" s="97">
        <v>0</v>
      </c>
      <c r="K36" s="56">
        <f t="shared" si="0"/>
        <v>0</v>
      </c>
      <c r="L36" s="54">
        <v>0</v>
      </c>
      <c r="M36" s="55">
        <f t="shared" si="2"/>
        <v>0</v>
      </c>
      <c r="N36" s="109"/>
      <c r="O36" s="106"/>
      <c r="P36" s="109"/>
      <c r="Q36" s="109"/>
      <c r="W36" s="68"/>
      <c r="Z36" s="68"/>
    </row>
    <row r="37" spans="1:26" x14ac:dyDescent="0.25">
      <c r="B37" s="15">
        <f t="shared" si="1"/>
        <v>45138</v>
      </c>
      <c r="C37" s="45">
        <v>0</v>
      </c>
      <c r="D37" s="46">
        <v>0</v>
      </c>
      <c r="E37" s="45">
        <v>0</v>
      </c>
      <c r="F37" s="46">
        <v>0</v>
      </c>
      <c r="G37" s="45">
        <v>0</v>
      </c>
      <c r="H37" s="46">
        <v>0</v>
      </c>
      <c r="I37" s="102">
        <v>0</v>
      </c>
      <c r="J37" s="97">
        <v>0</v>
      </c>
      <c r="K37" s="56">
        <f t="shared" si="0"/>
        <v>0</v>
      </c>
      <c r="L37" s="54">
        <v>0</v>
      </c>
      <c r="M37" s="55">
        <f t="shared" si="2"/>
        <v>0</v>
      </c>
      <c r="N37" s="109"/>
      <c r="O37" s="110"/>
      <c r="P37" s="109"/>
      <c r="Q37" s="109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106"/>
      <c r="O38" s="111"/>
      <c r="P38" s="111"/>
      <c r="Q38" s="109"/>
    </row>
    <row r="39" spans="1:26" ht="15.75" x14ac:dyDescent="0.25">
      <c r="B39" s="23" t="s">
        <v>3</v>
      </c>
      <c r="C39" s="24">
        <f>SUM(C7:C38)</f>
        <v>514000</v>
      </c>
      <c r="D39" s="25">
        <f>SUM(D7:D38)</f>
        <v>1910000</v>
      </c>
      <c r="E39" s="24">
        <f t="shared" ref="E39:J39" si="3">SUM(E7:E38)</f>
        <v>1200000</v>
      </c>
      <c r="F39" s="59">
        <f t="shared" si="3"/>
        <v>3665000</v>
      </c>
      <c r="G39" s="24">
        <f t="shared" si="3"/>
        <v>1177000</v>
      </c>
      <c r="H39" s="25">
        <f t="shared" si="3"/>
        <v>776000</v>
      </c>
      <c r="I39" s="24">
        <f t="shared" si="3"/>
        <v>78850</v>
      </c>
      <c r="J39" s="25">
        <f t="shared" si="3"/>
        <v>315700</v>
      </c>
      <c r="K39" s="28">
        <f>SUM(K7:K38)</f>
        <v>9636550</v>
      </c>
      <c r="L39" s="27">
        <f>SUM(L7:L38)</f>
        <v>9717250</v>
      </c>
      <c r="M39" s="26">
        <f>L39-K39</f>
        <v>80700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2424000</v>
      </c>
      <c r="D40" s="268"/>
      <c r="E40" s="267">
        <f>SUM(E39:F39)</f>
        <v>4865000</v>
      </c>
      <c r="F40" s="269"/>
      <c r="G40" s="267">
        <f>SUM(G39:H39)</f>
        <v>1953000</v>
      </c>
      <c r="H40" s="268"/>
      <c r="I40" s="267">
        <f>SUM(I39:J39)</f>
        <v>394550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45107</v>
      </c>
      <c r="C45" s="3">
        <v>0</v>
      </c>
      <c r="D45" s="14">
        <v>4000</v>
      </c>
      <c r="E45" s="3">
        <v>0</v>
      </c>
      <c r="F45" s="14">
        <v>725000</v>
      </c>
      <c r="G45" s="3">
        <v>0</v>
      </c>
      <c r="H45" s="14">
        <v>176000</v>
      </c>
      <c r="I45" s="3">
        <v>0</v>
      </c>
      <c r="J45" s="14">
        <v>17100</v>
      </c>
      <c r="K45" s="3">
        <f>SUM(C45:J45)</f>
        <v>922100</v>
      </c>
      <c r="L45" s="3">
        <v>922100</v>
      </c>
      <c r="M45" s="3">
        <f>L45-K45</f>
        <v>0</v>
      </c>
      <c r="N45" s="85">
        <v>45108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45138</v>
      </c>
      <c r="C48" s="3">
        <v>0</v>
      </c>
      <c r="D48" s="14">
        <v>0</v>
      </c>
      <c r="E48" s="3">
        <v>0</v>
      </c>
      <c r="F48" s="14">
        <v>0</v>
      </c>
      <c r="G48" s="3">
        <v>0</v>
      </c>
      <c r="H48" s="14">
        <v>0</v>
      </c>
      <c r="I48" s="3">
        <v>0</v>
      </c>
      <c r="J48" s="14">
        <v>0</v>
      </c>
      <c r="K48" s="3">
        <f>SUM(C48:J48)</f>
        <v>0</v>
      </c>
      <c r="L48" s="3">
        <v>0</v>
      </c>
      <c r="M48" s="3">
        <f>L48-K48</f>
        <v>0</v>
      </c>
      <c r="N48" s="85">
        <v>45139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4000</v>
      </c>
      <c r="E50" s="262">
        <f>F45+F46-F47-F48</f>
        <v>725000</v>
      </c>
      <c r="F50" s="263"/>
      <c r="G50" s="262">
        <f>H45+H46-H47-H48</f>
        <v>176000</v>
      </c>
      <c r="H50" s="263"/>
      <c r="I50" s="262">
        <f>J45+J46-J47-J48</f>
        <v>17100</v>
      </c>
      <c r="J50" s="263"/>
    </row>
    <row r="51" spans="2:24" x14ac:dyDescent="0.25">
      <c r="B51" s="264" t="s">
        <v>12</v>
      </c>
      <c r="C51" s="264"/>
      <c r="D51" s="31">
        <f>D39+D50</f>
        <v>1914000</v>
      </c>
      <c r="E51" s="265">
        <f>F39+E50</f>
        <v>4390000</v>
      </c>
      <c r="F51" s="266"/>
      <c r="G51" s="265">
        <f>H39+G50</f>
        <v>952000</v>
      </c>
      <c r="H51" s="266"/>
      <c r="I51" s="265">
        <f>J39+I50</f>
        <v>332800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7588800</v>
      </c>
      <c r="E52" s="258"/>
      <c r="F52" s="258"/>
      <c r="G52" s="258"/>
      <c r="H52" s="258"/>
      <c r="I52" s="113"/>
      <c r="J52" s="113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29667</v>
      </c>
      <c r="N54" s="87">
        <v>1.55E-2</v>
      </c>
      <c r="P54" s="68" t="s">
        <v>54</v>
      </c>
      <c r="W54" s="4"/>
    </row>
    <row r="55" spans="2:24" x14ac:dyDescent="0.25">
      <c r="B55" s="72" t="s">
        <v>13</v>
      </c>
      <c r="C55" s="34">
        <f>C39+G39+E39+I39</f>
        <v>2969850</v>
      </c>
      <c r="D55" s="34">
        <f>D39+H39+F39+J39</f>
        <v>6666700</v>
      </c>
      <c r="E55" s="58"/>
      <c r="F55" s="58"/>
      <c r="K55" s="63" t="s">
        <v>25</v>
      </c>
      <c r="L55" s="64">
        <f>E51*0.0155</f>
        <v>68045</v>
      </c>
      <c r="N55" s="88"/>
      <c r="X55" s="71"/>
    </row>
    <row r="56" spans="2:24" x14ac:dyDescent="0.25">
      <c r="C56" s="259">
        <f>SUM(C55:D55)</f>
        <v>9636550</v>
      </c>
      <c r="D56" s="260"/>
      <c r="E56" s="57"/>
      <c r="F56" s="57"/>
      <c r="K56" s="63" t="s">
        <v>28</v>
      </c>
      <c r="L56" s="64">
        <f>G51*0.0155</f>
        <v>14756</v>
      </c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I51*0.0155+0.18</f>
        <v>5158.58</v>
      </c>
      <c r="W57" s="4"/>
    </row>
    <row r="58" spans="2:24" x14ac:dyDescent="0.25">
      <c r="J58" t="s">
        <v>3</v>
      </c>
      <c r="L58" s="64">
        <f>SUM(L54:L57)</f>
        <v>117626.58</v>
      </c>
      <c r="W58" s="4"/>
    </row>
    <row r="59" spans="2:24" x14ac:dyDescent="0.25">
      <c r="B59" s="1" t="s">
        <v>19</v>
      </c>
      <c r="C59" s="259">
        <f>C39+D52+E39+G39+I39</f>
        <v>10558650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7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1"/>
  <sheetViews>
    <sheetView topLeftCell="A4" workbookViewId="0">
      <selection activeCell="H59" sqref="H59"/>
    </sheetView>
  </sheetViews>
  <sheetFormatPr defaultRowHeight="15" x14ac:dyDescent="0.25"/>
  <cols>
    <col min="1" max="1" width="1.5703125" customWidth="1"/>
    <col min="2" max="2" width="9.140625" style="1" customWidth="1"/>
    <col min="3" max="10" width="10.140625" customWidth="1"/>
    <col min="11" max="12" width="11.7109375" customWidth="1"/>
    <col min="13" max="13" width="9" customWidth="1"/>
    <col min="14" max="14" width="9" style="68" customWidth="1"/>
    <col min="15" max="15" width="7.7109375" style="68" customWidth="1"/>
    <col min="16" max="16" width="9" style="68" customWidth="1"/>
    <col min="17" max="17" width="8.7109375" style="68" customWidth="1"/>
    <col min="18" max="18" width="3.5703125" style="68" customWidth="1"/>
    <col min="19" max="19" width="5.710937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86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45139</v>
      </c>
      <c r="C7" s="102">
        <v>0</v>
      </c>
      <c r="D7" s="97">
        <v>0</v>
      </c>
      <c r="E7" s="102">
        <v>380000</v>
      </c>
      <c r="F7" s="97">
        <v>360000</v>
      </c>
      <c r="G7" s="119">
        <v>0</v>
      </c>
      <c r="H7" s="120">
        <v>0</v>
      </c>
      <c r="I7" s="119">
        <v>0</v>
      </c>
      <c r="J7" s="120">
        <f>4000+3900+5200+17000</f>
        <v>30100</v>
      </c>
      <c r="K7" s="56">
        <f t="shared" ref="K7:K37" si="0">SUM(C7:J7)</f>
        <v>770100</v>
      </c>
      <c r="L7" s="52">
        <v>770100</v>
      </c>
      <c r="M7" s="53">
        <f>L7-K7</f>
        <v>0</v>
      </c>
      <c r="N7" s="123"/>
      <c r="O7" s="78" t="s">
        <v>33</v>
      </c>
      <c r="P7" s="67" t="s">
        <v>87</v>
      </c>
      <c r="Q7" s="123"/>
      <c r="R7" s="123"/>
      <c r="S7" s="123"/>
      <c r="T7" s="123"/>
      <c r="V7" s="68"/>
      <c r="X7" s="78"/>
      <c r="Y7" s="68" t="s">
        <v>82</v>
      </c>
      <c r="Z7" s="68"/>
    </row>
    <row r="8" spans="2:26" x14ac:dyDescent="0.25">
      <c r="B8" s="15">
        <f t="shared" ref="B8:B37" si="1">B7+1</f>
        <v>45140</v>
      </c>
      <c r="C8" s="121">
        <v>0</v>
      </c>
      <c r="D8" s="97">
        <v>0</v>
      </c>
      <c r="E8" s="102">
        <v>0</v>
      </c>
      <c r="F8" s="97">
        <f>95000+440000+500000</f>
        <v>1035000</v>
      </c>
      <c r="G8" s="121">
        <v>0</v>
      </c>
      <c r="H8" s="97">
        <v>0</v>
      </c>
      <c r="I8" s="121">
        <v>0</v>
      </c>
      <c r="J8" s="97">
        <v>10800</v>
      </c>
      <c r="K8" s="56">
        <f t="shared" si="0"/>
        <v>1045800</v>
      </c>
      <c r="L8" s="52">
        <v>1057600</v>
      </c>
      <c r="M8" s="53">
        <f t="shared" ref="M8:M37" si="2">L8-K8</f>
        <v>11800</v>
      </c>
      <c r="N8" s="123"/>
      <c r="O8" s="123" t="s">
        <v>88</v>
      </c>
      <c r="P8" s="123"/>
      <c r="Q8" s="123"/>
      <c r="R8" s="123"/>
      <c r="S8" s="123"/>
      <c r="T8" s="123"/>
      <c r="V8" s="68"/>
      <c r="X8" s="78"/>
      <c r="Y8" s="68" t="s">
        <v>78</v>
      </c>
      <c r="Z8" s="68"/>
    </row>
    <row r="9" spans="2:26" x14ac:dyDescent="0.25">
      <c r="B9" s="15">
        <f t="shared" si="1"/>
        <v>45141</v>
      </c>
      <c r="C9" s="102">
        <v>0</v>
      </c>
      <c r="D9" s="122">
        <v>0</v>
      </c>
      <c r="E9" s="102">
        <f>5000+470000</f>
        <v>475000</v>
      </c>
      <c r="F9" s="97">
        <v>5000</v>
      </c>
      <c r="G9" s="102">
        <v>0</v>
      </c>
      <c r="H9" s="97">
        <v>0</v>
      </c>
      <c r="I9" s="102">
        <v>0</v>
      </c>
      <c r="J9" s="97">
        <v>3900</v>
      </c>
      <c r="K9" s="56">
        <f t="shared" si="0"/>
        <v>483900</v>
      </c>
      <c r="L9" s="51">
        <v>537800</v>
      </c>
      <c r="M9" s="53">
        <f t="shared" si="2"/>
        <v>53900</v>
      </c>
      <c r="N9" s="125"/>
      <c r="O9" s="123" t="s">
        <v>89</v>
      </c>
      <c r="P9" s="123"/>
      <c r="Q9" s="123"/>
      <c r="R9" s="123"/>
      <c r="S9" s="123"/>
      <c r="T9" s="123"/>
      <c r="V9" s="67"/>
      <c r="X9" s="78"/>
      <c r="Y9" s="68" t="s">
        <v>39</v>
      </c>
      <c r="Z9" s="68"/>
    </row>
    <row r="10" spans="2:26" x14ac:dyDescent="0.25">
      <c r="B10" s="15">
        <f t="shared" si="1"/>
        <v>45142</v>
      </c>
      <c r="C10" s="121">
        <v>0</v>
      </c>
      <c r="D10" s="97">
        <v>0</v>
      </c>
      <c r="E10" s="102">
        <f>5000+445000</f>
        <v>450000</v>
      </c>
      <c r="F10" s="97">
        <f>400000+5000+55000</f>
        <v>460000</v>
      </c>
      <c r="G10" s="121">
        <v>80000</v>
      </c>
      <c r="H10" s="97">
        <f>1500+1500</f>
        <v>3000</v>
      </c>
      <c r="I10" s="121">
        <v>0</v>
      </c>
      <c r="J10" s="97">
        <v>0</v>
      </c>
      <c r="K10" s="56">
        <f t="shared" si="0"/>
        <v>993000</v>
      </c>
      <c r="L10" s="52">
        <v>993000</v>
      </c>
      <c r="M10" s="53">
        <f t="shared" si="2"/>
        <v>0</v>
      </c>
      <c r="N10" s="68" t="s">
        <v>90</v>
      </c>
      <c r="O10" s="68" t="s">
        <v>30</v>
      </c>
      <c r="P10" s="126"/>
      <c r="Q10" s="123"/>
      <c r="R10" s="123"/>
      <c r="S10" s="123"/>
      <c r="T10" s="123"/>
      <c r="V10" s="67"/>
      <c r="X10" s="78"/>
      <c r="Y10" s="68" t="s">
        <v>30</v>
      </c>
      <c r="Z10" s="68"/>
    </row>
    <row r="11" spans="2:26" x14ac:dyDescent="0.25">
      <c r="B11" s="15">
        <f t="shared" si="1"/>
        <v>45143</v>
      </c>
      <c r="C11" s="102">
        <v>0</v>
      </c>
      <c r="D11" s="97">
        <v>0</v>
      </c>
      <c r="E11" s="102">
        <v>375000</v>
      </c>
      <c r="F11" s="97">
        <v>380000</v>
      </c>
      <c r="G11" s="102">
        <v>2500</v>
      </c>
      <c r="H11" s="97">
        <f>1500*3+2500*3</f>
        <v>12000</v>
      </c>
      <c r="I11" s="102">
        <v>0</v>
      </c>
      <c r="J11" s="97">
        <v>0</v>
      </c>
      <c r="K11" s="56">
        <f t="shared" si="0"/>
        <v>769500</v>
      </c>
      <c r="L11" s="52">
        <v>769500</v>
      </c>
      <c r="M11" s="53">
        <f t="shared" si="2"/>
        <v>0</v>
      </c>
      <c r="N11" s="68" t="s">
        <v>30</v>
      </c>
      <c r="O11" s="68" t="s">
        <v>39</v>
      </c>
      <c r="P11" s="123"/>
      <c r="Q11" s="123"/>
      <c r="R11" s="123"/>
      <c r="S11" s="123"/>
      <c r="T11" s="123"/>
      <c r="V11" s="68"/>
      <c r="X11" s="78"/>
      <c r="Y11" s="67" t="s">
        <v>32</v>
      </c>
      <c r="Z11" s="68"/>
    </row>
    <row r="12" spans="2:26" x14ac:dyDescent="0.25">
      <c r="B12" s="15">
        <f t="shared" si="1"/>
        <v>45144</v>
      </c>
      <c r="C12" s="102">
        <v>0</v>
      </c>
      <c r="D12" s="97">
        <v>0</v>
      </c>
      <c r="E12" s="102">
        <v>5000</v>
      </c>
      <c r="F12" s="97">
        <v>0</v>
      </c>
      <c r="G12" s="102">
        <v>260000</v>
      </c>
      <c r="H12" s="97">
        <f>2500+1500</f>
        <v>4000</v>
      </c>
      <c r="I12" s="102">
        <v>0</v>
      </c>
      <c r="J12" s="97">
        <v>0</v>
      </c>
      <c r="K12" s="56">
        <f t="shared" si="0"/>
        <v>269000</v>
      </c>
      <c r="L12" s="51">
        <v>269000</v>
      </c>
      <c r="M12" s="53">
        <f t="shared" si="2"/>
        <v>0</v>
      </c>
      <c r="N12" s="68" t="s">
        <v>39</v>
      </c>
      <c r="O12" s="68" t="s">
        <v>82</v>
      </c>
      <c r="P12" s="123"/>
      <c r="Q12" s="123"/>
      <c r="R12" s="123"/>
      <c r="S12" s="123"/>
      <c r="T12" s="123"/>
      <c r="V12" s="68"/>
      <c r="X12" s="78"/>
      <c r="Y12" s="68"/>
      <c r="Z12" s="68"/>
    </row>
    <row r="13" spans="2:26" x14ac:dyDescent="0.25">
      <c r="B13" s="15">
        <f t="shared" si="1"/>
        <v>45145</v>
      </c>
      <c r="C13" s="102">
        <v>2000</v>
      </c>
      <c r="D13" s="97">
        <v>0</v>
      </c>
      <c r="E13" s="102">
        <v>0</v>
      </c>
      <c r="F13" s="97">
        <v>0</v>
      </c>
      <c r="G13" s="102">
        <v>310000</v>
      </c>
      <c r="H13" s="97">
        <v>0</v>
      </c>
      <c r="I13" s="102">
        <v>0</v>
      </c>
      <c r="J13" s="97">
        <v>6750</v>
      </c>
      <c r="K13" s="56">
        <f t="shared" si="0"/>
        <v>318750</v>
      </c>
      <c r="L13" s="52">
        <v>318750</v>
      </c>
      <c r="M13" s="53">
        <f t="shared" si="2"/>
        <v>0</v>
      </c>
      <c r="N13" s="123" t="s">
        <v>39</v>
      </c>
      <c r="O13" s="123" t="s">
        <v>33</v>
      </c>
      <c r="P13" s="127"/>
      <c r="Q13" s="123"/>
      <c r="R13" s="123"/>
      <c r="S13" s="123"/>
      <c r="T13" s="123"/>
      <c r="V13" s="68"/>
      <c r="Y13" s="68" t="s">
        <v>52</v>
      </c>
      <c r="Z13" s="68"/>
    </row>
    <row r="14" spans="2:26" x14ac:dyDescent="0.25">
      <c r="B14" s="15">
        <f t="shared" si="1"/>
        <v>45146</v>
      </c>
      <c r="C14" s="121">
        <v>0</v>
      </c>
      <c r="D14" s="97">
        <v>0</v>
      </c>
      <c r="E14" s="102">
        <f>5000*2</f>
        <v>10000</v>
      </c>
      <c r="F14" s="97">
        <f>625000+5000*6</f>
        <v>655000</v>
      </c>
      <c r="G14" s="121">
        <v>300000</v>
      </c>
      <c r="H14" s="97">
        <f>80000+1500*2</f>
        <v>83000</v>
      </c>
      <c r="I14" s="121">
        <v>0</v>
      </c>
      <c r="J14" s="97">
        <v>0</v>
      </c>
      <c r="K14" s="56">
        <f t="shared" si="0"/>
        <v>1048000</v>
      </c>
      <c r="L14" s="52">
        <v>1048000</v>
      </c>
      <c r="M14" s="53">
        <f t="shared" si="2"/>
        <v>0</v>
      </c>
      <c r="N14" s="68" t="s">
        <v>78</v>
      </c>
      <c r="O14" s="127" t="s">
        <v>30</v>
      </c>
      <c r="P14" s="123"/>
      <c r="Q14" s="123"/>
      <c r="R14" s="123"/>
      <c r="S14" s="123"/>
      <c r="T14" s="123"/>
      <c r="V14" s="68"/>
      <c r="X14" s="68"/>
      <c r="Y14" s="68" t="s">
        <v>90</v>
      </c>
      <c r="Z14" s="68"/>
    </row>
    <row r="15" spans="2:26" x14ac:dyDescent="0.25">
      <c r="B15" s="15">
        <f t="shared" si="1"/>
        <v>45147</v>
      </c>
      <c r="C15" s="102">
        <v>0</v>
      </c>
      <c r="D15" s="97">
        <v>0</v>
      </c>
      <c r="E15" s="102">
        <v>0</v>
      </c>
      <c r="F15" s="97">
        <v>0</v>
      </c>
      <c r="G15" s="102">
        <v>260000</v>
      </c>
      <c r="H15" s="97">
        <f>1500+2500</f>
        <v>4000</v>
      </c>
      <c r="I15" s="102">
        <v>0</v>
      </c>
      <c r="J15" s="97">
        <f>32400+3400</f>
        <v>35800</v>
      </c>
      <c r="K15" s="56">
        <f t="shared" si="0"/>
        <v>299800</v>
      </c>
      <c r="L15" s="51">
        <v>299800</v>
      </c>
      <c r="M15" s="53">
        <f t="shared" si="2"/>
        <v>0</v>
      </c>
      <c r="N15" s="123" t="s">
        <v>30</v>
      </c>
      <c r="O15" s="127" t="s">
        <v>39</v>
      </c>
      <c r="P15" s="123" t="s">
        <v>91</v>
      </c>
      <c r="Q15" s="123"/>
      <c r="R15" s="128"/>
      <c r="S15" s="128"/>
      <c r="T15" s="128"/>
      <c r="U15" s="80"/>
      <c r="X15" s="80"/>
      <c r="Z15" s="80"/>
    </row>
    <row r="16" spans="2:26" x14ac:dyDescent="0.25">
      <c r="B16" s="15">
        <f t="shared" si="1"/>
        <v>45148</v>
      </c>
      <c r="C16" s="121">
        <v>0</v>
      </c>
      <c r="D16" s="97">
        <v>0</v>
      </c>
      <c r="E16" s="102">
        <v>0</v>
      </c>
      <c r="F16" s="97">
        <f>360000+5000*3</f>
        <v>375000</v>
      </c>
      <c r="G16" s="121">
        <v>2500</v>
      </c>
      <c r="H16" s="97">
        <v>1500</v>
      </c>
      <c r="I16" s="121">
        <v>0</v>
      </c>
      <c r="J16" s="97">
        <f>15000+15000</f>
        <v>30000</v>
      </c>
      <c r="K16" s="56">
        <f>SUM(C16:J16)</f>
        <v>409000</v>
      </c>
      <c r="L16" s="52">
        <v>409000</v>
      </c>
      <c r="M16" s="53">
        <f t="shared" si="2"/>
        <v>0</v>
      </c>
      <c r="N16" s="123" t="s">
        <v>30</v>
      </c>
      <c r="O16" s="127" t="s">
        <v>39</v>
      </c>
      <c r="P16" s="78" t="s">
        <v>92</v>
      </c>
      <c r="Q16" s="123"/>
      <c r="R16" s="128"/>
      <c r="S16" s="128"/>
      <c r="T16" s="128"/>
      <c r="U16" s="80"/>
      <c r="V16" s="65"/>
      <c r="Y16" s="94" t="s">
        <v>34</v>
      </c>
      <c r="Z16" s="80"/>
    </row>
    <row r="17" spans="2:26" x14ac:dyDescent="0.25">
      <c r="B17" s="15">
        <f t="shared" si="1"/>
        <v>45149</v>
      </c>
      <c r="C17" s="102">
        <v>0</v>
      </c>
      <c r="D17" s="97">
        <v>0</v>
      </c>
      <c r="E17" s="121">
        <v>5000</v>
      </c>
      <c r="F17" s="122">
        <f>605000+380000+60000+5000*2</f>
        <v>1055000</v>
      </c>
      <c r="G17" s="102">
        <v>0</v>
      </c>
      <c r="H17" s="122">
        <v>0</v>
      </c>
      <c r="I17" s="102">
        <v>0</v>
      </c>
      <c r="J17" s="122">
        <v>0</v>
      </c>
      <c r="K17" s="56">
        <f t="shared" si="0"/>
        <v>1060000</v>
      </c>
      <c r="L17" s="52">
        <v>1260001</v>
      </c>
      <c r="M17" s="53">
        <f t="shared" si="2"/>
        <v>200001</v>
      </c>
      <c r="N17" s="124"/>
      <c r="O17" s="123" t="s">
        <v>93</v>
      </c>
      <c r="P17" s="123"/>
      <c r="Q17" s="123"/>
      <c r="R17" s="123"/>
      <c r="S17" s="123"/>
      <c r="T17" s="123"/>
      <c r="V17" s="67"/>
      <c r="X17" s="78"/>
      <c r="Y17" s="67"/>
      <c r="Z17" s="68"/>
    </row>
    <row r="18" spans="2:26" x14ac:dyDescent="0.25">
      <c r="B18" s="15">
        <f t="shared" si="1"/>
        <v>45150</v>
      </c>
      <c r="C18" s="121">
        <v>0</v>
      </c>
      <c r="D18" s="97">
        <v>0</v>
      </c>
      <c r="E18" s="102">
        <v>0</v>
      </c>
      <c r="F18" s="97">
        <v>0</v>
      </c>
      <c r="G18" s="121">
        <v>0</v>
      </c>
      <c r="H18" s="97">
        <f>11500+1500</f>
        <v>13000</v>
      </c>
      <c r="I18" s="121">
        <v>5000</v>
      </c>
      <c r="J18" s="97">
        <f>17100+100</f>
        <v>17200</v>
      </c>
      <c r="K18" s="56">
        <f t="shared" si="0"/>
        <v>35200</v>
      </c>
      <c r="L18" s="51">
        <v>105200</v>
      </c>
      <c r="M18" s="53">
        <f t="shared" si="2"/>
        <v>70000</v>
      </c>
      <c r="N18" s="123"/>
      <c r="O18" s="123" t="s">
        <v>94</v>
      </c>
      <c r="P18" s="123"/>
      <c r="Q18" s="123"/>
      <c r="R18" s="123"/>
      <c r="S18" s="123"/>
      <c r="T18" s="123"/>
      <c r="V18" s="67"/>
      <c r="X18" s="78"/>
      <c r="Y18" s="78" t="s">
        <v>92</v>
      </c>
      <c r="Z18" s="68"/>
    </row>
    <row r="19" spans="2:26" x14ac:dyDescent="0.25">
      <c r="B19" s="15">
        <f t="shared" si="1"/>
        <v>45151</v>
      </c>
      <c r="C19" s="102">
        <v>0</v>
      </c>
      <c r="D19" s="97">
        <v>0</v>
      </c>
      <c r="E19" s="102">
        <v>0</v>
      </c>
      <c r="F19" s="97">
        <v>0</v>
      </c>
      <c r="G19" s="102">
        <v>0</v>
      </c>
      <c r="H19" s="97">
        <v>280000</v>
      </c>
      <c r="I19" s="102">
        <v>0</v>
      </c>
      <c r="J19" s="97">
        <v>0</v>
      </c>
      <c r="K19" s="56">
        <f t="shared" si="0"/>
        <v>280000</v>
      </c>
      <c r="L19" s="52">
        <v>280000</v>
      </c>
      <c r="M19" s="53">
        <f t="shared" si="2"/>
        <v>0</v>
      </c>
      <c r="N19" s="127"/>
      <c r="O19" s="123"/>
      <c r="P19" s="123"/>
      <c r="Q19" s="123"/>
      <c r="R19" s="123"/>
      <c r="S19" s="123"/>
      <c r="T19" s="123"/>
      <c r="V19" s="67"/>
      <c r="X19" s="78"/>
      <c r="Y19" s="67" t="s">
        <v>49</v>
      </c>
      <c r="Z19" s="68"/>
    </row>
    <row r="20" spans="2:26" x14ac:dyDescent="0.25">
      <c r="B20" s="15">
        <f t="shared" si="1"/>
        <v>45152</v>
      </c>
      <c r="C20" s="102">
        <f>150000+4000</f>
        <v>154000</v>
      </c>
      <c r="D20" s="122">
        <f>420000+4000*6+2000+5000</f>
        <v>451000</v>
      </c>
      <c r="E20" s="102">
        <v>0</v>
      </c>
      <c r="F20" s="97">
        <v>0</v>
      </c>
      <c r="G20" s="102">
        <v>270000</v>
      </c>
      <c r="H20" s="97">
        <f>10000+1500</f>
        <v>11500</v>
      </c>
      <c r="I20" s="102">
        <v>0</v>
      </c>
      <c r="J20" s="97">
        <v>0</v>
      </c>
      <c r="K20" s="56">
        <f t="shared" si="0"/>
        <v>886500</v>
      </c>
      <c r="L20" s="52">
        <v>886500</v>
      </c>
      <c r="M20" s="53">
        <f t="shared" si="2"/>
        <v>0</v>
      </c>
      <c r="N20" s="123" t="s">
        <v>39</v>
      </c>
      <c r="O20" s="127" t="s">
        <v>30</v>
      </c>
      <c r="P20" s="124"/>
      <c r="Q20" s="123"/>
      <c r="R20" s="123"/>
      <c r="S20" s="123"/>
      <c r="T20" s="123"/>
      <c r="V20" s="67"/>
      <c r="Y20" s="78" t="s">
        <v>33</v>
      </c>
      <c r="Z20" s="68"/>
    </row>
    <row r="21" spans="2:26" x14ac:dyDescent="0.25">
      <c r="B21" s="15">
        <f>B20+1</f>
        <v>45153</v>
      </c>
      <c r="C21" s="102">
        <v>0</v>
      </c>
      <c r="D21" s="97">
        <f>490000+700000</f>
        <v>1190000</v>
      </c>
      <c r="E21" s="102">
        <v>0</v>
      </c>
      <c r="F21" s="97">
        <f>930000+5000</f>
        <v>935000</v>
      </c>
      <c r="G21" s="102">
        <v>340000</v>
      </c>
      <c r="H21" s="97">
        <f>11500+1500+1500</f>
        <v>14500</v>
      </c>
      <c r="I21" s="102">
        <v>0</v>
      </c>
      <c r="J21" s="97">
        <v>10800</v>
      </c>
      <c r="K21" s="56">
        <f t="shared" si="0"/>
        <v>2490300</v>
      </c>
      <c r="L21" s="51">
        <v>2490300</v>
      </c>
      <c r="M21" s="53">
        <f t="shared" si="2"/>
        <v>0</v>
      </c>
      <c r="N21" s="123" t="s">
        <v>30</v>
      </c>
      <c r="O21" s="123" t="s">
        <v>82</v>
      </c>
      <c r="P21" s="123" t="s">
        <v>95</v>
      </c>
      <c r="Q21" s="123"/>
      <c r="R21" s="123"/>
      <c r="S21" s="123"/>
      <c r="T21" s="123"/>
      <c r="X21" s="78"/>
      <c r="Y21" s="78" t="s">
        <v>58</v>
      </c>
      <c r="Z21" s="68"/>
    </row>
    <row r="22" spans="2:26" x14ac:dyDescent="0.25">
      <c r="B22" s="15">
        <f t="shared" si="1"/>
        <v>45154</v>
      </c>
      <c r="C22" s="102">
        <f>4000*2</f>
        <v>8000</v>
      </c>
      <c r="D22" s="97">
        <f>4000*4</f>
        <v>16000</v>
      </c>
      <c r="E22" s="102">
        <v>5000</v>
      </c>
      <c r="F22" s="97">
        <f>320000+5000*4</f>
        <v>340000</v>
      </c>
      <c r="G22" s="102">
        <f>390000+10000+250000</f>
        <v>650000</v>
      </c>
      <c r="H22" s="97">
        <f>260000+2500+40000</f>
        <v>302500</v>
      </c>
      <c r="I22" s="102">
        <f>14410</f>
        <v>14410</v>
      </c>
      <c r="J22" s="97">
        <f>22650+84500</f>
        <v>107150</v>
      </c>
      <c r="K22" s="56">
        <f t="shared" si="0"/>
        <v>1443060</v>
      </c>
      <c r="L22" s="52">
        <v>1443060</v>
      </c>
      <c r="M22" s="53">
        <f t="shared" si="2"/>
        <v>0</v>
      </c>
      <c r="N22" s="127" t="s">
        <v>30</v>
      </c>
      <c r="O22" s="68" t="s">
        <v>39</v>
      </c>
      <c r="P22" s="123" t="s">
        <v>82</v>
      </c>
      <c r="Q22" s="94" t="s">
        <v>34</v>
      </c>
      <c r="R22" s="123"/>
      <c r="S22" s="123"/>
      <c r="T22" s="123"/>
      <c r="X22" s="78"/>
      <c r="Y22" s="67" t="s">
        <v>87</v>
      </c>
      <c r="Z22" s="68"/>
    </row>
    <row r="23" spans="2:26" x14ac:dyDescent="0.25">
      <c r="B23" s="15">
        <f t="shared" si="1"/>
        <v>45155</v>
      </c>
      <c r="C23" s="102">
        <v>0</v>
      </c>
      <c r="D23" s="97">
        <f>700000+4000</f>
        <v>704000</v>
      </c>
      <c r="E23" s="102">
        <f>460000+5000</f>
        <v>465000</v>
      </c>
      <c r="F23" s="97">
        <v>5000</v>
      </c>
      <c r="G23" s="102">
        <f>290000+50000</f>
        <v>340000</v>
      </c>
      <c r="H23" s="97">
        <v>14000</v>
      </c>
      <c r="I23" s="102">
        <f>3900+15000</f>
        <v>18900</v>
      </c>
      <c r="J23" s="97">
        <v>0</v>
      </c>
      <c r="K23" s="56">
        <f t="shared" si="0"/>
        <v>1546900</v>
      </c>
      <c r="L23" s="52">
        <v>1546900</v>
      </c>
      <c r="M23" s="53">
        <f t="shared" si="2"/>
        <v>0</v>
      </c>
      <c r="N23" s="123" t="s">
        <v>30</v>
      </c>
      <c r="O23" s="124" t="s">
        <v>82</v>
      </c>
      <c r="P23" s="123" t="s">
        <v>96</v>
      </c>
      <c r="Q23" s="123"/>
      <c r="R23" s="123"/>
      <c r="S23" s="123"/>
      <c r="T23" s="123"/>
      <c r="W23" s="67"/>
      <c r="X23" s="78"/>
      <c r="Y23" s="78" t="s">
        <v>97</v>
      </c>
      <c r="Z23" s="68"/>
    </row>
    <row r="24" spans="2:26" x14ac:dyDescent="0.25">
      <c r="B24" s="15">
        <f t="shared" si="1"/>
        <v>45156</v>
      </c>
      <c r="C24" s="121">
        <v>0</v>
      </c>
      <c r="D24" s="97">
        <f>700000+420000+2500</f>
        <v>1122500</v>
      </c>
      <c r="E24" s="102">
        <v>450000</v>
      </c>
      <c r="F24" s="97">
        <v>250000</v>
      </c>
      <c r="G24" s="121">
        <v>100000</v>
      </c>
      <c r="H24" s="97">
        <f>130000+10000+10000+1500</f>
        <v>151500</v>
      </c>
      <c r="I24" s="121">
        <v>0</v>
      </c>
      <c r="J24" s="97">
        <v>7800</v>
      </c>
      <c r="K24" s="56">
        <f t="shared" si="0"/>
        <v>2081800</v>
      </c>
      <c r="L24" s="51">
        <v>2081800</v>
      </c>
      <c r="M24" s="53">
        <f t="shared" si="2"/>
        <v>0</v>
      </c>
      <c r="N24" s="123" t="s">
        <v>30</v>
      </c>
      <c r="O24" s="124" t="s">
        <v>82</v>
      </c>
      <c r="P24" s="78" t="s">
        <v>33</v>
      </c>
      <c r="Q24" s="123"/>
      <c r="R24" s="123"/>
      <c r="S24" s="123"/>
      <c r="T24" s="123"/>
      <c r="V24" s="67"/>
      <c r="W24" s="67"/>
      <c r="Y24" s="78"/>
      <c r="Z24" s="68"/>
    </row>
    <row r="25" spans="2:26" x14ac:dyDescent="0.25">
      <c r="B25" s="15">
        <f t="shared" si="1"/>
        <v>45157</v>
      </c>
      <c r="C25" s="102">
        <v>0</v>
      </c>
      <c r="D25" s="97">
        <v>0</v>
      </c>
      <c r="E25" s="102">
        <v>0</v>
      </c>
      <c r="F25" s="97">
        <v>0</v>
      </c>
      <c r="G25" s="102">
        <f>100000+260000</f>
        <v>360000</v>
      </c>
      <c r="H25" s="97">
        <f>10000+1500+10000+1500+1500+1500+10000</f>
        <v>36000</v>
      </c>
      <c r="I25" s="102">
        <v>0</v>
      </c>
      <c r="J25" s="97">
        <v>3900</v>
      </c>
      <c r="K25" s="56">
        <f t="shared" si="0"/>
        <v>399900</v>
      </c>
      <c r="L25" s="52">
        <v>399900</v>
      </c>
      <c r="M25" s="53">
        <f t="shared" si="2"/>
        <v>0</v>
      </c>
      <c r="N25" s="123" t="s">
        <v>30</v>
      </c>
      <c r="O25" s="68" t="s">
        <v>39</v>
      </c>
      <c r="P25" s="123" t="s">
        <v>82</v>
      </c>
      <c r="Q25" s="123" t="s">
        <v>97</v>
      </c>
      <c r="R25" s="123"/>
      <c r="S25" s="123"/>
      <c r="T25" s="123"/>
      <c r="V25" s="67"/>
      <c r="W25" s="67"/>
      <c r="X25" s="78"/>
      <c r="Y25" s="78"/>
      <c r="Z25" s="68"/>
    </row>
    <row r="26" spans="2:26" x14ac:dyDescent="0.25">
      <c r="B26" s="15">
        <f t="shared" si="1"/>
        <v>45158</v>
      </c>
      <c r="C26" s="102">
        <v>0</v>
      </c>
      <c r="D26" s="97">
        <v>0</v>
      </c>
      <c r="E26" s="102">
        <v>0</v>
      </c>
      <c r="F26" s="97">
        <v>0</v>
      </c>
      <c r="G26" s="102">
        <v>0</v>
      </c>
      <c r="H26" s="97">
        <v>5000</v>
      </c>
      <c r="I26" s="102">
        <v>0</v>
      </c>
      <c r="J26" s="97">
        <v>0</v>
      </c>
      <c r="K26" s="56">
        <f t="shared" si="0"/>
        <v>5000</v>
      </c>
      <c r="L26" s="52">
        <v>5000</v>
      </c>
      <c r="M26" s="53">
        <f t="shared" si="2"/>
        <v>0</v>
      </c>
      <c r="N26" s="123" t="s">
        <v>39</v>
      </c>
      <c r="O26" s="125"/>
      <c r="P26" s="123"/>
      <c r="Q26" s="123"/>
      <c r="R26" s="123"/>
      <c r="S26" s="123"/>
      <c r="T26" s="123"/>
      <c r="W26" s="67"/>
      <c r="X26" s="78"/>
      <c r="Y26" s="78"/>
      <c r="Z26" s="68"/>
    </row>
    <row r="27" spans="2:26" x14ac:dyDescent="0.25">
      <c r="B27" s="15">
        <f t="shared" si="1"/>
        <v>45159</v>
      </c>
      <c r="C27" s="102">
        <f>4000+470000</f>
        <v>474000</v>
      </c>
      <c r="D27" s="97">
        <f>8000+4000+4000</f>
        <v>16000</v>
      </c>
      <c r="E27" s="102">
        <v>0</v>
      </c>
      <c r="F27" s="97">
        <v>0</v>
      </c>
      <c r="G27" s="102">
        <v>0</v>
      </c>
      <c r="H27" s="97">
        <f>10000+2500+270000+10000</f>
        <v>292500</v>
      </c>
      <c r="I27" s="102">
        <v>0</v>
      </c>
      <c r="J27" s="97">
        <f>5200+5200</f>
        <v>10400</v>
      </c>
      <c r="K27" s="56">
        <f t="shared" si="0"/>
        <v>792900</v>
      </c>
      <c r="L27" s="51">
        <v>792900</v>
      </c>
      <c r="M27" s="53">
        <f t="shared" si="2"/>
        <v>0</v>
      </c>
      <c r="N27" s="123" t="s">
        <v>39</v>
      </c>
      <c r="O27" s="127" t="s">
        <v>30</v>
      </c>
      <c r="P27" s="123" t="s">
        <v>95</v>
      </c>
      <c r="Q27" s="123"/>
      <c r="R27" s="123"/>
      <c r="S27" s="123"/>
      <c r="T27" s="123"/>
      <c r="W27" s="68"/>
      <c r="X27" s="78"/>
      <c r="Y27" s="68"/>
      <c r="Z27" s="68"/>
    </row>
    <row r="28" spans="2:26" x14ac:dyDescent="0.25">
      <c r="B28" s="15">
        <f t="shared" si="1"/>
        <v>45160</v>
      </c>
      <c r="C28" s="102">
        <v>0</v>
      </c>
      <c r="D28" s="97">
        <v>900000</v>
      </c>
      <c r="E28" s="102">
        <v>5000</v>
      </c>
      <c r="F28" s="97">
        <f>580000+5000*6</f>
        <v>610000</v>
      </c>
      <c r="G28" s="102">
        <v>290000</v>
      </c>
      <c r="H28" s="97">
        <f>31500+10000</f>
        <v>41500</v>
      </c>
      <c r="I28" s="102">
        <v>0</v>
      </c>
      <c r="J28" s="97">
        <v>0</v>
      </c>
      <c r="K28" s="56">
        <f>SUM(C28:J28)</f>
        <v>1846500</v>
      </c>
      <c r="L28" s="52">
        <v>1846500</v>
      </c>
      <c r="M28" s="53">
        <f t="shared" si="2"/>
        <v>0</v>
      </c>
      <c r="N28" s="123" t="s">
        <v>39</v>
      </c>
      <c r="O28" s="127" t="s">
        <v>30</v>
      </c>
      <c r="P28" s="67" t="s">
        <v>32</v>
      </c>
      <c r="Q28" s="123"/>
      <c r="R28" s="123"/>
      <c r="S28" s="123"/>
      <c r="T28" s="123"/>
      <c r="W28" s="68"/>
      <c r="X28" s="67"/>
      <c r="Y28" s="68"/>
      <c r="Z28" s="68"/>
    </row>
    <row r="29" spans="2:26" x14ac:dyDescent="0.25">
      <c r="B29" s="15">
        <f t="shared" si="1"/>
        <v>45161</v>
      </c>
      <c r="C29" s="102">
        <f>450000+4000</f>
        <v>454000</v>
      </c>
      <c r="D29" s="97">
        <f>4000*3</f>
        <v>12000</v>
      </c>
      <c r="E29" s="102">
        <f>500000+5000</f>
        <v>505000</v>
      </c>
      <c r="F29" s="97">
        <v>0</v>
      </c>
      <c r="G29" s="102">
        <v>255000</v>
      </c>
      <c r="H29" s="97">
        <v>65000</v>
      </c>
      <c r="I29" s="98">
        <v>9000</v>
      </c>
      <c r="J29" s="95">
        <f>11600+6750</f>
        <v>18350</v>
      </c>
      <c r="K29" s="56">
        <f>SUM(C29:J29)</f>
        <v>1318350</v>
      </c>
      <c r="L29" s="52">
        <v>1318350</v>
      </c>
      <c r="M29" s="53">
        <f t="shared" si="2"/>
        <v>0</v>
      </c>
      <c r="N29" s="109" t="s">
        <v>30</v>
      </c>
      <c r="O29" s="111"/>
      <c r="P29" s="109" t="s">
        <v>33</v>
      </c>
      <c r="Q29" s="94" t="s">
        <v>34</v>
      </c>
      <c r="S29" s="101">
        <v>20600</v>
      </c>
      <c r="W29" s="67"/>
      <c r="X29" s="78"/>
      <c r="Y29" s="78"/>
      <c r="Z29" s="68"/>
    </row>
    <row r="30" spans="2:26" x14ac:dyDescent="0.25">
      <c r="B30" s="15">
        <f t="shared" si="1"/>
        <v>45162</v>
      </c>
      <c r="C30" s="102">
        <v>0</v>
      </c>
      <c r="D30" s="97">
        <v>400000</v>
      </c>
      <c r="E30" s="102">
        <f>550000+5000</f>
        <v>555000</v>
      </c>
      <c r="F30" s="97">
        <f>500000+5000*3+15000</f>
        <v>530000</v>
      </c>
      <c r="G30" s="102">
        <v>0</v>
      </c>
      <c r="H30" s="97">
        <v>13000</v>
      </c>
      <c r="I30" s="102">
        <v>0</v>
      </c>
      <c r="J30" s="97">
        <v>3900</v>
      </c>
      <c r="K30" s="56">
        <f t="shared" si="0"/>
        <v>1501900</v>
      </c>
      <c r="L30" s="51">
        <v>1501900</v>
      </c>
      <c r="M30" s="53">
        <f t="shared" si="2"/>
        <v>0</v>
      </c>
      <c r="N30" s="109" t="s">
        <v>30</v>
      </c>
      <c r="O30" s="111"/>
      <c r="P30" s="78" t="s">
        <v>97</v>
      </c>
      <c r="Q30" s="109"/>
      <c r="W30" s="67"/>
      <c r="X30" s="78"/>
      <c r="Y30" s="78"/>
      <c r="Z30" s="68"/>
    </row>
    <row r="31" spans="2:26" x14ac:dyDescent="0.25">
      <c r="B31" s="15">
        <f t="shared" si="1"/>
        <v>45163</v>
      </c>
      <c r="C31" s="121">
        <v>0</v>
      </c>
      <c r="D31" s="97">
        <v>380000</v>
      </c>
      <c r="E31" s="102">
        <f>350000+5000</f>
        <v>355000</v>
      </c>
      <c r="F31" s="97">
        <v>5000</v>
      </c>
      <c r="G31" s="121">
        <v>2500</v>
      </c>
      <c r="H31" s="97">
        <v>2500</v>
      </c>
      <c r="I31" s="121">
        <v>0</v>
      </c>
      <c r="J31" s="97">
        <f>15000+5000+5000</f>
        <v>25000</v>
      </c>
      <c r="K31" s="56">
        <f t="shared" si="0"/>
        <v>770000</v>
      </c>
      <c r="L31" s="52">
        <v>770000</v>
      </c>
      <c r="M31" s="53">
        <f t="shared" si="2"/>
        <v>0</v>
      </c>
      <c r="N31" s="109" t="s">
        <v>39</v>
      </c>
      <c r="O31" s="109"/>
      <c r="P31" s="123" t="s">
        <v>96</v>
      </c>
      <c r="Q31" s="109"/>
      <c r="W31" s="68"/>
      <c r="X31" s="78"/>
      <c r="Y31" s="78"/>
      <c r="Z31" s="67"/>
    </row>
    <row r="32" spans="2:26" x14ac:dyDescent="0.25">
      <c r="B32" s="15">
        <f t="shared" si="1"/>
        <v>45164</v>
      </c>
      <c r="C32" s="102">
        <v>0</v>
      </c>
      <c r="D32" s="97">
        <v>0</v>
      </c>
      <c r="E32" s="102">
        <v>0</v>
      </c>
      <c r="F32" s="97">
        <v>0</v>
      </c>
      <c r="G32" s="102">
        <v>260000</v>
      </c>
      <c r="H32" s="97">
        <v>2500</v>
      </c>
      <c r="I32" s="102">
        <v>0</v>
      </c>
      <c r="J32" s="97">
        <v>7500</v>
      </c>
      <c r="K32" s="56">
        <f t="shared" si="0"/>
        <v>270000</v>
      </c>
      <c r="L32" s="52">
        <v>270000</v>
      </c>
      <c r="M32" s="53">
        <f t="shared" si="2"/>
        <v>0</v>
      </c>
      <c r="N32" s="109" t="s">
        <v>39</v>
      </c>
      <c r="O32" s="109"/>
      <c r="P32" s="109" t="s">
        <v>33</v>
      </c>
      <c r="Q32" s="109"/>
      <c r="W32" s="68"/>
      <c r="X32" s="67"/>
      <c r="Y32" s="78"/>
      <c r="Z32" s="68"/>
    </row>
    <row r="33" spans="1:26" x14ac:dyDescent="0.25">
      <c r="B33" s="15">
        <f t="shared" si="1"/>
        <v>45165</v>
      </c>
      <c r="C33" s="102">
        <v>0</v>
      </c>
      <c r="D33" s="97">
        <v>0</v>
      </c>
      <c r="E33" s="102">
        <v>0</v>
      </c>
      <c r="F33" s="97">
        <v>0</v>
      </c>
      <c r="G33" s="102">
        <v>0</v>
      </c>
      <c r="H33" s="97">
        <v>2500</v>
      </c>
      <c r="I33" s="102">
        <v>0</v>
      </c>
      <c r="J33" s="97">
        <v>0</v>
      </c>
      <c r="K33" s="56">
        <f t="shared" si="0"/>
        <v>2500</v>
      </c>
      <c r="L33" s="51">
        <v>2500</v>
      </c>
      <c r="M33" s="53">
        <f t="shared" si="2"/>
        <v>0</v>
      </c>
      <c r="N33" s="109" t="s">
        <v>39</v>
      </c>
      <c r="O33" s="111"/>
      <c r="P33" s="109"/>
      <c r="Q33" s="109"/>
      <c r="W33" s="68"/>
      <c r="X33" s="78"/>
      <c r="Y33" s="78"/>
      <c r="Z33" s="68"/>
    </row>
    <row r="34" spans="1:26" x14ac:dyDescent="0.25">
      <c r="B34" s="15">
        <f t="shared" si="1"/>
        <v>45166</v>
      </c>
      <c r="C34" s="102">
        <v>0</v>
      </c>
      <c r="D34" s="97">
        <f>470000+4000*3</f>
        <v>482000</v>
      </c>
      <c r="E34" s="102">
        <v>0</v>
      </c>
      <c r="F34" s="97">
        <v>0</v>
      </c>
      <c r="G34" s="102">
        <v>590000</v>
      </c>
      <c r="H34" s="97">
        <v>10000</v>
      </c>
      <c r="I34" s="102">
        <v>0</v>
      </c>
      <c r="J34" s="97">
        <v>9100</v>
      </c>
      <c r="K34" s="56">
        <f t="shared" si="0"/>
        <v>1091100</v>
      </c>
      <c r="L34" s="52">
        <v>1091100</v>
      </c>
      <c r="M34" s="53">
        <f t="shared" si="2"/>
        <v>0</v>
      </c>
      <c r="N34" s="123" t="s">
        <v>82</v>
      </c>
      <c r="O34" s="111" t="s">
        <v>78</v>
      </c>
      <c r="P34" s="109" t="s">
        <v>33</v>
      </c>
      <c r="Q34" s="109" t="s">
        <v>87</v>
      </c>
      <c r="W34" s="68"/>
      <c r="X34" s="78"/>
      <c r="Y34" s="78"/>
      <c r="Z34" s="68"/>
    </row>
    <row r="35" spans="1:26" x14ac:dyDescent="0.25">
      <c r="B35" s="15">
        <f t="shared" si="1"/>
        <v>45167</v>
      </c>
      <c r="C35" s="102">
        <v>250000</v>
      </c>
      <c r="D35" s="97">
        <v>0</v>
      </c>
      <c r="E35" s="102">
        <v>5000</v>
      </c>
      <c r="F35" s="97">
        <f>5000*2+375000+360000+15000</f>
        <v>760000</v>
      </c>
      <c r="G35" s="102">
        <v>250000</v>
      </c>
      <c r="H35" s="97">
        <f>10000+2500+4000</f>
        <v>16500</v>
      </c>
      <c r="I35" s="102">
        <v>0</v>
      </c>
      <c r="J35" s="97">
        <v>5200</v>
      </c>
      <c r="K35" s="56">
        <f t="shared" si="0"/>
        <v>1286700</v>
      </c>
      <c r="L35" s="54">
        <v>1286700</v>
      </c>
      <c r="M35" s="55">
        <f t="shared" si="2"/>
        <v>0</v>
      </c>
      <c r="N35" s="109" t="s">
        <v>39</v>
      </c>
      <c r="O35" s="106" t="s">
        <v>30</v>
      </c>
      <c r="P35" s="68" t="s">
        <v>90</v>
      </c>
      <c r="Q35" s="115"/>
      <c r="W35" s="68"/>
      <c r="X35" s="78"/>
      <c r="Y35" s="78"/>
      <c r="Z35" s="68"/>
    </row>
    <row r="36" spans="1:26" x14ac:dyDescent="0.25">
      <c r="B36" s="15">
        <f t="shared" si="1"/>
        <v>45168</v>
      </c>
      <c r="C36" s="102">
        <v>0</v>
      </c>
      <c r="D36" s="97">
        <f>620000+4000*3</f>
        <v>632000</v>
      </c>
      <c r="E36" s="102">
        <v>515000</v>
      </c>
      <c r="F36" s="97">
        <f>500000+5000*3</f>
        <v>515000</v>
      </c>
      <c r="G36" s="102">
        <v>0</v>
      </c>
      <c r="H36" s="97">
        <v>3000</v>
      </c>
      <c r="I36" s="102">
        <v>0</v>
      </c>
      <c r="J36" s="97">
        <v>8000</v>
      </c>
      <c r="K36" s="56">
        <f t="shared" si="0"/>
        <v>1673000</v>
      </c>
      <c r="L36" s="54">
        <v>1673000</v>
      </c>
      <c r="M36" s="55">
        <f t="shared" si="2"/>
        <v>0</v>
      </c>
      <c r="N36" s="109" t="s">
        <v>30</v>
      </c>
      <c r="O36" s="106"/>
      <c r="P36" s="109"/>
      <c r="Q36" s="94" t="s">
        <v>34</v>
      </c>
      <c r="S36" s="101">
        <v>8000</v>
      </c>
      <c r="W36" s="68"/>
      <c r="Z36" s="68"/>
    </row>
    <row r="37" spans="1:26" x14ac:dyDescent="0.25">
      <c r="B37" s="15">
        <f t="shared" si="1"/>
        <v>45169</v>
      </c>
      <c r="C37" s="102">
        <v>0</v>
      </c>
      <c r="D37" s="97">
        <f>2500+180000+750000</f>
        <v>932500</v>
      </c>
      <c r="E37" s="102">
        <v>15000</v>
      </c>
      <c r="F37" s="97">
        <f>500000+530000+5000</f>
        <v>1035000</v>
      </c>
      <c r="G37" s="102">
        <v>110000</v>
      </c>
      <c r="H37" s="97">
        <v>10000</v>
      </c>
      <c r="I37" s="102">
        <v>0</v>
      </c>
      <c r="J37" s="97">
        <v>20800</v>
      </c>
      <c r="K37" s="56">
        <f t="shared" si="0"/>
        <v>2123300</v>
      </c>
      <c r="L37" s="54">
        <v>2123300</v>
      </c>
      <c r="M37" s="55">
        <f t="shared" si="2"/>
        <v>0</v>
      </c>
      <c r="N37" s="109" t="s">
        <v>30</v>
      </c>
      <c r="O37" s="110"/>
      <c r="P37" s="109" t="s">
        <v>33</v>
      </c>
      <c r="Q37" s="109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106"/>
      <c r="O38" s="111"/>
      <c r="P38" s="111"/>
      <c r="Q38" s="109"/>
    </row>
    <row r="39" spans="1:26" ht="15.75" x14ac:dyDescent="0.25">
      <c r="B39" s="23" t="s">
        <v>3</v>
      </c>
      <c r="C39" s="24">
        <f>SUM(C7:C38)</f>
        <v>1342000</v>
      </c>
      <c r="D39" s="25">
        <f>SUM(D7:D38)</f>
        <v>7238000</v>
      </c>
      <c r="E39" s="24">
        <f t="shared" ref="E39:J39" si="3">SUM(E7:E38)</f>
        <v>4575000</v>
      </c>
      <c r="F39" s="59">
        <f t="shared" si="3"/>
        <v>9310000</v>
      </c>
      <c r="G39" s="24">
        <f t="shared" si="3"/>
        <v>5032500</v>
      </c>
      <c r="H39" s="25">
        <f t="shared" si="3"/>
        <v>1394500</v>
      </c>
      <c r="I39" s="24">
        <f t="shared" si="3"/>
        <v>47310</v>
      </c>
      <c r="J39" s="25">
        <f t="shared" si="3"/>
        <v>372450</v>
      </c>
      <c r="K39" s="28">
        <f>SUM(K7:K38)</f>
        <v>29311760</v>
      </c>
      <c r="L39" s="27">
        <f>SUM(L7:L38)</f>
        <v>29647461</v>
      </c>
      <c r="M39" s="26">
        <f>L39-K39</f>
        <v>335701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8580000</v>
      </c>
      <c r="D40" s="268"/>
      <c r="E40" s="267">
        <f>SUM(E39:F39)</f>
        <v>13885000</v>
      </c>
      <c r="F40" s="269"/>
      <c r="G40" s="267">
        <f>SUM(G39:H39)</f>
        <v>6427000</v>
      </c>
      <c r="H40" s="268"/>
      <c r="I40" s="267">
        <f>SUM(I39:J39)</f>
        <v>419760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45138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0</v>
      </c>
      <c r="K45" s="3">
        <f>SUM(C45:J45)</f>
        <v>0</v>
      </c>
      <c r="L45" s="3">
        <v>0</v>
      </c>
      <c r="M45" s="3">
        <f>L45-K45</f>
        <v>0</v>
      </c>
      <c r="N45" s="85">
        <v>45139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45169</v>
      </c>
      <c r="C48" s="3">
        <v>0</v>
      </c>
      <c r="D48" s="14">
        <v>930000</v>
      </c>
      <c r="E48" s="3">
        <v>0</v>
      </c>
      <c r="F48" s="14">
        <v>1035000</v>
      </c>
      <c r="G48" s="3">
        <v>0</v>
      </c>
      <c r="H48" s="14">
        <v>0</v>
      </c>
      <c r="I48" s="3">
        <v>0</v>
      </c>
      <c r="J48" s="14">
        <v>20800</v>
      </c>
      <c r="K48" s="3">
        <f>SUM(C48:J48)</f>
        <v>1985800</v>
      </c>
      <c r="L48" s="3">
        <v>1985800</v>
      </c>
      <c r="M48" s="3">
        <f>L48-K48</f>
        <v>0</v>
      </c>
      <c r="N48" s="85">
        <v>45170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-930000</v>
      </c>
      <c r="E50" s="262">
        <f>F45+F46-F47-F48</f>
        <v>-1035000</v>
      </c>
      <c r="F50" s="263"/>
      <c r="G50" s="262">
        <f>H45+H46-H47-H48</f>
        <v>0</v>
      </c>
      <c r="H50" s="263"/>
      <c r="I50" s="262">
        <f>J45+J46-J47-J48</f>
        <v>-20800</v>
      </c>
      <c r="J50" s="263"/>
    </row>
    <row r="51" spans="2:24" x14ac:dyDescent="0.25">
      <c r="B51" s="264" t="s">
        <v>12</v>
      </c>
      <c r="C51" s="264"/>
      <c r="D51" s="31">
        <f>D39+D50</f>
        <v>6308000</v>
      </c>
      <c r="E51" s="265">
        <f>F39+E50</f>
        <v>8275000</v>
      </c>
      <c r="F51" s="266"/>
      <c r="G51" s="265">
        <f>H39+G50</f>
        <v>1394500</v>
      </c>
      <c r="H51" s="266"/>
      <c r="I51" s="265">
        <f>J39+I50</f>
        <v>351650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16329150</v>
      </c>
      <c r="E52" s="258"/>
      <c r="F52" s="258"/>
      <c r="G52" s="258"/>
      <c r="H52" s="258"/>
      <c r="I52" s="117"/>
      <c r="J52" s="117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D51*0.0155+0.03</f>
        <v>97774.03</v>
      </c>
      <c r="N54" s="87">
        <v>1.55E-2</v>
      </c>
      <c r="P54" s="68" t="s">
        <v>98</v>
      </c>
      <c r="W54" s="4"/>
    </row>
    <row r="55" spans="2:24" x14ac:dyDescent="0.25">
      <c r="B55" s="72" t="s">
        <v>13</v>
      </c>
      <c r="C55" s="34">
        <f>C39+G39+E39+I39</f>
        <v>10996810</v>
      </c>
      <c r="D55" s="34">
        <f>D39+H39+F39+J39</f>
        <v>18314950</v>
      </c>
      <c r="E55" s="58"/>
      <c r="F55" s="58"/>
      <c r="K55" s="63" t="s">
        <v>25</v>
      </c>
      <c r="L55" s="64">
        <f>E51*0.0155</f>
        <v>128262.5</v>
      </c>
      <c r="N55" s="88"/>
      <c r="P55" s="68" t="s">
        <v>99</v>
      </c>
      <c r="Q55" s="78">
        <v>179001</v>
      </c>
      <c r="X55" s="71"/>
    </row>
    <row r="56" spans="2:24" x14ac:dyDescent="0.25">
      <c r="C56" s="259">
        <f>SUM(C55:D55)</f>
        <v>29311760</v>
      </c>
      <c r="D56" s="260"/>
      <c r="E56" s="57"/>
      <c r="F56" s="57"/>
      <c r="K56" s="63" t="s">
        <v>28</v>
      </c>
      <c r="L56" s="64">
        <f>G51*0.0155+Q56</f>
        <v>22957.2575</v>
      </c>
      <c r="P56" s="87">
        <v>7.4999999999999997E-3</v>
      </c>
      <c r="Q56" s="130">
        <f>Q55*0.75%</f>
        <v>1342.5074999999999</v>
      </c>
      <c r="R56" s="280" t="s">
        <v>100</v>
      </c>
      <c r="S56" s="280"/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</f>
        <v>5450.5749999999998</v>
      </c>
      <c r="W57" s="4"/>
    </row>
    <row r="58" spans="2:24" x14ac:dyDescent="0.25">
      <c r="J58" t="s">
        <v>3</v>
      </c>
      <c r="L58" s="64">
        <f>SUM(L54:L57)</f>
        <v>254444.36250000002</v>
      </c>
      <c r="W58" s="4"/>
    </row>
    <row r="59" spans="2:24" x14ac:dyDescent="0.25">
      <c r="B59" s="1" t="s">
        <v>19</v>
      </c>
      <c r="C59" s="259">
        <f>C39+D52+E39+G39+I39</f>
        <v>27325960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8">
    <mergeCell ref="R56:S56"/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I50:J50"/>
    <mergeCell ref="B51:C51"/>
    <mergeCell ref="E51:F51"/>
    <mergeCell ref="G51:H51"/>
    <mergeCell ref="I51:J51"/>
    <mergeCell ref="B52:C52"/>
    <mergeCell ref="D52:H52"/>
    <mergeCell ref="C56:D56"/>
    <mergeCell ref="C59:D59"/>
    <mergeCell ref="B50:C50"/>
    <mergeCell ref="E50:F50"/>
    <mergeCell ref="G50:H50"/>
  </mergeCells>
  <pageMargins left="0.11811023622047245" right="0" top="0.15748031496062992" bottom="0.15748031496062992" header="0.31496062992125984" footer="0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1"/>
  <sheetViews>
    <sheetView topLeftCell="A25" workbookViewId="0">
      <selection activeCell="L55" sqref="L55"/>
    </sheetView>
  </sheetViews>
  <sheetFormatPr defaultRowHeight="15" x14ac:dyDescent="0.25"/>
  <cols>
    <col min="1" max="1" width="1.5703125" customWidth="1"/>
    <col min="2" max="2" width="9.140625" style="1" customWidth="1"/>
    <col min="3" max="3" width="10.140625" customWidth="1"/>
    <col min="4" max="4" width="11" customWidth="1"/>
    <col min="5" max="10" width="10.140625" customWidth="1"/>
    <col min="11" max="12" width="11.7109375" customWidth="1"/>
    <col min="13" max="13" width="9" customWidth="1"/>
    <col min="14" max="14" width="9" style="68" customWidth="1"/>
    <col min="15" max="15" width="7.7109375" style="68" customWidth="1"/>
    <col min="16" max="16" width="9" style="68" customWidth="1"/>
    <col min="17" max="17" width="8.7109375" style="68" customWidth="1"/>
    <col min="18" max="18" width="9" style="68" customWidth="1"/>
    <col min="19" max="19" width="5.7109375" style="68" customWidth="1"/>
    <col min="20" max="20" width="4.28515625" style="68" customWidth="1"/>
    <col min="21" max="21" width="5.28515625" style="68" customWidth="1"/>
    <col min="24" max="24" width="9.5703125" bestFit="1" customWidth="1"/>
  </cols>
  <sheetData>
    <row r="1" spans="2:26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</row>
    <row r="2" spans="2:26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</row>
    <row r="3" spans="2:26" ht="18.75" x14ac:dyDescent="0.3">
      <c r="B3" s="273"/>
      <c r="C3" s="273"/>
      <c r="D3" s="274" t="s">
        <v>101</v>
      </c>
      <c r="E3" s="274"/>
      <c r="F3" s="274"/>
      <c r="G3" s="274"/>
      <c r="H3" s="39">
        <v>2023</v>
      </c>
      <c r="I3" s="39"/>
      <c r="J3" s="39"/>
    </row>
    <row r="4" spans="2:26" ht="15.75" thickBot="1" x14ac:dyDescent="0.3"/>
    <row r="5" spans="2:26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</row>
    <row r="6" spans="2:26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4</v>
      </c>
      <c r="L6" s="22" t="s">
        <v>7</v>
      </c>
      <c r="M6" s="66" t="s">
        <v>22</v>
      </c>
      <c r="N6" s="76"/>
      <c r="O6" s="77"/>
      <c r="P6" s="77"/>
      <c r="Q6" s="77"/>
      <c r="R6" s="77"/>
      <c r="S6" s="77"/>
      <c r="T6" s="77"/>
      <c r="U6" s="77"/>
    </row>
    <row r="7" spans="2:26" x14ac:dyDescent="0.25">
      <c r="B7" s="15">
        <v>45170</v>
      </c>
      <c r="C7" s="102">
        <v>470000</v>
      </c>
      <c r="D7" s="97">
        <v>0</v>
      </c>
      <c r="E7" s="102">
        <v>5000</v>
      </c>
      <c r="F7" s="97">
        <f>595000+400000</f>
        <v>995000</v>
      </c>
      <c r="G7" s="119">
        <v>0</v>
      </c>
      <c r="H7" s="120">
        <v>310000</v>
      </c>
      <c r="I7" s="119">
        <v>4000</v>
      </c>
      <c r="J7" s="120">
        <v>12200</v>
      </c>
      <c r="K7" s="56">
        <f t="shared" ref="K7:K37" si="0">SUM(C7:J7)</f>
        <v>1796200</v>
      </c>
      <c r="L7" s="52">
        <v>1796200</v>
      </c>
      <c r="M7" s="53">
        <f>L7-K7</f>
        <v>0</v>
      </c>
      <c r="N7" s="123" t="s">
        <v>30</v>
      </c>
      <c r="O7" s="111"/>
      <c r="Q7" s="123" t="s">
        <v>33</v>
      </c>
      <c r="R7" s="106" t="s">
        <v>102</v>
      </c>
      <c r="S7" s="123"/>
      <c r="T7" s="123"/>
      <c r="V7" s="68"/>
      <c r="X7" s="78"/>
      <c r="Y7" s="68" t="s">
        <v>82</v>
      </c>
      <c r="Z7" s="68"/>
    </row>
    <row r="8" spans="2:26" x14ac:dyDescent="0.25">
      <c r="B8" s="15">
        <f t="shared" ref="B8:B37" si="1">B7+1</f>
        <v>45171</v>
      </c>
      <c r="C8" s="121">
        <v>0</v>
      </c>
      <c r="D8" s="97">
        <v>0</v>
      </c>
      <c r="E8" s="102">
        <v>0</v>
      </c>
      <c r="F8" s="97">
        <v>0</v>
      </c>
      <c r="G8" s="121">
        <f>250000+1500</f>
        <v>251500</v>
      </c>
      <c r="H8" s="97">
        <f>3500+1500+10000</f>
        <v>15000</v>
      </c>
      <c r="I8" s="121">
        <f>3600+5200</f>
        <v>8800</v>
      </c>
      <c r="J8" s="97">
        <v>5000</v>
      </c>
      <c r="K8" s="56">
        <f t="shared" si="0"/>
        <v>280300</v>
      </c>
      <c r="L8" s="52">
        <v>280300</v>
      </c>
      <c r="M8" s="53">
        <f t="shared" ref="M8:M37" si="2">L8-K8</f>
        <v>0</v>
      </c>
      <c r="N8" s="123" t="s">
        <v>30</v>
      </c>
      <c r="O8" s="123" t="s">
        <v>78</v>
      </c>
      <c r="P8" s="68" t="s">
        <v>82</v>
      </c>
      <c r="Q8" s="123" t="s">
        <v>33</v>
      </c>
      <c r="R8" s="123" t="s">
        <v>102</v>
      </c>
      <c r="S8" s="123"/>
      <c r="T8" s="123"/>
      <c r="V8" s="68"/>
      <c r="X8" s="78"/>
      <c r="Y8" s="68" t="s">
        <v>78</v>
      </c>
      <c r="Z8" s="68"/>
    </row>
    <row r="9" spans="2:26" x14ac:dyDescent="0.25">
      <c r="B9" s="15">
        <f t="shared" si="1"/>
        <v>45172</v>
      </c>
      <c r="C9" s="102">
        <v>0</v>
      </c>
      <c r="D9" s="122">
        <v>0</v>
      </c>
      <c r="E9" s="102">
        <v>0</v>
      </c>
      <c r="F9" s="97">
        <v>0</v>
      </c>
      <c r="G9" s="102">
        <v>275000</v>
      </c>
      <c r="H9" s="97">
        <v>37500</v>
      </c>
      <c r="I9" s="102">
        <v>0</v>
      </c>
      <c r="J9" s="97">
        <v>0</v>
      </c>
      <c r="K9" s="56">
        <f t="shared" si="0"/>
        <v>312500</v>
      </c>
      <c r="L9" s="51">
        <v>312500</v>
      </c>
      <c r="M9" s="53">
        <f t="shared" si="2"/>
        <v>0</v>
      </c>
      <c r="N9" s="68" t="s">
        <v>39</v>
      </c>
      <c r="O9" s="123"/>
      <c r="P9" s="123"/>
      <c r="Q9" s="123"/>
      <c r="R9" s="123"/>
      <c r="S9" s="123"/>
      <c r="T9" s="123"/>
      <c r="V9" s="67"/>
      <c r="X9" s="78"/>
      <c r="Y9" s="68" t="s">
        <v>39</v>
      </c>
      <c r="Z9" s="68"/>
    </row>
    <row r="10" spans="2:26" x14ac:dyDescent="0.25">
      <c r="B10" s="15">
        <f t="shared" si="1"/>
        <v>45173</v>
      </c>
      <c r="C10" s="121">
        <v>4000</v>
      </c>
      <c r="D10" s="97">
        <v>550000</v>
      </c>
      <c r="E10" s="102">
        <v>0</v>
      </c>
      <c r="F10" s="97">
        <v>0</v>
      </c>
      <c r="G10" s="121">
        <v>3800</v>
      </c>
      <c r="H10" s="97">
        <f>80650+10000+260000+1500</f>
        <v>352150</v>
      </c>
      <c r="I10" s="121">
        <v>0</v>
      </c>
      <c r="J10" s="97">
        <v>0</v>
      </c>
      <c r="K10" s="56">
        <f t="shared" si="0"/>
        <v>909950</v>
      </c>
      <c r="L10" s="52">
        <v>909950</v>
      </c>
      <c r="M10" s="53">
        <f t="shared" si="2"/>
        <v>0</v>
      </c>
      <c r="N10" s="68" t="s">
        <v>78</v>
      </c>
      <c r="O10" s="68" t="s">
        <v>30</v>
      </c>
      <c r="P10" s="68" t="s">
        <v>39</v>
      </c>
      <c r="Q10" s="68" t="s">
        <v>82</v>
      </c>
      <c r="R10" s="123"/>
      <c r="S10" s="123"/>
      <c r="T10" s="123"/>
      <c r="V10" s="67"/>
      <c r="X10" s="78"/>
      <c r="Y10" s="68" t="s">
        <v>30</v>
      </c>
      <c r="Z10" s="68"/>
    </row>
    <row r="11" spans="2:26" x14ac:dyDescent="0.25">
      <c r="B11" s="15">
        <f t="shared" si="1"/>
        <v>45174</v>
      </c>
      <c r="C11" s="102">
        <v>25000</v>
      </c>
      <c r="D11" s="97">
        <v>460000</v>
      </c>
      <c r="E11" s="102">
        <v>0</v>
      </c>
      <c r="F11" s="97">
        <f>400000+100000+150000</f>
        <v>650000</v>
      </c>
      <c r="G11" s="102">
        <v>2000</v>
      </c>
      <c r="H11" s="97">
        <v>500</v>
      </c>
      <c r="I11" s="102">
        <v>0</v>
      </c>
      <c r="J11" s="97">
        <v>0</v>
      </c>
      <c r="K11" s="56">
        <f t="shared" si="0"/>
        <v>1137500</v>
      </c>
      <c r="L11" s="52">
        <v>1137500</v>
      </c>
      <c r="M11" s="53">
        <f t="shared" si="2"/>
        <v>0</v>
      </c>
      <c r="N11" s="109" t="s">
        <v>39</v>
      </c>
      <c r="O11" s="109"/>
      <c r="P11" s="123"/>
      <c r="Q11" s="123"/>
      <c r="R11" s="123"/>
      <c r="S11" s="123"/>
      <c r="T11" s="123"/>
      <c r="V11" s="68"/>
      <c r="X11" s="78"/>
      <c r="Y11" s="67" t="s">
        <v>32</v>
      </c>
      <c r="Z11" s="68"/>
    </row>
    <row r="12" spans="2:26" x14ac:dyDescent="0.25">
      <c r="B12" s="15">
        <f t="shared" si="1"/>
        <v>45175</v>
      </c>
      <c r="C12" s="102">
        <v>0</v>
      </c>
      <c r="D12" s="97">
        <f>470000+150000+4000+2000</f>
        <v>626000</v>
      </c>
      <c r="E12" s="102">
        <v>0</v>
      </c>
      <c r="F12" s="97">
        <f>230000+500000</f>
        <v>730000</v>
      </c>
      <c r="G12" s="102">
        <v>0</v>
      </c>
      <c r="H12" s="97">
        <f>340000+1500+10000</f>
        <v>351500</v>
      </c>
      <c r="I12" s="102">
        <v>0</v>
      </c>
      <c r="J12" s="97">
        <v>6150</v>
      </c>
      <c r="K12" s="56">
        <f t="shared" si="0"/>
        <v>1713650</v>
      </c>
      <c r="L12" s="51">
        <v>1713650</v>
      </c>
      <c r="M12" s="53">
        <f t="shared" si="2"/>
        <v>0</v>
      </c>
      <c r="N12" s="109" t="s">
        <v>30</v>
      </c>
      <c r="O12" s="109"/>
      <c r="P12" s="123"/>
      <c r="Q12" s="123" t="s">
        <v>33</v>
      </c>
      <c r="R12" s="67" t="s">
        <v>87</v>
      </c>
      <c r="S12" s="123"/>
      <c r="T12" s="123"/>
      <c r="V12" s="68"/>
      <c r="X12" s="78"/>
      <c r="Y12" s="68" t="s">
        <v>106</v>
      </c>
      <c r="Z12" s="68"/>
    </row>
    <row r="13" spans="2:26" x14ac:dyDescent="0.25">
      <c r="B13" s="15">
        <f t="shared" si="1"/>
        <v>45176</v>
      </c>
      <c r="C13" s="102">
        <v>0</v>
      </c>
      <c r="D13" s="97">
        <f>960000+830000</f>
        <v>1790000</v>
      </c>
      <c r="E13" s="102">
        <v>60000</v>
      </c>
      <c r="F13" s="97">
        <v>0</v>
      </c>
      <c r="G13" s="102">
        <f>260000+210000</f>
        <v>470000</v>
      </c>
      <c r="H13" s="97">
        <f>50000</f>
        <v>50000</v>
      </c>
      <c r="I13" s="102">
        <v>10000</v>
      </c>
      <c r="J13" s="97">
        <v>6000</v>
      </c>
      <c r="K13" s="56">
        <f t="shared" si="0"/>
        <v>2386000</v>
      </c>
      <c r="L13" s="52">
        <v>2386000</v>
      </c>
      <c r="M13" s="53">
        <f t="shared" si="2"/>
        <v>0</v>
      </c>
      <c r="N13" s="123" t="s">
        <v>30</v>
      </c>
      <c r="O13" s="68" t="s">
        <v>82</v>
      </c>
      <c r="P13" s="127"/>
      <c r="Q13" s="123" t="s">
        <v>33</v>
      </c>
      <c r="R13" s="123"/>
      <c r="S13" s="123"/>
      <c r="T13" s="123"/>
      <c r="V13" s="68"/>
      <c r="Y13" s="68" t="s">
        <v>52</v>
      </c>
      <c r="Z13" s="68"/>
    </row>
    <row r="14" spans="2:26" x14ac:dyDescent="0.25">
      <c r="B14" s="15">
        <f t="shared" si="1"/>
        <v>45177</v>
      </c>
      <c r="C14" s="121">
        <v>650000</v>
      </c>
      <c r="D14" s="97">
        <v>0</v>
      </c>
      <c r="E14" s="102">
        <f>5000*6</f>
        <v>30000</v>
      </c>
      <c r="F14" s="97">
        <f>5000*2</f>
        <v>10000</v>
      </c>
      <c r="G14" s="121">
        <f>265000+15000</f>
        <v>280000</v>
      </c>
      <c r="H14" s="97">
        <f>15000+22000+5000+50400+2000</f>
        <v>94400</v>
      </c>
      <c r="I14" s="121">
        <v>0</v>
      </c>
      <c r="J14" s="97">
        <v>0</v>
      </c>
      <c r="K14" s="56">
        <f t="shared" si="0"/>
        <v>1064400</v>
      </c>
      <c r="L14" s="52">
        <v>1064400</v>
      </c>
      <c r="M14" s="53">
        <f t="shared" si="2"/>
        <v>0</v>
      </c>
      <c r="N14" s="123" t="s">
        <v>78</v>
      </c>
      <c r="O14" s="123" t="s">
        <v>30</v>
      </c>
      <c r="P14" s="68" t="s">
        <v>82</v>
      </c>
      <c r="Q14" s="68" t="s">
        <v>90</v>
      </c>
      <c r="R14" s="123"/>
      <c r="S14" s="123"/>
      <c r="T14" s="123"/>
      <c r="V14" s="68"/>
      <c r="X14" s="68"/>
      <c r="Y14" s="68" t="s">
        <v>90</v>
      </c>
      <c r="Z14" s="68"/>
    </row>
    <row r="15" spans="2:26" x14ac:dyDescent="0.25">
      <c r="B15" s="15">
        <f t="shared" si="1"/>
        <v>45178</v>
      </c>
      <c r="C15" s="102">
        <v>0</v>
      </c>
      <c r="D15" s="97">
        <v>0</v>
      </c>
      <c r="E15" s="102">
        <v>0</v>
      </c>
      <c r="F15" s="97">
        <v>0</v>
      </c>
      <c r="G15" s="102">
        <v>0</v>
      </c>
      <c r="H15" s="97">
        <v>290000</v>
      </c>
      <c r="I15" s="102">
        <v>0</v>
      </c>
      <c r="J15" s="97">
        <f>17100+12700</f>
        <v>29800</v>
      </c>
      <c r="K15" s="56">
        <f t="shared" si="0"/>
        <v>319800</v>
      </c>
      <c r="L15" s="51">
        <v>319800</v>
      </c>
      <c r="M15" s="53">
        <f t="shared" si="2"/>
        <v>0</v>
      </c>
      <c r="N15" s="123" t="s">
        <v>78</v>
      </c>
      <c r="O15" s="127"/>
      <c r="P15" s="123"/>
      <c r="Q15" s="123" t="s">
        <v>33</v>
      </c>
      <c r="R15" s="106" t="s">
        <v>102</v>
      </c>
      <c r="S15" s="128"/>
      <c r="T15" s="128"/>
      <c r="U15" s="80"/>
      <c r="X15" s="80"/>
      <c r="Z15" s="80"/>
    </row>
    <row r="16" spans="2:26" x14ac:dyDescent="0.25">
      <c r="B16" s="15">
        <f t="shared" si="1"/>
        <v>45179</v>
      </c>
      <c r="C16" s="121">
        <v>0</v>
      </c>
      <c r="D16" s="97">
        <v>0</v>
      </c>
      <c r="E16" s="102">
        <v>0</v>
      </c>
      <c r="F16" s="97">
        <v>0</v>
      </c>
      <c r="G16" s="121">
        <v>260000</v>
      </c>
      <c r="H16" s="97">
        <f>302000+270000+1500</f>
        <v>573500</v>
      </c>
      <c r="I16" s="121">
        <v>0</v>
      </c>
      <c r="J16" s="97">
        <v>5200</v>
      </c>
      <c r="K16" s="56">
        <f>SUM(C16:J16)</f>
        <v>838700</v>
      </c>
      <c r="L16" s="52">
        <v>838700</v>
      </c>
      <c r="M16" s="53">
        <f t="shared" si="2"/>
        <v>0</v>
      </c>
      <c r="N16" s="123" t="s">
        <v>30</v>
      </c>
      <c r="O16" s="68" t="s">
        <v>39</v>
      </c>
      <c r="P16" s="68" t="s">
        <v>82</v>
      </c>
      <c r="Q16" s="123" t="s">
        <v>33</v>
      </c>
      <c r="R16" s="128"/>
      <c r="S16" s="128"/>
      <c r="T16" s="128"/>
      <c r="U16" s="80"/>
      <c r="V16" s="65"/>
      <c r="Y16" s="94" t="s">
        <v>34</v>
      </c>
      <c r="Z16" s="80"/>
    </row>
    <row r="17" spans="2:26" x14ac:dyDescent="0.25">
      <c r="B17" s="15">
        <f t="shared" si="1"/>
        <v>45180</v>
      </c>
      <c r="C17" s="102">
        <v>4000</v>
      </c>
      <c r="D17" s="97">
        <f>4000*2</f>
        <v>8000</v>
      </c>
      <c r="E17" s="121">
        <v>0</v>
      </c>
      <c r="F17" s="122">
        <v>0</v>
      </c>
      <c r="G17" s="102">
        <v>260000</v>
      </c>
      <c r="H17" s="122">
        <f>275000+2000</f>
        <v>277000</v>
      </c>
      <c r="I17" s="102">
        <v>0</v>
      </c>
      <c r="J17" s="122">
        <v>10800</v>
      </c>
      <c r="K17" s="56">
        <f t="shared" si="0"/>
        <v>559800</v>
      </c>
      <c r="L17" s="52">
        <v>559800</v>
      </c>
      <c r="M17" s="53">
        <f t="shared" si="2"/>
        <v>0</v>
      </c>
      <c r="N17" s="123" t="s">
        <v>30</v>
      </c>
      <c r="O17" s="68" t="s">
        <v>39</v>
      </c>
      <c r="P17" s="68" t="s">
        <v>90</v>
      </c>
      <c r="Q17" s="123" t="s">
        <v>33</v>
      </c>
      <c r="R17" s="123"/>
      <c r="S17" s="123"/>
      <c r="T17" s="123"/>
      <c r="V17" s="67"/>
      <c r="X17" s="78"/>
      <c r="Y17" s="67"/>
      <c r="Z17" s="68"/>
    </row>
    <row r="18" spans="2:26" x14ac:dyDescent="0.25">
      <c r="B18" s="15">
        <f t="shared" si="1"/>
        <v>45181</v>
      </c>
      <c r="C18" s="121">
        <v>0</v>
      </c>
      <c r="D18" s="97">
        <v>525000</v>
      </c>
      <c r="E18" s="102">
        <v>1000000</v>
      </c>
      <c r="F18" s="97">
        <v>0</v>
      </c>
      <c r="G18" s="121">
        <f>260000</f>
        <v>260000</v>
      </c>
      <c r="H18" s="97">
        <f>20000+2500+1500</f>
        <v>24000</v>
      </c>
      <c r="I18" s="121">
        <v>3900</v>
      </c>
      <c r="J18" s="97">
        <v>20900</v>
      </c>
      <c r="K18" s="56">
        <f t="shared" si="0"/>
        <v>1833800</v>
      </c>
      <c r="L18" s="51">
        <v>1833800</v>
      </c>
      <c r="M18" s="53">
        <f t="shared" si="2"/>
        <v>0</v>
      </c>
      <c r="N18" s="123" t="s">
        <v>30</v>
      </c>
      <c r="O18" s="68" t="s">
        <v>39</v>
      </c>
      <c r="P18" s="68" t="s">
        <v>82</v>
      </c>
      <c r="Q18" s="123" t="s">
        <v>33</v>
      </c>
      <c r="R18" s="78" t="s">
        <v>97</v>
      </c>
      <c r="S18" s="123"/>
      <c r="T18" s="123"/>
      <c r="V18" s="67"/>
      <c r="X18" s="78"/>
      <c r="Y18" s="78" t="s">
        <v>92</v>
      </c>
      <c r="Z18" s="68"/>
    </row>
    <row r="19" spans="2:26" x14ac:dyDescent="0.25">
      <c r="B19" s="15">
        <f t="shared" si="1"/>
        <v>45182</v>
      </c>
      <c r="C19" s="102">
        <v>4000</v>
      </c>
      <c r="D19" s="97">
        <f>4000*3+600000</f>
        <v>612000</v>
      </c>
      <c r="E19" s="102">
        <f>5000+350000</f>
        <v>355000</v>
      </c>
      <c r="F19" s="97">
        <v>590000</v>
      </c>
      <c r="G19" s="102">
        <v>0</v>
      </c>
      <c r="H19" s="97">
        <f>4500+2500+3000</f>
        <v>10000</v>
      </c>
      <c r="I19" s="102">
        <v>0</v>
      </c>
      <c r="J19" s="97">
        <v>28200</v>
      </c>
      <c r="K19" s="56">
        <f t="shared" si="0"/>
        <v>1599200</v>
      </c>
      <c r="L19" s="52">
        <v>1599200</v>
      </c>
      <c r="M19" s="53">
        <f t="shared" si="2"/>
        <v>0</v>
      </c>
      <c r="N19" s="123" t="s">
        <v>30</v>
      </c>
      <c r="O19" s="68" t="s">
        <v>39</v>
      </c>
      <c r="P19" s="67" t="s">
        <v>32</v>
      </c>
      <c r="Q19" s="123" t="s">
        <v>33</v>
      </c>
      <c r="R19" s="123"/>
      <c r="S19" s="123"/>
      <c r="T19" s="123"/>
      <c r="V19" s="67"/>
      <c r="X19" s="78"/>
      <c r="Y19" s="67" t="s">
        <v>49</v>
      </c>
      <c r="Z19" s="68"/>
    </row>
    <row r="20" spans="2:26" x14ac:dyDescent="0.25">
      <c r="B20" s="15">
        <f t="shared" si="1"/>
        <v>45183</v>
      </c>
      <c r="C20" s="102">
        <f>15000+150000</f>
        <v>165000</v>
      </c>
      <c r="D20" s="122">
        <v>500000</v>
      </c>
      <c r="E20" s="102">
        <v>0</v>
      </c>
      <c r="F20" s="97">
        <v>950000</v>
      </c>
      <c r="G20" s="102">
        <v>1500</v>
      </c>
      <c r="H20" s="97">
        <f>290000+1500</f>
        <v>291500</v>
      </c>
      <c r="I20" s="102">
        <v>0</v>
      </c>
      <c r="J20" s="97">
        <v>15060</v>
      </c>
      <c r="K20" s="56">
        <f t="shared" si="0"/>
        <v>1923060</v>
      </c>
      <c r="L20" s="52">
        <v>1923060</v>
      </c>
      <c r="M20" s="53">
        <f t="shared" si="2"/>
        <v>0</v>
      </c>
      <c r="N20" s="123" t="s">
        <v>30</v>
      </c>
      <c r="O20" s="68" t="s">
        <v>82</v>
      </c>
      <c r="P20" s="124"/>
      <c r="Q20" s="123" t="s">
        <v>33</v>
      </c>
      <c r="R20" s="123"/>
      <c r="S20" s="123"/>
      <c r="T20" s="123"/>
      <c r="V20" s="67"/>
      <c r="Y20" s="78" t="s">
        <v>33</v>
      </c>
      <c r="Z20" s="68"/>
    </row>
    <row r="21" spans="2:26" x14ac:dyDescent="0.25">
      <c r="B21" s="15">
        <f>B20+1</f>
        <v>45184</v>
      </c>
      <c r="C21" s="102">
        <v>420000</v>
      </c>
      <c r="D21" s="97">
        <v>0</v>
      </c>
      <c r="E21" s="102">
        <v>0</v>
      </c>
      <c r="F21" s="97">
        <v>0</v>
      </c>
      <c r="G21" s="102">
        <f>2500+196000</f>
        <v>198500</v>
      </c>
      <c r="H21" s="97">
        <v>84000</v>
      </c>
      <c r="I21" s="102">
        <v>0</v>
      </c>
      <c r="J21" s="97">
        <f>64400+6000</f>
        <v>70400</v>
      </c>
      <c r="K21" s="56">
        <f t="shared" si="0"/>
        <v>772900</v>
      </c>
      <c r="L21" s="51">
        <v>772900</v>
      </c>
      <c r="M21" s="53">
        <f t="shared" si="2"/>
        <v>0</v>
      </c>
      <c r="N21" s="67" t="s">
        <v>32</v>
      </c>
      <c r="O21" s="123" t="s">
        <v>39</v>
      </c>
      <c r="P21" s="123"/>
      <c r="Q21" s="123" t="s">
        <v>33</v>
      </c>
      <c r="R21" s="123"/>
      <c r="S21" s="123" t="s">
        <v>103</v>
      </c>
      <c r="T21" s="123"/>
      <c r="X21" s="78"/>
      <c r="Y21" s="78" t="s">
        <v>58</v>
      </c>
      <c r="Z21" s="68"/>
    </row>
    <row r="22" spans="2:26" x14ac:dyDescent="0.25">
      <c r="B22" s="15">
        <f t="shared" si="1"/>
        <v>45185</v>
      </c>
      <c r="C22" s="102">
        <v>0</v>
      </c>
      <c r="D22" s="97">
        <v>0</v>
      </c>
      <c r="E22" s="102">
        <f>5000*2</f>
        <v>10000</v>
      </c>
      <c r="F22" s="97">
        <v>0</v>
      </c>
      <c r="G22" s="102">
        <v>240000</v>
      </c>
      <c r="H22" s="97">
        <f>1500+272500</f>
        <v>274000</v>
      </c>
      <c r="I22" s="102">
        <v>0</v>
      </c>
      <c r="J22" s="97">
        <v>4200</v>
      </c>
      <c r="K22" s="56">
        <f t="shared" si="0"/>
        <v>528200</v>
      </c>
      <c r="L22" s="52">
        <v>528200</v>
      </c>
      <c r="M22" s="53">
        <f t="shared" si="2"/>
        <v>0</v>
      </c>
      <c r="N22" s="127" t="s">
        <v>39</v>
      </c>
      <c r="O22" s="109" t="s">
        <v>82</v>
      </c>
      <c r="P22" s="123"/>
      <c r="Q22" s="131"/>
      <c r="R22" s="67" t="s">
        <v>87</v>
      </c>
      <c r="S22" s="123"/>
      <c r="T22" s="123"/>
      <c r="X22" s="78"/>
      <c r="Y22" s="67" t="s">
        <v>87</v>
      </c>
      <c r="Z22" s="68"/>
    </row>
    <row r="23" spans="2:26" x14ac:dyDescent="0.25">
      <c r="B23" s="15">
        <f t="shared" si="1"/>
        <v>45186</v>
      </c>
      <c r="C23" s="102">
        <v>0</v>
      </c>
      <c r="D23" s="97">
        <v>0</v>
      </c>
      <c r="E23" s="102">
        <v>0</v>
      </c>
      <c r="F23" s="97">
        <v>0</v>
      </c>
      <c r="G23" s="102">
        <v>0</v>
      </c>
      <c r="H23" s="97">
        <v>3000</v>
      </c>
      <c r="I23" s="102">
        <v>0</v>
      </c>
      <c r="J23" s="97">
        <v>0</v>
      </c>
      <c r="K23" s="56">
        <f t="shared" si="0"/>
        <v>3000</v>
      </c>
      <c r="L23" s="52">
        <v>3000</v>
      </c>
      <c r="M23" s="53">
        <f t="shared" si="2"/>
        <v>0</v>
      </c>
      <c r="N23" s="109" t="s">
        <v>82</v>
      </c>
      <c r="O23" s="124"/>
      <c r="P23" s="123" t="s">
        <v>104</v>
      </c>
      <c r="Q23" s="123"/>
      <c r="R23" s="123"/>
      <c r="S23" s="123"/>
      <c r="T23" s="123"/>
      <c r="W23" s="67"/>
      <c r="X23" s="78"/>
      <c r="Y23" s="78" t="s">
        <v>97</v>
      </c>
      <c r="Z23" s="68"/>
    </row>
    <row r="24" spans="2:26" x14ac:dyDescent="0.25">
      <c r="B24" s="15">
        <f t="shared" si="1"/>
        <v>45187</v>
      </c>
      <c r="C24" s="121">
        <v>4000</v>
      </c>
      <c r="D24" s="97">
        <f>470000+420000+4000+2000</f>
        <v>896000</v>
      </c>
      <c r="E24" s="102">
        <v>0</v>
      </c>
      <c r="F24" s="97">
        <v>0</v>
      </c>
      <c r="G24" s="121">
        <v>278500</v>
      </c>
      <c r="H24" s="97">
        <f>1500+260000</f>
        <v>261500</v>
      </c>
      <c r="I24" s="121">
        <v>0</v>
      </c>
      <c r="J24" s="97">
        <f>19100+15000</f>
        <v>34100</v>
      </c>
      <c r="K24" s="56">
        <f t="shared" si="0"/>
        <v>1474100</v>
      </c>
      <c r="L24" s="51">
        <v>1474100</v>
      </c>
      <c r="M24" s="53">
        <f t="shared" si="2"/>
        <v>0</v>
      </c>
      <c r="N24" s="123" t="s">
        <v>78</v>
      </c>
      <c r="O24" s="68" t="s">
        <v>30</v>
      </c>
      <c r="P24" s="68" t="s">
        <v>39</v>
      </c>
      <c r="Q24" s="123" t="s">
        <v>33</v>
      </c>
      <c r="R24" s="123" t="s">
        <v>87</v>
      </c>
      <c r="S24" s="123"/>
      <c r="T24" s="123"/>
      <c r="V24" s="67"/>
      <c r="W24" s="67"/>
      <c r="Y24" s="78"/>
      <c r="Z24" s="68"/>
    </row>
    <row r="25" spans="2:26" x14ac:dyDescent="0.25">
      <c r="B25" s="15">
        <f t="shared" si="1"/>
        <v>45188</v>
      </c>
      <c r="C25" s="102">
        <v>0</v>
      </c>
      <c r="D25" s="97">
        <f>180000+375000+30000</f>
        <v>585000</v>
      </c>
      <c r="E25" s="102">
        <v>150000</v>
      </c>
      <c r="F25" s="97">
        <f>670000+100000+60000+5000</f>
        <v>835000</v>
      </c>
      <c r="G25" s="102">
        <f>300000</f>
        <v>300000</v>
      </c>
      <c r="H25" s="97">
        <f>10000+10000</f>
        <v>20000</v>
      </c>
      <c r="I25" s="102">
        <f>3800+5000</f>
        <v>8800</v>
      </c>
      <c r="J25" s="97">
        <v>5000</v>
      </c>
      <c r="K25" s="56">
        <f t="shared" si="0"/>
        <v>1903800</v>
      </c>
      <c r="L25" s="52">
        <v>1903800</v>
      </c>
      <c r="M25" s="53">
        <f t="shared" si="2"/>
        <v>0</v>
      </c>
      <c r="N25" s="123" t="s">
        <v>30</v>
      </c>
      <c r="O25" s="68" t="s">
        <v>39</v>
      </c>
      <c r="P25" s="123"/>
      <c r="Q25" s="123" t="s">
        <v>33</v>
      </c>
      <c r="R25" s="123" t="s">
        <v>102</v>
      </c>
      <c r="S25" s="123"/>
      <c r="T25" s="123"/>
      <c r="V25" s="67"/>
      <c r="W25" s="67"/>
      <c r="X25" s="78"/>
      <c r="Y25" s="78"/>
      <c r="Z25" s="68"/>
    </row>
    <row r="26" spans="2:26" x14ac:dyDescent="0.25">
      <c r="B26" s="15">
        <f t="shared" si="1"/>
        <v>45189</v>
      </c>
      <c r="C26" s="102">
        <v>4000</v>
      </c>
      <c r="D26" s="97">
        <v>550000</v>
      </c>
      <c r="E26" s="102">
        <v>360000</v>
      </c>
      <c r="F26" s="97">
        <f>380000+360000</f>
        <v>740000</v>
      </c>
      <c r="G26" s="102">
        <v>0</v>
      </c>
      <c r="H26" s="97">
        <f>260000+2500</f>
        <v>262500</v>
      </c>
      <c r="I26" s="102">
        <v>12600</v>
      </c>
      <c r="J26" s="97">
        <v>1950</v>
      </c>
      <c r="K26" s="56">
        <f t="shared" si="0"/>
        <v>1931050</v>
      </c>
      <c r="L26" s="52">
        <v>1931050</v>
      </c>
      <c r="M26" s="53">
        <f t="shared" si="2"/>
        <v>0</v>
      </c>
      <c r="N26" s="123" t="s">
        <v>30</v>
      </c>
      <c r="O26" s="127" t="s">
        <v>39</v>
      </c>
      <c r="P26" s="123"/>
      <c r="Q26" s="123" t="s">
        <v>33</v>
      </c>
      <c r="R26" s="123" t="s">
        <v>87</v>
      </c>
      <c r="S26" s="123"/>
      <c r="T26" s="123"/>
      <c r="W26" s="67"/>
      <c r="X26" s="78"/>
      <c r="Y26" s="78"/>
      <c r="Z26" s="68"/>
    </row>
    <row r="27" spans="2:26" x14ac:dyDescent="0.25">
      <c r="B27" s="15">
        <f t="shared" si="1"/>
        <v>45190</v>
      </c>
      <c r="C27" s="102">
        <v>0</v>
      </c>
      <c r="D27" s="97">
        <v>0</v>
      </c>
      <c r="E27" s="102">
        <v>500000</v>
      </c>
      <c r="F27" s="97">
        <v>530000</v>
      </c>
      <c r="G27" s="102">
        <v>11500</v>
      </c>
      <c r="H27" s="97">
        <f>50000+1500</f>
        <v>51500</v>
      </c>
      <c r="I27" s="102">
        <v>0</v>
      </c>
      <c r="J27" s="97">
        <f>6000+15850</f>
        <v>21850</v>
      </c>
      <c r="K27" s="56">
        <f t="shared" si="0"/>
        <v>1114850</v>
      </c>
      <c r="L27" s="51">
        <v>1114850</v>
      </c>
      <c r="M27" s="53">
        <f t="shared" si="2"/>
        <v>0</v>
      </c>
      <c r="N27" s="123" t="s">
        <v>30</v>
      </c>
      <c r="O27" s="68" t="s">
        <v>82</v>
      </c>
      <c r="P27" s="124"/>
      <c r="Q27" s="123" t="s">
        <v>33</v>
      </c>
      <c r="R27" s="123"/>
      <c r="S27" s="123" t="s">
        <v>105</v>
      </c>
      <c r="T27" s="123"/>
      <c r="W27" s="68"/>
      <c r="X27" s="78"/>
      <c r="Y27" s="68"/>
      <c r="Z27" s="68"/>
    </row>
    <row r="28" spans="2:26" x14ac:dyDescent="0.25">
      <c r="B28" s="15">
        <f t="shared" si="1"/>
        <v>45191</v>
      </c>
      <c r="C28" s="102">
        <v>0</v>
      </c>
      <c r="D28" s="97">
        <f>30000+320000+600000</f>
        <v>950000</v>
      </c>
      <c r="E28" s="102">
        <f>5000*5</f>
        <v>25000</v>
      </c>
      <c r="F28" s="97">
        <f>5000*6</f>
        <v>30000</v>
      </c>
      <c r="G28" s="102">
        <f>200000+2500</f>
        <v>202500</v>
      </c>
      <c r="H28" s="97">
        <f>290000+2500*5</f>
        <v>302500</v>
      </c>
      <c r="I28" s="102">
        <v>0</v>
      </c>
      <c r="J28" s="97">
        <f>4500+13700</f>
        <v>18200</v>
      </c>
      <c r="K28" s="56">
        <f>SUM(C28:J28)</f>
        <v>1528200</v>
      </c>
      <c r="L28" s="52">
        <v>1528200</v>
      </c>
      <c r="M28" s="53">
        <f t="shared" si="2"/>
        <v>0</v>
      </c>
      <c r="N28" s="123" t="s">
        <v>30</v>
      </c>
      <c r="O28" s="127" t="s">
        <v>39</v>
      </c>
      <c r="P28" s="123"/>
      <c r="Q28" s="123" t="s">
        <v>33</v>
      </c>
      <c r="R28" s="123" t="s">
        <v>87</v>
      </c>
      <c r="S28" s="123"/>
      <c r="T28" s="123"/>
      <c r="W28" s="68"/>
      <c r="X28" s="67"/>
      <c r="Y28" s="68"/>
      <c r="Z28" s="68"/>
    </row>
    <row r="29" spans="2:26" x14ac:dyDescent="0.25">
      <c r="B29" s="15">
        <f t="shared" si="1"/>
        <v>45192</v>
      </c>
      <c r="C29" s="102">
        <v>470000</v>
      </c>
      <c r="D29" s="97">
        <v>0</v>
      </c>
      <c r="E29" s="102">
        <v>0</v>
      </c>
      <c r="F29" s="97">
        <v>0</v>
      </c>
      <c r="G29" s="102">
        <f>1500+1500</f>
        <v>3000</v>
      </c>
      <c r="H29" s="97">
        <f>272000+1500+2000</f>
        <v>275500</v>
      </c>
      <c r="I29" s="102">
        <v>0</v>
      </c>
      <c r="J29" s="97">
        <v>9100</v>
      </c>
      <c r="K29" s="56">
        <f>SUM(C29:J29)</f>
        <v>757600</v>
      </c>
      <c r="L29" s="52">
        <v>757600</v>
      </c>
      <c r="M29" s="53">
        <f t="shared" si="2"/>
        <v>0</v>
      </c>
      <c r="N29" s="123" t="s">
        <v>30</v>
      </c>
      <c r="O29" s="68" t="s">
        <v>82</v>
      </c>
      <c r="P29" s="109" t="s">
        <v>90</v>
      </c>
      <c r="Q29" s="123" t="s">
        <v>33</v>
      </c>
      <c r="R29" s="78" t="s">
        <v>97</v>
      </c>
      <c r="S29" s="109"/>
      <c r="W29" s="67"/>
      <c r="X29" s="78"/>
      <c r="Y29" s="78"/>
      <c r="Z29" s="68"/>
    </row>
    <row r="30" spans="2:26" x14ac:dyDescent="0.25">
      <c r="B30" s="15">
        <f t="shared" si="1"/>
        <v>45193</v>
      </c>
      <c r="C30" s="102">
        <v>0</v>
      </c>
      <c r="D30" s="97">
        <v>0</v>
      </c>
      <c r="E30" s="102">
        <v>0</v>
      </c>
      <c r="F30" s="97">
        <v>0</v>
      </c>
      <c r="G30" s="102">
        <v>0</v>
      </c>
      <c r="H30" s="97">
        <v>0</v>
      </c>
      <c r="I30" s="102">
        <v>0</v>
      </c>
      <c r="J30" s="97">
        <v>0</v>
      </c>
      <c r="K30" s="56">
        <f t="shared" si="0"/>
        <v>0</v>
      </c>
      <c r="L30" s="51">
        <v>0</v>
      </c>
      <c r="M30" s="53">
        <f t="shared" si="2"/>
        <v>0</v>
      </c>
      <c r="N30" s="109"/>
      <c r="O30" s="111"/>
      <c r="P30" s="111"/>
      <c r="Q30" s="109"/>
      <c r="R30" s="109"/>
      <c r="S30" s="109"/>
      <c r="W30" s="67"/>
      <c r="X30" s="78"/>
      <c r="Y30" s="78"/>
      <c r="Z30" s="68"/>
    </row>
    <row r="31" spans="2:26" x14ac:dyDescent="0.25">
      <c r="B31" s="15">
        <f t="shared" si="1"/>
        <v>45194</v>
      </c>
      <c r="C31" s="121">
        <v>0</v>
      </c>
      <c r="D31" s="97">
        <f>470000+650000+4000*3</f>
        <v>1132000</v>
      </c>
      <c r="E31" s="102">
        <v>420000</v>
      </c>
      <c r="F31" s="97">
        <f>60000+250000</f>
        <v>310000</v>
      </c>
      <c r="G31" s="121">
        <v>2000</v>
      </c>
      <c r="H31" s="97">
        <f>10000+50000+180000+16000</f>
        <v>256000</v>
      </c>
      <c r="I31" s="121">
        <v>0</v>
      </c>
      <c r="J31" s="97">
        <f>38000+17400</f>
        <v>55400</v>
      </c>
      <c r="K31" s="56">
        <f t="shared" si="0"/>
        <v>2175400</v>
      </c>
      <c r="L31" s="52">
        <f>1675400+650000</f>
        <v>2325400</v>
      </c>
      <c r="M31" s="53">
        <f t="shared" si="2"/>
        <v>150000</v>
      </c>
      <c r="N31" s="68" t="s">
        <v>106</v>
      </c>
      <c r="O31" s="123" t="s">
        <v>78</v>
      </c>
      <c r="P31" s="123" t="s">
        <v>30</v>
      </c>
      <c r="Q31" s="68" t="s">
        <v>82</v>
      </c>
      <c r="R31" s="68" t="s">
        <v>90</v>
      </c>
      <c r="S31" s="123" t="s">
        <v>33</v>
      </c>
      <c r="T31" s="123" t="s">
        <v>87</v>
      </c>
      <c r="W31" s="68" t="s">
        <v>108</v>
      </c>
      <c r="X31" s="78"/>
      <c r="Y31" s="78"/>
      <c r="Z31" s="67"/>
    </row>
    <row r="32" spans="2:26" x14ac:dyDescent="0.25">
      <c r="B32" s="15">
        <f t="shared" si="1"/>
        <v>45195</v>
      </c>
      <c r="C32" s="102">
        <v>0</v>
      </c>
      <c r="D32" s="97">
        <v>0</v>
      </c>
      <c r="E32" s="102">
        <v>0</v>
      </c>
      <c r="F32" s="97">
        <v>0</v>
      </c>
      <c r="G32" s="102">
        <v>6500</v>
      </c>
      <c r="H32" s="97">
        <f>270000+445000</f>
        <v>715000</v>
      </c>
      <c r="I32" s="102">
        <f>6750+3900</f>
        <v>10650</v>
      </c>
      <c r="J32" s="97">
        <v>0</v>
      </c>
      <c r="K32" s="56">
        <f t="shared" si="0"/>
        <v>732150</v>
      </c>
      <c r="L32" s="52">
        <v>732150</v>
      </c>
      <c r="M32" s="53">
        <f t="shared" si="2"/>
        <v>0</v>
      </c>
      <c r="N32" s="123" t="s">
        <v>78</v>
      </c>
      <c r="O32" s="68" t="s">
        <v>30</v>
      </c>
      <c r="P32" s="68" t="s">
        <v>39</v>
      </c>
      <c r="Q32" s="123" t="s">
        <v>33</v>
      </c>
      <c r="R32" s="78" t="s">
        <v>97</v>
      </c>
      <c r="S32" s="109"/>
      <c r="W32" s="68"/>
      <c r="X32" s="67"/>
      <c r="Y32" s="78"/>
      <c r="Z32" s="68"/>
    </row>
    <row r="33" spans="1:26" x14ac:dyDescent="0.25">
      <c r="B33" s="15">
        <f t="shared" si="1"/>
        <v>45196</v>
      </c>
      <c r="C33" s="102">
        <v>5000</v>
      </c>
      <c r="D33" s="97">
        <v>90000</v>
      </c>
      <c r="E33" s="102">
        <v>0</v>
      </c>
      <c r="F33" s="97">
        <v>520000</v>
      </c>
      <c r="G33" s="102">
        <v>0</v>
      </c>
      <c r="H33" s="97">
        <v>0</v>
      </c>
      <c r="I33" s="102">
        <v>2000</v>
      </c>
      <c r="J33" s="97">
        <f>41000+27910+3900+3800</f>
        <v>76610</v>
      </c>
      <c r="K33" s="56">
        <f t="shared" si="0"/>
        <v>693610</v>
      </c>
      <c r="L33" s="51">
        <v>693610</v>
      </c>
      <c r="M33" s="53">
        <f t="shared" si="2"/>
        <v>0</v>
      </c>
      <c r="N33" s="109"/>
      <c r="O33" s="111"/>
      <c r="P33" s="106" t="s">
        <v>102</v>
      </c>
      <c r="Q33" s="123" t="s">
        <v>33</v>
      </c>
      <c r="R33" s="123" t="s">
        <v>87</v>
      </c>
      <c r="S33" s="123" t="s">
        <v>107</v>
      </c>
      <c r="W33" s="68"/>
      <c r="X33" s="78"/>
      <c r="Y33" s="78"/>
      <c r="Z33" s="68"/>
    </row>
    <row r="34" spans="1:26" x14ac:dyDescent="0.25">
      <c r="B34" s="15">
        <f t="shared" si="1"/>
        <v>45197</v>
      </c>
      <c r="C34" s="102">
        <v>0</v>
      </c>
      <c r="D34" s="97">
        <v>970000</v>
      </c>
      <c r="E34" s="102">
        <v>65000</v>
      </c>
      <c r="F34" s="97">
        <v>590000</v>
      </c>
      <c r="G34" s="102">
        <v>0</v>
      </c>
      <c r="H34" s="97">
        <v>302400</v>
      </c>
      <c r="I34" s="102">
        <v>0</v>
      </c>
      <c r="J34" s="97">
        <v>54900</v>
      </c>
      <c r="K34" s="56">
        <f t="shared" si="0"/>
        <v>1982300</v>
      </c>
      <c r="L34" s="52">
        <f>1983800-1500</f>
        <v>1982300</v>
      </c>
      <c r="M34" s="53">
        <f t="shared" si="2"/>
        <v>0</v>
      </c>
      <c r="N34" s="123"/>
      <c r="O34" s="111"/>
      <c r="P34" s="109"/>
      <c r="Q34" s="109"/>
      <c r="R34" s="109"/>
      <c r="S34" s="109"/>
      <c r="W34" s="68" t="s">
        <v>109</v>
      </c>
      <c r="X34" s="78"/>
      <c r="Y34" s="78"/>
      <c r="Z34" s="68"/>
    </row>
    <row r="35" spans="1:26" x14ac:dyDescent="0.25">
      <c r="B35" s="15">
        <f t="shared" si="1"/>
        <v>45198</v>
      </c>
      <c r="C35" s="102">
        <v>705000</v>
      </c>
      <c r="D35" s="97">
        <v>215000</v>
      </c>
      <c r="E35" s="102">
        <v>0</v>
      </c>
      <c r="F35" s="97">
        <f>5000*6</f>
        <v>30000</v>
      </c>
      <c r="G35" s="102">
        <v>0</v>
      </c>
      <c r="H35" s="97">
        <v>280000</v>
      </c>
      <c r="I35" s="102">
        <v>5000</v>
      </c>
      <c r="J35" s="97">
        <f>9300+8700+1800+8150+3800+3900+12650+1950+65000</f>
        <v>115250</v>
      </c>
      <c r="K35" s="56">
        <f t="shared" si="0"/>
        <v>1350250</v>
      </c>
      <c r="L35" s="54">
        <v>1350250</v>
      </c>
      <c r="M35" s="55">
        <f t="shared" si="2"/>
        <v>0</v>
      </c>
      <c r="N35" s="109" t="s">
        <v>78</v>
      </c>
      <c r="O35" s="78" t="s">
        <v>97</v>
      </c>
      <c r="P35" s="106" t="s">
        <v>102</v>
      </c>
      <c r="Q35" s="123" t="s">
        <v>33</v>
      </c>
      <c r="R35" s="123" t="s">
        <v>87</v>
      </c>
      <c r="S35" s="123" t="s">
        <v>110</v>
      </c>
      <c r="W35" s="68"/>
      <c r="X35" s="78"/>
      <c r="Y35" s="78"/>
      <c r="Z35" s="68"/>
    </row>
    <row r="36" spans="1:26" x14ac:dyDescent="0.25">
      <c r="B36" s="15">
        <f t="shared" si="1"/>
        <v>45199</v>
      </c>
      <c r="C36" s="102">
        <v>0</v>
      </c>
      <c r="D36" s="97">
        <v>40000</v>
      </c>
      <c r="E36" s="102">
        <v>0</v>
      </c>
      <c r="F36" s="97">
        <v>150000</v>
      </c>
      <c r="G36" s="102">
        <v>0</v>
      </c>
      <c r="H36" s="97">
        <f>280000+310000+220000</f>
        <v>810000</v>
      </c>
      <c r="I36" s="102">
        <v>18500</v>
      </c>
      <c r="J36" s="97">
        <v>19000</v>
      </c>
      <c r="K36" s="56">
        <f t="shared" si="0"/>
        <v>1037500</v>
      </c>
      <c r="L36" s="54">
        <v>1049000</v>
      </c>
      <c r="M36" s="55">
        <f t="shared" si="2"/>
        <v>11500</v>
      </c>
      <c r="N36" s="68" t="s">
        <v>39</v>
      </c>
      <c r="O36" s="123" t="s">
        <v>78</v>
      </c>
      <c r="P36" s="68" t="s">
        <v>82</v>
      </c>
      <c r="R36" s="123" t="s">
        <v>102</v>
      </c>
      <c r="S36" s="109"/>
      <c r="W36" s="68" t="s">
        <v>111</v>
      </c>
      <c r="Z36" s="68"/>
    </row>
    <row r="37" spans="1:26" x14ac:dyDescent="0.25">
      <c r="B37" s="15">
        <f t="shared" si="1"/>
        <v>45200</v>
      </c>
      <c r="C37" s="102"/>
      <c r="D37" s="97"/>
      <c r="E37" s="102"/>
      <c r="F37" s="97"/>
      <c r="G37" s="102"/>
      <c r="H37" s="97"/>
      <c r="I37" s="102"/>
      <c r="J37" s="97"/>
      <c r="K37" s="56">
        <f t="shared" si="0"/>
        <v>0</v>
      </c>
      <c r="L37" s="54"/>
      <c r="M37" s="55">
        <f t="shared" si="2"/>
        <v>0</v>
      </c>
      <c r="N37" s="109"/>
      <c r="O37" s="131"/>
      <c r="P37" s="109"/>
      <c r="Q37" s="109"/>
      <c r="R37" s="109"/>
      <c r="S37" s="109"/>
    </row>
    <row r="38" spans="1:26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16"/>
      <c r="L38" s="40"/>
      <c r="M38" s="35"/>
      <c r="N38" s="106"/>
      <c r="O38" s="111"/>
      <c r="P38" s="111"/>
      <c r="Q38" s="109"/>
    </row>
    <row r="39" spans="1:26" ht="15.75" x14ac:dyDescent="0.25">
      <c r="B39" s="23" t="s">
        <v>3</v>
      </c>
      <c r="C39" s="24">
        <f>SUM(C7:C38)</f>
        <v>2930000</v>
      </c>
      <c r="D39" s="25">
        <f>SUM(D7:D38)</f>
        <v>10499000</v>
      </c>
      <c r="E39" s="24">
        <f t="shared" ref="E39:J39" si="3">SUM(E7:E38)</f>
        <v>2980000</v>
      </c>
      <c r="F39" s="59">
        <f t="shared" si="3"/>
        <v>7660000</v>
      </c>
      <c r="G39" s="24">
        <f t="shared" si="3"/>
        <v>3306300</v>
      </c>
      <c r="H39" s="25">
        <f t="shared" si="3"/>
        <v>6574950</v>
      </c>
      <c r="I39" s="24">
        <f t="shared" si="3"/>
        <v>84250</v>
      </c>
      <c r="J39" s="25">
        <f t="shared" si="3"/>
        <v>625270</v>
      </c>
      <c r="K39" s="28">
        <f>SUM(K7:K38)</f>
        <v>34659770</v>
      </c>
      <c r="L39" s="27">
        <f>SUM(L7:L38)</f>
        <v>34821270</v>
      </c>
      <c r="M39" s="26">
        <f>L39-K39</f>
        <v>161500</v>
      </c>
      <c r="N39" s="67"/>
      <c r="O39" s="78"/>
      <c r="P39" s="78"/>
    </row>
    <row r="40" spans="1:26" ht="15.75" thickBot="1" x14ac:dyDescent="0.3">
      <c r="B40" s="30" t="s">
        <v>11</v>
      </c>
      <c r="C40" s="267">
        <f>SUM(C39:D39)</f>
        <v>13429000</v>
      </c>
      <c r="D40" s="268"/>
      <c r="E40" s="267">
        <f>SUM(E39:F39)</f>
        <v>10640000</v>
      </c>
      <c r="F40" s="269"/>
      <c r="G40" s="267">
        <f>SUM(G39:H39)</f>
        <v>9881250</v>
      </c>
      <c r="H40" s="268"/>
      <c r="I40" s="267">
        <f>SUM(I39:J39)</f>
        <v>709520</v>
      </c>
      <c r="J40" s="268"/>
      <c r="K40" s="29"/>
      <c r="L40" s="16"/>
      <c r="M40" s="17"/>
      <c r="N40" s="67"/>
    </row>
    <row r="41" spans="1:26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5"/>
      <c r="L41" s="5"/>
      <c r="M41" s="5"/>
      <c r="N41" s="67"/>
    </row>
    <row r="42" spans="1:26" s="12" customFormat="1" ht="18.75" x14ac:dyDescent="0.3">
      <c r="B42" s="11" t="s">
        <v>10</v>
      </c>
      <c r="N42" s="82"/>
      <c r="O42" s="82"/>
      <c r="P42" s="82"/>
      <c r="Q42" s="82"/>
      <c r="R42" s="82"/>
      <c r="S42" s="82"/>
      <c r="T42" s="82"/>
      <c r="U42" s="82"/>
    </row>
    <row r="43" spans="1:26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</row>
    <row r="44" spans="1:26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4</v>
      </c>
      <c r="L44" s="7" t="s">
        <v>7</v>
      </c>
      <c r="M44" s="7" t="s">
        <v>5</v>
      </c>
      <c r="N44" s="83" t="s">
        <v>9</v>
      </c>
      <c r="O44" s="84"/>
      <c r="P44" s="84"/>
      <c r="Q44" s="84"/>
      <c r="R44" s="84"/>
      <c r="S44" s="84"/>
      <c r="T44" s="84"/>
      <c r="U44" s="84"/>
    </row>
    <row r="45" spans="1:26" x14ac:dyDescent="0.25">
      <c r="A45" t="s">
        <v>15</v>
      </c>
      <c r="B45" s="2">
        <v>45169</v>
      </c>
      <c r="C45" s="3">
        <v>0</v>
      </c>
      <c r="D45" s="14">
        <v>930000</v>
      </c>
      <c r="E45" s="3">
        <v>0</v>
      </c>
      <c r="F45" s="14">
        <v>1035000</v>
      </c>
      <c r="G45" s="3">
        <v>0</v>
      </c>
      <c r="H45" s="14">
        <v>0</v>
      </c>
      <c r="I45" s="3">
        <v>0</v>
      </c>
      <c r="J45" s="14">
        <v>20800</v>
      </c>
      <c r="K45" s="3">
        <f>SUM(C45:J45)</f>
        <v>1985800</v>
      </c>
      <c r="L45" s="3">
        <v>1985800</v>
      </c>
      <c r="M45" s="3">
        <f>L45-K45</f>
        <v>0</v>
      </c>
      <c r="N45" s="85">
        <v>45170</v>
      </c>
    </row>
    <row r="46" spans="1:26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3">
        <f>SUM(C46:J46)</f>
        <v>0</v>
      </c>
      <c r="L46" s="3"/>
      <c r="M46" s="3">
        <f>L46-K46</f>
        <v>0</v>
      </c>
      <c r="N46" s="85"/>
    </row>
    <row r="47" spans="1:26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3">
        <f>SUM(C47:J47)</f>
        <v>0</v>
      </c>
      <c r="L47" s="3"/>
      <c r="M47" s="3">
        <f>L47-K47</f>
        <v>0</v>
      </c>
      <c r="N47" s="85"/>
    </row>
    <row r="48" spans="1:26" x14ac:dyDescent="0.25">
      <c r="A48" t="s">
        <v>16</v>
      </c>
      <c r="B48" s="2">
        <v>45199</v>
      </c>
      <c r="C48" s="3">
        <v>0</v>
      </c>
      <c r="D48" s="14">
        <v>40000</v>
      </c>
      <c r="E48" s="3">
        <v>0</v>
      </c>
      <c r="F48" s="14">
        <v>150000</v>
      </c>
      <c r="G48" s="3">
        <v>0</v>
      </c>
      <c r="H48" s="14">
        <v>810000</v>
      </c>
      <c r="I48" s="3">
        <v>0</v>
      </c>
      <c r="J48" s="14">
        <v>19000</v>
      </c>
      <c r="K48" s="3">
        <f>SUM(C48:J48)</f>
        <v>1019000</v>
      </c>
      <c r="L48" s="3">
        <v>1019000</v>
      </c>
      <c r="M48" s="3">
        <f>L48-K48</f>
        <v>0</v>
      </c>
      <c r="N48" s="85">
        <v>45200</v>
      </c>
    </row>
    <row r="49" spans="2:24" x14ac:dyDescent="0.25">
      <c r="H49" s="14"/>
      <c r="J49" s="14"/>
    </row>
    <row r="50" spans="2:24" x14ac:dyDescent="0.25">
      <c r="B50" s="261" t="s">
        <v>5</v>
      </c>
      <c r="C50" s="261"/>
      <c r="D50" s="6">
        <f>D45+D46-D47-D48</f>
        <v>890000</v>
      </c>
      <c r="E50" s="262">
        <f>F45+F46-F47-F48</f>
        <v>885000</v>
      </c>
      <c r="F50" s="263"/>
      <c r="G50" s="262">
        <f>H45+H46-H47-H48</f>
        <v>-810000</v>
      </c>
      <c r="H50" s="263"/>
      <c r="I50" s="262">
        <f>J45+J46-J47-J48</f>
        <v>1800</v>
      </c>
      <c r="J50" s="263"/>
    </row>
    <row r="51" spans="2:24" x14ac:dyDescent="0.25">
      <c r="B51" s="264" t="s">
        <v>12</v>
      </c>
      <c r="C51" s="264"/>
      <c r="D51" s="31">
        <f>D39+D50</f>
        <v>11389000</v>
      </c>
      <c r="E51" s="265">
        <f>F39+E50</f>
        <v>8545000</v>
      </c>
      <c r="F51" s="266"/>
      <c r="G51" s="265">
        <f>H39+G50</f>
        <v>5764950</v>
      </c>
      <c r="H51" s="266"/>
      <c r="I51" s="265">
        <f>J39+I50</f>
        <v>627070</v>
      </c>
      <c r="J51" s="266"/>
    </row>
    <row r="52" spans="2:24" s="42" customFormat="1" x14ac:dyDescent="0.25">
      <c r="B52" s="257" t="s">
        <v>17</v>
      </c>
      <c r="C52" s="257"/>
      <c r="D52" s="258">
        <f>SUM(D51:J51)</f>
        <v>26326020</v>
      </c>
      <c r="E52" s="258"/>
      <c r="F52" s="258"/>
      <c r="G52" s="258"/>
      <c r="H52" s="258"/>
      <c r="I52" s="129"/>
      <c r="J52" s="129"/>
      <c r="N52" s="86"/>
      <c r="O52" s="86"/>
      <c r="P52" s="86"/>
      <c r="Q52" s="86"/>
      <c r="R52" s="86"/>
      <c r="S52" s="86"/>
      <c r="T52" s="86"/>
      <c r="U52" s="86"/>
    </row>
    <row r="53" spans="2:24" x14ac:dyDescent="0.25">
      <c r="W53" s="4"/>
    </row>
    <row r="54" spans="2:24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3" t="s">
        <v>24</v>
      </c>
      <c r="L54" s="64">
        <f>D51*0.0155</f>
        <v>176529.5</v>
      </c>
      <c r="N54" s="87">
        <v>1.55E-2</v>
      </c>
      <c r="P54" s="68" t="s">
        <v>98</v>
      </c>
      <c r="W54" s="4"/>
    </row>
    <row r="55" spans="2:24" x14ac:dyDescent="0.25">
      <c r="B55" s="72" t="s">
        <v>13</v>
      </c>
      <c r="C55" s="34">
        <f>C39+G39+E39+I39</f>
        <v>9300550</v>
      </c>
      <c r="D55" s="34">
        <f>D39+H39+F39+J39</f>
        <v>25359220</v>
      </c>
      <c r="E55" s="58"/>
      <c r="F55" s="58"/>
      <c r="K55" s="63" t="s">
        <v>25</v>
      </c>
      <c r="L55" s="64">
        <f>E51*0.0155</f>
        <v>132447.5</v>
      </c>
      <c r="N55" s="88"/>
      <c r="P55" s="68" t="s">
        <v>99</v>
      </c>
      <c r="Q55" s="78">
        <v>77500</v>
      </c>
      <c r="X55" s="71"/>
    </row>
    <row r="56" spans="2:24" x14ac:dyDescent="0.25">
      <c r="C56" s="259">
        <f>SUM(C55:D55)</f>
        <v>34659770</v>
      </c>
      <c r="D56" s="260"/>
      <c r="E56" s="57"/>
      <c r="F56" s="57"/>
      <c r="K56" s="63" t="s">
        <v>28</v>
      </c>
      <c r="L56" s="64">
        <f>G51*0.0155+Q56</f>
        <v>89937.975000000006</v>
      </c>
      <c r="P56" s="87">
        <v>7.4999999999999997E-3</v>
      </c>
      <c r="Q56" s="130">
        <f>Q55*0.0075</f>
        <v>581.25</v>
      </c>
      <c r="R56" s="280" t="s">
        <v>100</v>
      </c>
      <c r="S56" s="280"/>
      <c r="W56" s="4"/>
    </row>
    <row r="57" spans="2:24" x14ac:dyDescent="0.25">
      <c r="C57" s="58"/>
      <c r="D57" s="57"/>
      <c r="E57" s="57"/>
      <c r="F57" s="57"/>
      <c r="K57" s="63" t="s">
        <v>29</v>
      </c>
      <c r="L57" s="64">
        <f>I51*0.0155+P57</f>
        <v>14059.645</v>
      </c>
      <c r="P57" s="68">
        <v>4340.0600000000004</v>
      </c>
      <c r="Q57" s="68" t="s">
        <v>112</v>
      </c>
      <c r="W57" s="4"/>
    </row>
    <row r="58" spans="2:24" x14ac:dyDescent="0.25">
      <c r="J58" t="s">
        <v>3</v>
      </c>
      <c r="L58" s="64">
        <f>SUM(L54:L57)</f>
        <v>412974.62</v>
      </c>
      <c r="W58" s="4"/>
    </row>
    <row r="59" spans="2:24" x14ac:dyDescent="0.25">
      <c r="B59" s="1" t="s">
        <v>19</v>
      </c>
      <c r="C59" s="259">
        <f>C39+D52+E39+G39+I39</f>
        <v>35626570</v>
      </c>
      <c r="D59" s="260"/>
      <c r="E59" s="57"/>
      <c r="F59" s="57"/>
    </row>
    <row r="60" spans="2:24" x14ac:dyDescent="0.25">
      <c r="B60" s="1" t="s">
        <v>20</v>
      </c>
    </row>
    <row r="61" spans="2:24" x14ac:dyDescent="0.25">
      <c r="K61" s="68"/>
    </row>
  </sheetData>
  <mergeCells count="28">
    <mergeCell ref="B2:K2"/>
    <mergeCell ref="B3:C3"/>
    <mergeCell ref="D3:G3"/>
    <mergeCell ref="C5:D5"/>
    <mergeCell ref="E5:F5"/>
    <mergeCell ref="G5:H5"/>
    <mergeCell ref="I5:J5"/>
    <mergeCell ref="C40:D40"/>
    <mergeCell ref="E40:F40"/>
    <mergeCell ref="G40:H40"/>
    <mergeCell ref="I40:J40"/>
    <mergeCell ref="C43:D43"/>
    <mergeCell ref="E43:F43"/>
    <mergeCell ref="G43:H43"/>
    <mergeCell ref="I43:J43"/>
    <mergeCell ref="B50:C50"/>
    <mergeCell ref="E50:F50"/>
    <mergeCell ref="G50:H50"/>
    <mergeCell ref="I50:J50"/>
    <mergeCell ref="B51:C51"/>
    <mergeCell ref="E51:F51"/>
    <mergeCell ref="G51:H51"/>
    <mergeCell ref="I51:J51"/>
    <mergeCell ref="B52:C52"/>
    <mergeCell ref="D52:H52"/>
    <mergeCell ref="C56:D56"/>
    <mergeCell ref="R56:S56"/>
    <mergeCell ref="C59:D59"/>
  </mergeCells>
  <pageMargins left="0.11811023622047245" right="0" top="0.15748031496062992" bottom="0.15748031496062992" header="0.31496062992125984" footer="0"/>
  <pageSetup paperSize="9" scale="5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72"/>
  <sheetViews>
    <sheetView topLeftCell="C26" workbookViewId="0">
      <selection activeCell="F48" sqref="F4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140625" customWidth="1"/>
    <col min="7" max="7" width="13.5703125" customWidth="1"/>
    <col min="8" max="8" width="13.140625" customWidth="1"/>
    <col min="9" max="10" width="10.140625" customWidth="1"/>
    <col min="11" max="12" width="11" customWidth="1"/>
    <col min="13" max="13" width="12" customWidth="1"/>
    <col min="14" max="14" width="11.7109375" customWidth="1"/>
    <col min="15" max="15" width="9" customWidth="1"/>
    <col min="16" max="16" width="9" style="68" customWidth="1"/>
    <col min="17" max="17" width="7.7109375" style="68" customWidth="1"/>
    <col min="18" max="18" width="9" style="68" customWidth="1"/>
    <col min="19" max="19" width="9.140625" style="68" customWidth="1"/>
    <col min="20" max="21" width="8.7109375" style="68" customWidth="1"/>
    <col min="22" max="22" width="10.28515625" style="68" customWidth="1"/>
    <col min="23" max="23" width="8.28515625" style="68" customWidth="1"/>
    <col min="26" max="26" width="9.5703125" bestFit="1" customWidth="1"/>
    <col min="27" max="27" width="13.28515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41</v>
      </c>
      <c r="E3" s="274"/>
      <c r="F3" s="274"/>
      <c r="G3" s="274"/>
      <c r="H3" s="39">
        <v>2023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22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45200</v>
      </c>
      <c r="C7" s="102">
        <v>0</v>
      </c>
      <c r="D7" s="97">
        <v>0</v>
      </c>
      <c r="E7" s="102">
        <v>0</v>
      </c>
      <c r="F7" s="97">
        <v>0</v>
      </c>
      <c r="G7" s="119">
        <v>0</v>
      </c>
      <c r="H7" s="120">
        <v>301500</v>
      </c>
      <c r="I7" s="119">
        <v>0</v>
      </c>
      <c r="J7" s="120">
        <v>0</v>
      </c>
      <c r="K7" s="119">
        <v>0</v>
      </c>
      <c r="L7" s="120">
        <v>0</v>
      </c>
      <c r="M7" s="56">
        <f>SUM(C7:L7)</f>
        <v>301500</v>
      </c>
      <c r="N7" s="52">
        <v>301500</v>
      </c>
      <c r="O7" s="53">
        <f>N7-M7</f>
        <v>0</v>
      </c>
      <c r="P7" s="68" t="s">
        <v>39</v>
      </c>
      <c r="Q7" s="68" t="s">
        <v>82</v>
      </c>
      <c r="R7" s="123" t="s">
        <v>30</v>
      </c>
      <c r="S7" s="123"/>
      <c r="T7" s="106"/>
      <c r="U7" s="123"/>
      <c r="V7" s="123"/>
      <c r="X7" s="68"/>
      <c r="Z7" s="78"/>
      <c r="AB7" s="68" t="s">
        <v>82</v>
      </c>
    </row>
    <row r="8" spans="2:28" x14ac:dyDescent="0.25">
      <c r="B8" s="15">
        <f t="shared" ref="B8:B37" si="0">B7+1</f>
        <v>45201</v>
      </c>
      <c r="C8" s="121">
        <v>4000</v>
      </c>
      <c r="D8" s="97">
        <v>4000</v>
      </c>
      <c r="E8" s="102">
        <v>0</v>
      </c>
      <c r="F8" s="97">
        <v>0</v>
      </c>
      <c r="G8" s="121">
        <v>280000</v>
      </c>
      <c r="H8" s="97">
        <v>11500</v>
      </c>
      <c r="I8" s="121">
        <v>0</v>
      </c>
      <c r="J8" s="97">
        <v>4200</v>
      </c>
      <c r="K8" s="121">
        <v>0</v>
      </c>
      <c r="L8" s="97">
        <v>0</v>
      </c>
      <c r="M8" s="56">
        <f>SUM(C8:L8)</f>
        <v>303700</v>
      </c>
      <c r="N8" s="52">
        <v>303700</v>
      </c>
      <c r="O8" s="53">
        <f t="shared" ref="O8:O37" si="1">N8-M8</f>
        <v>0</v>
      </c>
      <c r="P8" s="123" t="s">
        <v>39</v>
      </c>
      <c r="Q8" s="67" t="s">
        <v>32</v>
      </c>
      <c r="S8" s="123"/>
      <c r="T8" s="123" t="s">
        <v>87</v>
      </c>
      <c r="U8" s="123"/>
      <c r="V8" s="123"/>
      <c r="X8" s="68"/>
      <c r="Z8" s="78"/>
      <c r="AB8" s="68" t="s">
        <v>78</v>
      </c>
    </row>
    <row r="9" spans="2:28" x14ac:dyDescent="0.25">
      <c r="B9" s="15">
        <f t="shared" si="0"/>
        <v>45202</v>
      </c>
      <c r="C9" s="102">
        <v>0</v>
      </c>
      <c r="D9" s="122">
        <v>470000</v>
      </c>
      <c r="E9" s="102">
        <v>0</v>
      </c>
      <c r="F9" s="97">
        <v>200000</v>
      </c>
      <c r="G9" s="102">
        <v>300000</v>
      </c>
      <c r="H9" s="97">
        <v>12500</v>
      </c>
      <c r="I9" s="102">
        <v>7600</v>
      </c>
      <c r="J9" s="97">
        <v>3900</v>
      </c>
      <c r="K9" s="102">
        <v>0</v>
      </c>
      <c r="L9" s="97">
        <v>60000</v>
      </c>
      <c r="M9" s="56">
        <f>SUM(C9:L9)</f>
        <v>1054000</v>
      </c>
      <c r="N9" s="51">
        <v>1434000</v>
      </c>
      <c r="O9" s="53">
        <f>N9-M9</f>
        <v>380000</v>
      </c>
      <c r="P9" s="123" t="s">
        <v>30</v>
      </c>
      <c r="Q9" s="68" t="s">
        <v>39</v>
      </c>
      <c r="R9" s="123"/>
      <c r="S9" s="123"/>
      <c r="T9" s="123" t="s">
        <v>102</v>
      </c>
      <c r="U9" s="78" t="s">
        <v>97</v>
      </c>
      <c r="V9" s="123"/>
      <c r="W9" s="68">
        <v>380000</v>
      </c>
      <c r="X9" s="67" t="s">
        <v>113</v>
      </c>
      <c r="Z9" s="78"/>
      <c r="AB9" s="68" t="s">
        <v>39</v>
      </c>
    </row>
    <row r="10" spans="2:28" x14ac:dyDescent="0.25">
      <c r="B10" s="15">
        <f t="shared" si="0"/>
        <v>45203</v>
      </c>
      <c r="C10" s="121">
        <v>0</v>
      </c>
      <c r="D10" s="97">
        <v>477500</v>
      </c>
      <c r="E10" s="102">
        <v>0</v>
      </c>
      <c r="F10" s="97">
        <v>565000</v>
      </c>
      <c r="G10" s="121">
        <v>1500</v>
      </c>
      <c r="H10" s="97">
        <v>270000</v>
      </c>
      <c r="I10" s="121">
        <v>37850</v>
      </c>
      <c r="J10" s="97">
        <v>0</v>
      </c>
      <c r="K10" s="121">
        <v>12000</v>
      </c>
      <c r="L10" s="97">
        <v>54750</v>
      </c>
      <c r="M10" s="56">
        <f>SUM(C10:L10)</f>
        <v>1418600</v>
      </c>
      <c r="N10" s="52">
        <v>1419600</v>
      </c>
      <c r="O10" s="53">
        <f t="shared" si="1"/>
        <v>1000</v>
      </c>
      <c r="T10" s="123"/>
      <c r="U10" s="123"/>
      <c r="V10" s="123"/>
      <c r="W10" s="68">
        <v>1000</v>
      </c>
      <c r="X10" s="67" t="s">
        <v>114</v>
      </c>
      <c r="Z10" s="78"/>
      <c r="AB10" s="68" t="s">
        <v>30</v>
      </c>
    </row>
    <row r="11" spans="2:28" x14ac:dyDescent="0.25">
      <c r="B11" s="15">
        <f t="shared" si="0"/>
        <v>45204</v>
      </c>
      <c r="C11" s="102">
        <v>0</v>
      </c>
      <c r="D11" s="97">
        <v>4000</v>
      </c>
      <c r="E11" s="102">
        <v>1249000</v>
      </c>
      <c r="F11" s="97">
        <v>0</v>
      </c>
      <c r="G11" s="102">
        <v>0</v>
      </c>
      <c r="H11" s="97">
        <f>310000+2500+10000+2000</f>
        <v>324500</v>
      </c>
      <c r="I11" s="102">
        <v>0</v>
      </c>
      <c r="J11" s="97">
        <f>17700+5000+3900</f>
        <v>26600</v>
      </c>
      <c r="K11" s="102">
        <v>40000</v>
      </c>
      <c r="L11" s="97">
        <v>0</v>
      </c>
      <c r="M11" s="56">
        <f t="shared" ref="M11:M38" si="2">SUM(C11:L11)</f>
        <v>1644100</v>
      </c>
      <c r="N11" s="52">
        <v>1644100</v>
      </c>
      <c r="O11" s="53">
        <f t="shared" si="1"/>
        <v>0</v>
      </c>
      <c r="P11" s="109" t="s">
        <v>30</v>
      </c>
      <c r="Q11" s="68" t="s">
        <v>106</v>
      </c>
      <c r="R11" s="68" t="s">
        <v>90</v>
      </c>
      <c r="S11" s="123"/>
      <c r="T11" s="123" t="s">
        <v>87</v>
      </c>
      <c r="U11" s="78" t="s">
        <v>33</v>
      </c>
      <c r="V11" s="123"/>
      <c r="X11" s="68"/>
      <c r="Z11" s="78"/>
      <c r="AB11" s="67" t="s">
        <v>32</v>
      </c>
    </row>
    <row r="12" spans="2:28" x14ac:dyDescent="0.25">
      <c r="B12" s="15">
        <f t="shared" si="0"/>
        <v>45205</v>
      </c>
      <c r="C12" s="102">
        <v>0</v>
      </c>
      <c r="D12" s="97">
        <f>220000+518000</f>
        <v>738000</v>
      </c>
      <c r="E12" s="102">
        <f>5000*2</f>
        <v>10000</v>
      </c>
      <c r="F12" s="97">
        <f>5000*3+2100</f>
        <v>17100</v>
      </c>
      <c r="G12" s="102">
        <v>2500</v>
      </c>
      <c r="H12" s="97">
        <f>331500+7500</f>
        <v>339000</v>
      </c>
      <c r="I12" s="102">
        <v>0</v>
      </c>
      <c r="J12" s="97">
        <f>3900+4200</f>
        <v>8100</v>
      </c>
      <c r="K12" s="102">
        <v>0</v>
      </c>
      <c r="L12" s="97">
        <v>0</v>
      </c>
      <c r="M12" s="56">
        <f t="shared" si="2"/>
        <v>1114700</v>
      </c>
      <c r="N12" s="51">
        <v>1114700</v>
      </c>
      <c r="O12" s="53">
        <f t="shared" si="1"/>
        <v>0</v>
      </c>
      <c r="P12" s="109" t="s">
        <v>30</v>
      </c>
      <c r="Q12" s="109" t="s">
        <v>39</v>
      </c>
      <c r="R12" s="123"/>
      <c r="S12" s="123"/>
      <c r="T12" s="67" t="s">
        <v>87</v>
      </c>
      <c r="U12" s="123"/>
      <c r="V12" s="123"/>
      <c r="X12" s="68"/>
      <c r="Z12" s="78"/>
      <c r="AB12" s="68" t="s">
        <v>106</v>
      </c>
    </row>
    <row r="13" spans="2:28" x14ac:dyDescent="0.25">
      <c r="B13" s="15">
        <f t="shared" si="0"/>
        <v>45206</v>
      </c>
      <c r="C13" s="102">
        <v>0</v>
      </c>
      <c r="D13" s="97">
        <v>0</v>
      </c>
      <c r="E13" s="102">
        <v>85000</v>
      </c>
      <c r="F13" s="97">
        <v>200000</v>
      </c>
      <c r="G13" s="102">
        <v>0</v>
      </c>
      <c r="H13" s="97">
        <f>295000+10000+6000+290000</f>
        <v>601000</v>
      </c>
      <c r="I13" s="102">
        <v>2000</v>
      </c>
      <c r="J13" s="97">
        <f>13100+5800</f>
        <v>18900</v>
      </c>
      <c r="K13" s="102">
        <v>0</v>
      </c>
      <c r="L13" s="97">
        <v>0</v>
      </c>
      <c r="M13" s="56">
        <f t="shared" si="2"/>
        <v>906900</v>
      </c>
      <c r="N13" s="52">
        <v>906900</v>
      </c>
      <c r="O13" s="53">
        <f t="shared" si="1"/>
        <v>0</v>
      </c>
      <c r="P13" s="68" t="s">
        <v>78</v>
      </c>
      <c r="Q13" s="109" t="s">
        <v>30</v>
      </c>
      <c r="R13" s="68" t="s">
        <v>82</v>
      </c>
      <c r="S13" s="123"/>
      <c r="T13" s="123" t="s">
        <v>87</v>
      </c>
      <c r="U13" s="78" t="s">
        <v>33</v>
      </c>
      <c r="V13" s="123"/>
      <c r="X13" s="68"/>
      <c r="AB13" s="68" t="s">
        <v>52</v>
      </c>
    </row>
    <row r="14" spans="2:28" x14ac:dyDescent="0.25">
      <c r="B14" s="15">
        <f t="shared" si="0"/>
        <v>45207</v>
      </c>
      <c r="C14" s="121">
        <v>0</v>
      </c>
      <c r="D14" s="97">
        <v>0</v>
      </c>
      <c r="E14" s="102">
        <v>0</v>
      </c>
      <c r="F14" s="97">
        <v>0</v>
      </c>
      <c r="G14" s="121">
        <v>161500</v>
      </c>
      <c r="H14" s="97">
        <f>120000+270000+1500</f>
        <v>391500</v>
      </c>
      <c r="I14" s="121">
        <v>0</v>
      </c>
      <c r="J14" s="97">
        <v>5000</v>
      </c>
      <c r="K14" s="121">
        <v>0</v>
      </c>
      <c r="L14" s="97">
        <v>0</v>
      </c>
      <c r="M14" s="56">
        <f t="shared" si="2"/>
        <v>558000</v>
      </c>
      <c r="N14" s="52">
        <v>558000</v>
      </c>
      <c r="O14" s="53">
        <f t="shared" si="1"/>
        <v>0</v>
      </c>
      <c r="P14" s="68" t="s">
        <v>78</v>
      </c>
      <c r="Q14" s="123" t="s">
        <v>39</v>
      </c>
      <c r="R14" s="68" t="s">
        <v>82</v>
      </c>
      <c r="T14" s="123"/>
      <c r="U14" s="123" t="s">
        <v>33</v>
      </c>
      <c r="V14" s="123"/>
      <c r="X14" s="68"/>
      <c r="Z14" s="68"/>
      <c r="AB14" s="68" t="s">
        <v>90</v>
      </c>
    </row>
    <row r="15" spans="2:28" x14ac:dyDescent="0.25">
      <c r="B15" s="15">
        <f t="shared" si="0"/>
        <v>45208</v>
      </c>
      <c r="C15" s="102">
        <v>0</v>
      </c>
      <c r="D15" s="97">
        <v>470000</v>
      </c>
      <c r="E15" s="102">
        <v>0</v>
      </c>
      <c r="F15" s="97">
        <v>0</v>
      </c>
      <c r="G15" s="102">
        <f>250000+260000+1500</f>
        <v>511500</v>
      </c>
      <c r="H15" s="97">
        <f>3000+280000</f>
        <v>283000</v>
      </c>
      <c r="I15" s="102">
        <v>1950</v>
      </c>
      <c r="J15" s="97">
        <v>0</v>
      </c>
      <c r="K15" s="102">
        <v>8500</v>
      </c>
      <c r="L15" s="97">
        <v>86100</v>
      </c>
      <c r="M15" s="56">
        <f t="shared" si="2"/>
        <v>1361050</v>
      </c>
      <c r="N15" s="51">
        <v>1361050</v>
      </c>
      <c r="O15" s="53">
        <f t="shared" si="1"/>
        <v>0</v>
      </c>
      <c r="P15" s="68" t="s">
        <v>106</v>
      </c>
      <c r="Q15" s="127" t="s">
        <v>30</v>
      </c>
      <c r="R15" s="109" t="s">
        <v>39</v>
      </c>
      <c r="S15" s="68" t="s">
        <v>82</v>
      </c>
      <c r="T15" s="67" t="s">
        <v>32</v>
      </c>
      <c r="U15" s="123" t="s">
        <v>87</v>
      </c>
      <c r="V15" s="128"/>
      <c r="W15" s="80"/>
      <c r="Z15" s="80"/>
    </row>
    <row r="16" spans="2:28" x14ac:dyDescent="0.25">
      <c r="B16" s="15">
        <f t="shared" si="0"/>
        <v>45209</v>
      </c>
      <c r="C16" s="136">
        <v>589024.39</v>
      </c>
      <c r="D16" s="137">
        <v>10975.61</v>
      </c>
      <c r="E16" s="102">
        <v>0</v>
      </c>
      <c r="F16" s="97">
        <v>0</v>
      </c>
      <c r="G16" s="136">
        <f>1500+5000+215975.61</f>
        <v>222475.61</v>
      </c>
      <c r="H16" s="137">
        <f>10000+5000+11500+4024.39</f>
        <v>30524.39</v>
      </c>
      <c r="I16" s="121">
        <v>0</v>
      </c>
      <c r="J16" s="97">
        <v>3900</v>
      </c>
      <c r="K16" s="121">
        <v>0</v>
      </c>
      <c r="L16" s="97">
        <v>0</v>
      </c>
      <c r="M16" s="56">
        <f t="shared" si="2"/>
        <v>856900</v>
      </c>
      <c r="N16" s="52">
        <v>856900</v>
      </c>
      <c r="O16" s="53">
        <f t="shared" si="1"/>
        <v>0</v>
      </c>
      <c r="P16" s="68" t="s">
        <v>78</v>
      </c>
      <c r="Q16" s="123" t="s">
        <v>39</v>
      </c>
      <c r="R16" s="68" t="s">
        <v>82</v>
      </c>
      <c r="S16" s="68" t="s">
        <v>90</v>
      </c>
      <c r="T16" s="128" t="s">
        <v>87</v>
      </c>
      <c r="U16" s="128"/>
      <c r="V16" s="128"/>
      <c r="W16" s="80"/>
      <c r="X16" s="65"/>
      <c r="AB16" s="94" t="s">
        <v>34</v>
      </c>
    </row>
    <row r="17" spans="2:28" x14ac:dyDescent="0.25">
      <c r="B17" s="15">
        <f t="shared" si="0"/>
        <v>45210</v>
      </c>
      <c r="C17" s="102">
        <v>0</v>
      </c>
      <c r="D17" s="97">
        <v>0</v>
      </c>
      <c r="E17" s="121">
        <v>0</v>
      </c>
      <c r="F17" s="122">
        <v>0</v>
      </c>
      <c r="G17" s="102">
        <v>330000</v>
      </c>
      <c r="H17" s="122">
        <f>1500+5000+1500</f>
        <v>8000</v>
      </c>
      <c r="I17" s="102">
        <v>0</v>
      </c>
      <c r="J17" s="122">
        <f>6750+5000</f>
        <v>11750</v>
      </c>
      <c r="K17" s="102">
        <v>0</v>
      </c>
      <c r="L17" s="122">
        <v>0</v>
      </c>
      <c r="M17" s="56">
        <f t="shared" si="2"/>
        <v>349750</v>
      </c>
      <c r="N17" s="52">
        <v>349750</v>
      </c>
      <c r="O17" s="53">
        <f t="shared" si="1"/>
        <v>0</v>
      </c>
      <c r="P17" s="67" t="s">
        <v>32</v>
      </c>
      <c r="Q17" s="127" t="s">
        <v>30</v>
      </c>
      <c r="R17" s="68" t="s">
        <v>115</v>
      </c>
      <c r="S17" s="123"/>
      <c r="T17" s="123"/>
      <c r="U17" s="123"/>
      <c r="V17" s="123"/>
      <c r="X17" s="67"/>
      <c r="Z17" s="78"/>
      <c r="AB17" s="67"/>
    </row>
    <row r="18" spans="2:28" x14ac:dyDescent="0.25">
      <c r="B18" s="15">
        <f t="shared" si="0"/>
        <v>45211</v>
      </c>
      <c r="C18" s="121">
        <v>0</v>
      </c>
      <c r="D18" s="97">
        <v>0</v>
      </c>
      <c r="E18" s="102">
        <v>0</v>
      </c>
      <c r="F18" s="97">
        <v>0</v>
      </c>
      <c r="G18" s="121">
        <f>7500+190000</f>
        <v>197500</v>
      </c>
      <c r="H18" s="97">
        <v>0</v>
      </c>
      <c r="I18" s="121">
        <v>0</v>
      </c>
      <c r="J18" s="97">
        <v>0</v>
      </c>
      <c r="K18" s="121">
        <v>60000</v>
      </c>
      <c r="L18" s="97">
        <v>0</v>
      </c>
      <c r="M18" s="56">
        <f t="shared" si="2"/>
        <v>257500</v>
      </c>
      <c r="N18" s="51">
        <v>257500</v>
      </c>
      <c r="O18" s="53">
        <f t="shared" si="1"/>
        <v>0</v>
      </c>
      <c r="P18" s="123" t="s">
        <v>78</v>
      </c>
      <c r="Q18" s="68" t="s">
        <v>82</v>
      </c>
      <c r="S18" s="123"/>
      <c r="T18" s="78"/>
      <c r="U18" s="123"/>
      <c r="V18" s="123"/>
      <c r="X18" s="67"/>
      <c r="Z18" s="78"/>
      <c r="AB18" s="78" t="s">
        <v>92</v>
      </c>
    </row>
    <row r="19" spans="2:28" x14ac:dyDescent="0.25">
      <c r="B19" s="15">
        <f t="shared" si="0"/>
        <v>45212</v>
      </c>
      <c r="C19" s="102">
        <v>0</v>
      </c>
      <c r="D19" s="97">
        <v>0</v>
      </c>
      <c r="E19" s="102">
        <v>0</v>
      </c>
      <c r="F19" s="97">
        <v>0</v>
      </c>
      <c r="G19" s="102">
        <v>260000</v>
      </c>
      <c r="H19" s="97">
        <v>5000</v>
      </c>
      <c r="I19" s="102">
        <v>0</v>
      </c>
      <c r="J19" s="97">
        <v>0</v>
      </c>
      <c r="K19" s="102">
        <v>0</v>
      </c>
      <c r="L19" s="97">
        <v>0</v>
      </c>
      <c r="M19" s="56">
        <f>SUM(C19:L19)</f>
        <v>265000</v>
      </c>
      <c r="N19" s="52">
        <v>265000</v>
      </c>
      <c r="O19" s="53">
        <f t="shared" si="1"/>
        <v>0</v>
      </c>
      <c r="P19" s="123" t="s">
        <v>78</v>
      </c>
      <c r="Q19" s="68" t="s">
        <v>82</v>
      </c>
      <c r="R19" s="67"/>
      <c r="S19" s="123"/>
      <c r="T19" s="123"/>
      <c r="U19" s="123"/>
      <c r="V19" s="123"/>
      <c r="X19" s="67"/>
      <c r="Z19" s="78"/>
      <c r="AB19" s="67" t="s">
        <v>49</v>
      </c>
    </row>
    <row r="20" spans="2:28" x14ac:dyDescent="0.25">
      <c r="B20" s="15">
        <f t="shared" si="0"/>
        <v>45213</v>
      </c>
      <c r="C20" s="102">
        <v>0</v>
      </c>
      <c r="D20" s="122">
        <v>0</v>
      </c>
      <c r="E20" s="102">
        <v>0</v>
      </c>
      <c r="F20" s="97">
        <v>0</v>
      </c>
      <c r="G20" s="102">
        <v>0</v>
      </c>
      <c r="H20" s="97">
        <v>11500</v>
      </c>
      <c r="I20" s="102">
        <v>0</v>
      </c>
      <c r="J20" s="97">
        <v>7110</v>
      </c>
      <c r="K20" s="102">
        <v>0</v>
      </c>
      <c r="L20" s="97">
        <v>0</v>
      </c>
      <c r="M20" s="56">
        <f t="shared" si="2"/>
        <v>18610</v>
      </c>
      <c r="N20" s="52">
        <v>18610</v>
      </c>
      <c r="O20" s="53">
        <f t="shared" si="1"/>
        <v>0</v>
      </c>
      <c r="P20" s="68" t="s">
        <v>82</v>
      </c>
      <c r="R20" s="124"/>
      <c r="S20" s="123"/>
      <c r="T20" s="123"/>
      <c r="U20" s="123"/>
      <c r="V20" s="123"/>
      <c r="X20" s="67"/>
      <c r="AB20" s="78" t="s">
        <v>33</v>
      </c>
    </row>
    <row r="21" spans="2:28" x14ac:dyDescent="0.25">
      <c r="B21" s="15">
        <f>B20+1</f>
        <v>45214</v>
      </c>
      <c r="C21" s="102">
        <v>0</v>
      </c>
      <c r="D21" s="97">
        <v>0</v>
      </c>
      <c r="E21" s="102">
        <v>0</v>
      </c>
      <c r="F21" s="97">
        <f>785000+360000</f>
        <v>1145000</v>
      </c>
      <c r="G21" s="102">
        <f>240000+1500</f>
        <v>241500</v>
      </c>
      <c r="H21" s="97">
        <f>280000+3000</f>
        <v>283000</v>
      </c>
      <c r="I21" s="102">
        <v>0</v>
      </c>
      <c r="J21" s="97">
        <v>0</v>
      </c>
      <c r="K21" s="102">
        <v>0</v>
      </c>
      <c r="L21" s="97">
        <v>0</v>
      </c>
      <c r="M21" s="56">
        <f t="shared" si="2"/>
        <v>1669500</v>
      </c>
      <c r="N21" s="51">
        <v>1669500</v>
      </c>
      <c r="O21" s="53">
        <f t="shared" si="1"/>
        <v>0</v>
      </c>
      <c r="P21" s="67" t="s">
        <v>39</v>
      </c>
      <c r="Q21" s="123" t="s">
        <v>82</v>
      </c>
      <c r="R21" s="123"/>
      <c r="S21" s="123"/>
      <c r="T21" s="123"/>
      <c r="U21" s="123"/>
      <c r="V21" s="123"/>
      <c r="Z21" s="78"/>
      <c r="AB21" s="123" t="s">
        <v>102</v>
      </c>
    </row>
    <row r="22" spans="2:28" x14ac:dyDescent="0.25">
      <c r="B22" s="15">
        <f t="shared" si="0"/>
        <v>45215</v>
      </c>
      <c r="C22" s="102">
        <v>4000</v>
      </c>
      <c r="D22" s="97">
        <v>5000</v>
      </c>
      <c r="E22" s="102">
        <v>0</v>
      </c>
      <c r="F22" s="97">
        <f>480000+5000+60000</f>
        <v>545000</v>
      </c>
      <c r="G22" s="102">
        <f>80000+255000</f>
        <v>335000</v>
      </c>
      <c r="H22" s="97">
        <f>60000+15000+280000</f>
        <v>355000</v>
      </c>
      <c r="I22" s="102">
        <f>4200+3900+3900</f>
        <v>12000</v>
      </c>
      <c r="J22" s="97">
        <f>3900+5000</f>
        <v>8900</v>
      </c>
      <c r="K22" s="102">
        <v>0</v>
      </c>
      <c r="L22" s="97">
        <v>14850</v>
      </c>
      <c r="M22" s="56">
        <f t="shared" si="2"/>
        <v>1279750</v>
      </c>
      <c r="N22" s="52">
        <v>1279750</v>
      </c>
      <c r="O22" s="53">
        <f t="shared" si="1"/>
        <v>0</v>
      </c>
      <c r="P22" s="127" t="s">
        <v>30</v>
      </c>
      <c r="Q22" s="109" t="s">
        <v>39</v>
      </c>
      <c r="R22" s="123"/>
      <c r="S22" s="131"/>
      <c r="T22" s="67" t="s">
        <v>87</v>
      </c>
      <c r="U22" s="123" t="s">
        <v>33</v>
      </c>
      <c r="V22" s="123"/>
      <c r="Z22" s="78"/>
      <c r="AB22" s="67" t="s">
        <v>87</v>
      </c>
    </row>
    <row r="23" spans="2:28" x14ac:dyDescent="0.25">
      <c r="B23" s="15">
        <f t="shared" si="0"/>
        <v>45216</v>
      </c>
      <c r="C23" s="102">
        <v>0</v>
      </c>
      <c r="D23" s="97">
        <v>0</v>
      </c>
      <c r="E23" s="102">
        <v>0</v>
      </c>
      <c r="F23" s="97">
        <f>380000+550000</f>
        <v>930000</v>
      </c>
      <c r="G23" s="102">
        <v>100000</v>
      </c>
      <c r="H23" s="97">
        <f>290000+1500+2500+120000+2000</f>
        <v>416000</v>
      </c>
      <c r="I23" s="102">
        <v>0</v>
      </c>
      <c r="J23" s="97">
        <f>4200+5200+15000</f>
        <v>24400</v>
      </c>
      <c r="K23" s="102">
        <v>0</v>
      </c>
      <c r="L23" s="97">
        <v>0</v>
      </c>
      <c r="M23" s="56">
        <f t="shared" si="2"/>
        <v>1470400</v>
      </c>
      <c r="N23" s="52">
        <v>1470400</v>
      </c>
      <c r="O23" s="53">
        <f t="shared" si="1"/>
        <v>0</v>
      </c>
      <c r="P23" s="109" t="s">
        <v>30</v>
      </c>
      <c r="Q23" s="124" t="s">
        <v>39</v>
      </c>
      <c r="R23" s="123" t="s">
        <v>82</v>
      </c>
      <c r="S23" s="123" t="s">
        <v>90</v>
      </c>
      <c r="T23" s="67" t="s">
        <v>87</v>
      </c>
      <c r="U23" s="123" t="s">
        <v>33</v>
      </c>
      <c r="V23" s="78" t="s">
        <v>92</v>
      </c>
      <c r="Y23" s="67"/>
      <c r="Z23" s="78"/>
      <c r="AB23" s="78" t="s">
        <v>97</v>
      </c>
    </row>
    <row r="24" spans="2:28" x14ac:dyDescent="0.25">
      <c r="B24" s="15">
        <f t="shared" si="0"/>
        <v>45217</v>
      </c>
      <c r="C24" s="121">
        <v>10000</v>
      </c>
      <c r="D24" s="97">
        <v>5000</v>
      </c>
      <c r="E24" s="102">
        <v>0</v>
      </c>
      <c r="F24" s="97">
        <v>495000</v>
      </c>
      <c r="G24" s="121">
        <f>320000+1500</f>
        <v>321500</v>
      </c>
      <c r="H24" s="97">
        <f>10000+340000+1500</f>
        <v>351500</v>
      </c>
      <c r="I24" s="121">
        <f>1050</f>
        <v>1050</v>
      </c>
      <c r="J24" s="97">
        <f>3900</f>
        <v>3900</v>
      </c>
      <c r="K24" s="121">
        <v>25000</v>
      </c>
      <c r="L24" s="97">
        <v>3825</v>
      </c>
      <c r="M24" s="56">
        <f t="shared" si="2"/>
        <v>1216775</v>
      </c>
      <c r="N24" s="51">
        <v>1716775</v>
      </c>
      <c r="O24" s="53">
        <f t="shared" si="1"/>
        <v>500000</v>
      </c>
      <c r="P24" s="123" t="s">
        <v>106</v>
      </c>
      <c r="Q24" s="68" t="s">
        <v>30</v>
      </c>
      <c r="R24" s="68" t="s">
        <v>82</v>
      </c>
      <c r="S24" s="67" t="s">
        <v>32</v>
      </c>
      <c r="T24" s="67" t="s">
        <v>87</v>
      </c>
      <c r="U24" s="123"/>
      <c r="V24" s="123"/>
      <c r="X24" s="67" t="s">
        <v>116</v>
      </c>
      <c r="Y24" s="67"/>
      <c r="AA24" s="78"/>
      <c r="AB24" s="68"/>
    </row>
    <row r="25" spans="2:28" x14ac:dyDescent="0.25">
      <c r="B25" s="15">
        <f t="shared" si="0"/>
        <v>45218</v>
      </c>
      <c r="C25" s="102">
        <v>0</v>
      </c>
      <c r="D25" s="97">
        <v>0</v>
      </c>
      <c r="E25" s="102">
        <v>0</v>
      </c>
      <c r="F25" s="97">
        <v>280000</v>
      </c>
      <c r="G25" s="102">
        <v>290000</v>
      </c>
      <c r="H25" s="97">
        <f>320000</f>
        <v>320000</v>
      </c>
      <c r="I25" s="102">
        <v>26100</v>
      </c>
      <c r="J25" s="97">
        <v>13000</v>
      </c>
      <c r="K25" s="102">
        <v>0</v>
      </c>
      <c r="L25" s="97">
        <v>46750</v>
      </c>
      <c r="M25" s="56">
        <f t="shared" si="2"/>
        <v>975850</v>
      </c>
      <c r="N25" s="52">
        <v>975850</v>
      </c>
      <c r="O25" s="53">
        <f t="shared" si="1"/>
        <v>0</v>
      </c>
      <c r="P25" s="123" t="s">
        <v>30</v>
      </c>
      <c r="Q25" s="68" t="s">
        <v>82</v>
      </c>
      <c r="R25" s="123"/>
      <c r="S25" s="123"/>
      <c r="T25" s="123" t="s">
        <v>87</v>
      </c>
      <c r="U25" s="123" t="s">
        <v>33</v>
      </c>
      <c r="V25" s="123" t="s">
        <v>117</v>
      </c>
      <c r="X25" s="67"/>
      <c r="Y25" s="67"/>
      <c r="Z25" s="78"/>
      <c r="AA25" s="78"/>
      <c r="AB25" s="68"/>
    </row>
    <row r="26" spans="2:28" x14ac:dyDescent="0.25">
      <c r="B26" s="15">
        <f t="shared" si="0"/>
        <v>45219</v>
      </c>
      <c r="C26" s="102">
        <v>600000</v>
      </c>
      <c r="D26" s="97">
        <v>1000000</v>
      </c>
      <c r="E26" s="102">
        <f>5000*2</f>
        <v>10000</v>
      </c>
      <c r="F26" s="97">
        <f>5000*4</f>
        <v>20000</v>
      </c>
      <c r="G26" s="102">
        <f>370000+2000</f>
        <v>372000</v>
      </c>
      <c r="H26" s="97">
        <f>290000+90000+1500+5000+1500</f>
        <v>388000</v>
      </c>
      <c r="I26" s="102">
        <v>6500</v>
      </c>
      <c r="J26" s="97">
        <v>0</v>
      </c>
      <c r="K26" s="102">
        <v>0</v>
      </c>
      <c r="L26" s="97">
        <v>15500</v>
      </c>
      <c r="M26" s="56">
        <f t="shared" si="2"/>
        <v>2412000</v>
      </c>
      <c r="N26" s="52">
        <v>2412000</v>
      </c>
      <c r="O26" s="53">
        <f t="shared" si="1"/>
        <v>0</v>
      </c>
      <c r="P26" s="123" t="s">
        <v>78</v>
      </c>
      <c r="Q26" s="127" t="s">
        <v>30</v>
      </c>
      <c r="R26" s="123" t="s">
        <v>39</v>
      </c>
      <c r="S26" s="123" t="s">
        <v>82</v>
      </c>
      <c r="T26" s="123" t="s">
        <v>90</v>
      </c>
      <c r="U26" s="67" t="s">
        <v>87</v>
      </c>
      <c r="V26" s="123"/>
      <c r="Y26" s="67"/>
      <c r="Z26" s="78"/>
      <c r="AA26" s="78"/>
      <c r="AB26" s="68"/>
    </row>
    <row r="27" spans="2:28" x14ac:dyDescent="0.25">
      <c r="B27" s="15">
        <f t="shared" si="0"/>
        <v>45220</v>
      </c>
      <c r="C27" s="102">
        <v>0</v>
      </c>
      <c r="D27" s="97">
        <v>550000</v>
      </c>
      <c r="E27" s="102">
        <v>0</v>
      </c>
      <c r="F27" s="97">
        <v>0</v>
      </c>
      <c r="G27" s="102">
        <v>340000</v>
      </c>
      <c r="H27" s="97">
        <f>4000+2500+290000+20000</f>
        <v>316500</v>
      </c>
      <c r="I27" s="102">
        <v>0</v>
      </c>
      <c r="J27" s="97">
        <f>10500+3900</f>
        <v>14400</v>
      </c>
      <c r="K27" s="102">
        <v>0</v>
      </c>
      <c r="L27" s="97">
        <v>14850</v>
      </c>
      <c r="M27" s="56">
        <f t="shared" si="2"/>
        <v>1235750</v>
      </c>
      <c r="N27" s="51">
        <v>1235750</v>
      </c>
      <c r="O27" s="53">
        <f t="shared" si="1"/>
        <v>0</v>
      </c>
      <c r="P27" s="123" t="s">
        <v>30</v>
      </c>
      <c r="Q27" s="68" t="s">
        <v>39</v>
      </c>
      <c r="R27" s="124" t="s">
        <v>82</v>
      </c>
      <c r="S27" s="123"/>
      <c r="T27" s="123" t="s">
        <v>87</v>
      </c>
      <c r="U27" s="123" t="s">
        <v>33</v>
      </c>
      <c r="V27" s="123"/>
      <c r="Y27" s="68"/>
      <c r="Z27" s="78"/>
      <c r="AA27" s="68"/>
      <c r="AB27" s="68"/>
    </row>
    <row r="28" spans="2:28" x14ac:dyDescent="0.25">
      <c r="B28" s="15">
        <f t="shared" si="0"/>
        <v>45221</v>
      </c>
      <c r="C28" s="102">
        <v>0</v>
      </c>
      <c r="D28" s="97">
        <v>420000</v>
      </c>
      <c r="E28" s="102">
        <v>0</v>
      </c>
      <c r="F28" s="97">
        <v>0</v>
      </c>
      <c r="G28" s="102">
        <v>350000</v>
      </c>
      <c r="H28" s="97">
        <v>280000</v>
      </c>
      <c r="I28" s="102">
        <v>0</v>
      </c>
      <c r="J28" s="97">
        <v>15000</v>
      </c>
      <c r="K28" s="102">
        <v>0</v>
      </c>
      <c r="L28" s="97">
        <v>0</v>
      </c>
      <c r="M28" s="56">
        <f t="shared" si="2"/>
        <v>1065000</v>
      </c>
      <c r="N28" s="52">
        <v>1065000</v>
      </c>
      <c r="O28" s="53">
        <f t="shared" si="1"/>
        <v>0</v>
      </c>
      <c r="P28" s="123" t="s">
        <v>30</v>
      </c>
      <c r="Q28" s="127" t="s">
        <v>39</v>
      </c>
      <c r="R28" s="123"/>
      <c r="S28" s="123"/>
      <c r="T28" s="123"/>
      <c r="U28" s="123"/>
      <c r="V28" s="78" t="s">
        <v>92</v>
      </c>
      <c r="Y28" s="68"/>
      <c r="Z28" s="67"/>
      <c r="AA28" s="68"/>
      <c r="AB28" s="68"/>
    </row>
    <row r="29" spans="2:28" x14ac:dyDescent="0.25">
      <c r="B29" s="15">
        <f t="shared" si="0"/>
        <v>45222</v>
      </c>
      <c r="C29" s="102">
        <v>5000</v>
      </c>
      <c r="D29" s="97">
        <v>5000</v>
      </c>
      <c r="E29" s="102">
        <v>550000</v>
      </c>
      <c r="F29" s="97">
        <v>450000</v>
      </c>
      <c r="G29" s="102">
        <f>370000+40000+1500</f>
        <v>411500</v>
      </c>
      <c r="H29" s="97">
        <f>200000+310000+40000+6000+18000+1500</f>
        <v>575500</v>
      </c>
      <c r="I29" s="102">
        <f>10000</f>
        <v>10000</v>
      </c>
      <c r="J29" s="97">
        <v>5000</v>
      </c>
      <c r="K29" s="102">
        <v>0</v>
      </c>
      <c r="L29" s="97">
        <v>0</v>
      </c>
      <c r="M29" s="56">
        <f t="shared" si="2"/>
        <v>2012000</v>
      </c>
      <c r="N29" s="52">
        <v>2012000</v>
      </c>
      <c r="O29" s="53">
        <f t="shared" si="1"/>
        <v>0</v>
      </c>
      <c r="P29" s="123" t="s">
        <v>78</v>
      </c>
      <c r="Q29" s="68" t="s">
        <v>30</v>
      </c>
      <c r="R29" s="109" t="s">
        <v>82</v>
      </c>
      <c r="S29" s="123" t="s">
        <v>32</v>
      </c>
      <c r="T29" s="78" t="s">
        <v>115</v>
      </c>
      <c r="U29" s="109" t="s">
        <v>33</v>
      </c>
      <c r="Y29" s="67"/>
      <c r="Z29" s="78"/>
      <c r="AA29" s="78"/>
      <c r="AB29" s="68"/>
    </row>
    <row r="30" spans="2:28" x14ac:dyDescent="0.25">
      <c r="B30" s="15">
        <f t="shared" si="0"/>
        <v>45223</v>
      </c>
      <c r="C30" s="138">
        <v>1683208.96</v>
      </c>
      <c r="D30" s="137">
        <f>650000+266791.04</f>
        <v>916791.04</v>
      </c>
      <c r="E30" s="102">
        <v>0</v>
      </c>
      <c r="F30" s="97">
        <f>350000+440000</f>
        <v>790000</v>
      </c>
      <c r="G30" s="102">
        <f>1500+2500</f>
        <v>4000</v>
      </c>
      <c r="H30" s="97">
        <f>310000+1500+1500+2500+2000</f>
        <v>317500</v>
      </c>
      <c r="I30" s="102">
        <v>0</v>
      </c>
      <c r="J30" s="97">
        <f>1950+5200+5900</f>
        <v>13050</v>
      </c>
      <c r="K30" s="138">
        <v>51791.040000000001</v>
      </c>
      <c r="L30" s="137">
        <v>8208.9599999999991</v>
      </c>
      <c r="M30" s="56">
        <f t="shared" si="2"/>
        <v>3784550</v>
      </c>
      <c r="N30" s="51">
        <v>3784550</v>
      </c>
      <c r="O30" s="53">
        <f t="shared" si="1"/>
        <v>0</v>
      </c>
      <c r="P30" s="109" t="s">
        <v>78</v>
      </c>
      <c r="Q30" s="111" t="s">
        <v>30</v>
      </c>
      <c r="R30" s="111" t="s">
        <v>39</v>
      </c>
      <c r="S30" s="109" t="s">
        <v>90</v>
      </c>
      <c r="T30" s="109"/>
      <c r="U30" s="109"/>
      <c r="Y30" s="67"/>
      <c r="Z30" s="78"/>
      <c r="AA30" s="78"/>
      <c r="AB30" s="68"/>
    </row>
    <row r="31" spans="2:28" x14ac:dyDescent="0.25">
      <c r="B31" s="15">
        <f t="shared" si="0"/>
        <v>45224</v>
      </c>
      <c r="C31" s="121">
        <f>5000+4000</f>
        <v>9000</v>
      </c>
      <c r="D31" s="97">
        <v>0</v>
      </c>
      <c r="E31" s="102">
        <v>0</v>
      </c>
      <c r="F31" s="97">
        <v>460000</v>
      </c>
      <c r="G31" s="121">
        <v>0</v>
      </c>
      <c r="H31" s="97">
        <v>1500</v>
      </c>
      <c r="I31" s="121">
        <v>0</v>
      </c>
      <c r="J31" s="97">
        <v>32150</v>
      </c>
      <c r="K31" s="121">
        <v>0</v>
      </c>
      <c r="L31" s="97">
        <f>72650+3200</f>
        <v>75850</v>
      </c>
      <c r="M31" s="56">
        <f t="shared" si="2"/>
        <v>578500</v>
      </c>
      <c r="N31" s="52">
        <v>578500</v>
      </c>
      <c r="O31" s="53">
        <f t="shared" si="1"/>
        <v>0</v>
      </c>
      <c r="P31" s="68" t="s">
        <v>82</v>
      </c>
      <c r="Q31" s="123"/>
      <c r="R31" s="123"/>
      <c r="T31" s="68" t="s">
        <v>87</v>
      </c>
      <c r="U31" s="123" t="s">
        <v>33</v>
      </c>
      <c r="V31" s="123" t="s">
        <v>97</v>
      </c>
      <c r="Y31" s="68"/>
      <c r="Z31" s="78"/>
      <c r="AA31" s="78"/>
      <c r="AB31" s="67"/>
    </row>
    <row r="32" spans="2:28" x14ac:dyDescent="0.25">
      <c r="B32" s="15">
        <f t="shared" si="0"/>
        <v>45225</v>
      </c>
      <c r="C32" s="102">
        <v>0</v>
      </c>
      <c r="D32" s="97">
        <v>0</v>
      </c>
      <c r="E32" s="102">
        <v>0</v>
      </c>
      <c r="F32" s="97">
        <v>1210000</v>
      </c>
      <c r="G32" s="102">
        <v>0</v>
      </c>
      <c r="H32" s="97">
        <f>240000+4000</f>
        <v>244000</v>
      </c>
      <c r="I32" s="102">
        <v>0</v>
      </c>
      <c r="J32" s="97">
        <f>8750+31850+1905</f>
        <v>42505</v>
      </c>
      <c r="K32" s="102">
        <v>0</v>
      </c>
      <c r="L32" s="97">
        <v>0</v>
      </c>
      <c r="M32" s="56">
        <f t="shared" si="2"/>
        <v>1496505</v>
      </c>
      <c r="N32" s="52">
        <v>1496505</v>
      </c>
      <c r="O32" s="53">
        <f t="shared" si="1"/>
        <v>0</v>
      </c>
      <c r="P32" s="123" t="s">
        <v>82</v>
      </c>
      <c r="Q32" s="109" t="s">
        <v>90</v>
      </c>
      <c r="S32" s="123"/>
      <c r="T32" s="68" t="s">
        <v>87</v>
      </c>
      <c r="U32" s="123" t="s">
        <v>33</v>
      </c>
      <c r="Y32" s="68"/>
      <c r="Z32" s="67"/>
      <c r="AA32" s="78"/>
      <c r="AB32" s="68"/>
    </row>
    <row r="33" spans="1:28" x14ac:dyDescent="0.25">
      <c r="B33" s="15">
        <f t="shared" si="0"/>
        <v>45226</v>
      </c>
      <c r="C33" s="102">
        <v>0</v>
      </c>
      <c r="D33" s="97">
        <f>750000+475000</f>
        <v>1225000</v>
      </c>
      <c r="E33" s="102">
        <f>5000*2</f>
        <v>10000</v>
      </c>
      <c r="F33" s="97">
        <f>5000*5</f>
        <v>25000</v>
      </c>
      <c r="G33" s="102">
        <v>0</v>
      </c>
      <c r="H33" s="97">
        <f>280000+5000+11500</f>
        <v>296500</v>
      </c>
      <c r="I33" s="102">
        <v>0</v>
      </c>
      <c r="J33" s="97">
        <f>24500+3900</f>
        <v>28400</v>
      </c>
      <c r="K33" s="102">
        <v>0</v>
      </c>
      <c r="L33" s="97">
        <v>0</v>
      </c>
      <c r="M33" s="56">
        <f t="shared" si="2"/>
        <v>1584900</v>
      </c>
      <c r="N33" s="51">
        <v>1584900</v>
      </c>
      <c r="O33" s="53">
        <f t="shared" si="1"/>
        <v>0</v>
      </c>
      <c r="P33" s="109" t="s">
        <v>78</v>
      </c>
      <c r="Q33" s="111" t="s">
        <v>39</v>
      </c>
      <c r="R33" s="106" t="s">
        <v>82</v>
      </c>
      <c r="S33" s="123"/>
      <c r="T33" s="123" t="s">
        <v>87</v>
      </c>
      <c r="U33" s="123" t="s">
        <v>33</v>
      </c>
      <c r="Y33" s="68"/>
      <c r="Z33" s="78"/>
      <c r="AA33" s="78"/>
      <c r="AB33" s="68"/>
    </row>
    <row r="34" spans="1:28" x14ac:dyDescent="0.25">
      <c r="B34" s="15">
        <f t="shared" si="0"/>
        <v>45227</v>
      </c>
      <c r="C34" s="102">
        <v>0</v>
      </c>
      <c r="D34" s="97">
        <v>0</v>
      </c>
      <c r="E34" s="102">
        <v>0</v>
      </c>
      <c r="F34" s="97">
        <v>0</v>
      </c>
      <c r="G34" s="138">
        <f>165000+704347.83+95652.17+240000</f>
        <v>1205000</v>
      </c>
      <c r="H34" s="137">
        <f>105652.17+14347.83+2500</f>
        <v>122500</v>
      </c>
      <c r="I34" s="138">
        <f>3303.57</f>
        <v>3303.57</v>
      </c>
      <c r="J34" s="137">
        <f>6696.43+13500</f>
        <v>20196.43</v>
      </c>
      <c r="K34" s="138">
        <v>70696.429999999993</v>
      </c>
      <c r="L34" s="137">
        <v>150103.57</v>
      </c>
      <c r="M34" s="56">
        <f t="shared" si="2"/>
        <v>1571800</v>
      </c>
      <c r="N34" s="52">
        <v>1571800</v>
      </c>
      <c r="O34" s="53">
        <f t="shared" si="1"/>
        <v>0</v>
      </c>
      <c r="P34" s="123" t="s">
        <v>106</v>
      </c>
      <c r="Q34" s="109" t="s">
        <v>78</v>
      </c>
      <c r="R34" s="109" t="s">
        <v>115</v>
      </c>
      <c r="S34" s="109" t="s">
        <v>39</v>
      </c>
      <c r="T34" s="109" t="s">
        <v>82</v>
      </c>
      <c r="U34" s="109" t="s">
        <v>33</v>
      </c>
      <c r="Y34" s="68"/>
      <c r="Z34" s="78"/>
      <c r="AA34" s="78"/>
      <c r="AB34" s="68"/>
    </row>
    <row r="35" spans="1:28" x14ac:dyDescent="0.25">
      <c r="B35" s="15">
        <f t="shared" si="0"/>
        <v>45228</v>
      </c>
      <c r="C35" s="102">
        <v>0</v>
      </c>
      <c r="D35" s="97">
        <v>0</v>
      </c>
      <c r="E35" s="102">
        <v>0</v>
      </c>
      <c r="F35" s="97">
        <v>0</v>
      </c>
      <c r="G35" s="102">
        <v>0</v>
      </c>
      <c r="H35" s="97">
        <f>10000+272500+280000</f>
        <v>562500</v>
      </c>
      <c r="I35" s="102">
        <v>3900</v>
      </c>
      <c r="J35" s="97">
        <v>0</v>
      </c>
      <c r="K35" s="102">
        <v>0</v>
      </c>
      <c r="L35" s="97">
        <v>0</v>
      </c>
      <c r="M35" s="56">
        <f t="shared" si="2"/>
        <v>566400</v>
      </c>
      <c r="N35" s="54">
        <v>566400</v>
      </c>
      <c r="O35" s="55">
        <f t="shared" si="1"/>
        <v>0</v>
      </c>
      <c r="P35" s="109" t="s">
        <v>78</v>
      </c>
      <c r="Q35" s="78" t="s">
        <v>39</v>
      </c>
      <c r="R35" s="106" t="s">
        <v>90</v>
      </c>
      <c r="S35" s="123"/>
      <c r="T35" s="123"/>
      <c r="U35" s="123"/>
      <c r="V35" s="68" t="s">
        <v>97</v>
      </c>
      <c r="Y35" s="68"/>
      <c r="Z35" s="78"/>
      <c r="AA35" s="78"/>
      <c r="AB35" s="68"/>
    </row>
    <row r="36" spans="1:28" x14ac:dyDescent="0.25">
      <c r="B36" s="15">
        <f t="shared" si="0"/>
        <v>45229</v>
      </c>
      <c r="C36" s="102">
        <v>0</v>
      </c>
      <c r="D36" s="97">
        <f>4000*3</f>
        <v>12000</v>
      </c>
      <c r="E36" s="102">
        <v>0</v>
      </c>
      <c r="F36" s="97">
        <v>340000</v>
      </c>
      <c r="G36" s="102">
        <v>280000</v>
      </c>
      <c r="H36" s="97">
        <f>2000+1500</f>
        <v>3500</v>
      </c>
      <c r="I36" s="102">
        <v>0</v>
      </c>
      <c r="J36" s="97">
        <v>30510</v>
      </c>
      <c r="K36" s="102">
        <v>0</v>
      </c>
      <c r="L36" s="97">
        <v>3300</v>
      </c>
      <c r="M36" s="56">
        <f t="shared" si="2"/>
        <v>669310</v>
      </c>
      <c r="N36" s="54">
        <v>669310</v>
      </c>
      <c r="O36" s="55">
        <f t="shared" si="1"/>
        <v>0</v>
      </c>
      <c r="Q36" s="123"/>
      <c r="T36" s="123"/>
      <c r="U36" s="109"/>
      <c r="Y36" s="68"/>
      <c r="AB36" s="68"/>
    </row>
    <row r="37" spans="1:28" x14ac:dyDescent="0.25">
      <c r="B37" s="15">
        <f t="shared" si="0"/>
        <v>45230</v>
      </c>
      <c r="C37" s="102">
        <v>0</v>
      </c>
      <c r="D37" s="97">
        <v>0</v>
      </c>
      <c r="E37" s="102">
        <v>0</v>
      </c>
      <c r="F37" s="97">
        <f>5000+400000+130000</f>
        <v>535000</v>
      </c>
      <c r="G37" s="102">
        <v>0</v>
      </c>
      <c r="H37" s="97">
        <f>280000+570000+2500</f>
        <v>852500</v>
      </c>
      <c r="I37" s="102">
        <v>5000</v>
      </c>
      <c r="J37" s="97">
        <v>0</v>
      </c>
      <c r="K37" s="102">
        <v>0</v>
      </c>
      <c r="L37" s="97">
        <v>0</v>
      </c>
      <c r="M37" s="56">
        <f t="shared" si="2"/>
        <v>1392500</v>
      </c>
      <c r="N37" s="54">
        <v>1392500</v>
      </c>
      <c r="O37" s="55">
        <f t="shared" si="1"/>
        <v>0</v>
      </c>
      <c r="P37" s="109" t="s">
        <v>78</v>
      </c>
      <c r="Q37" s="106" t="s">
        <v>30</v>
      </c>
      <c r="R37" s="109" t="s">
        <v>39</v>
      </c>
      <c r="S37" s="109"/>
      <c r="T37" s="109"/>
      <c r="U37" s="109" t="s">
        <v>33</v>
      </c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11"/>
      <c r="R38" s="111"/>
      <c r="S38" s="109"/>
    </row>
    <row r="39" spans="1:28" ht="15.75" x14ac:dyDescent="0.25">
      <c r="B39" s="23" t="s">
        <v>3</v>
      </c>
      <c r="C39" s="139">
        <f>SUM(C7:C38)</f>
        <v>2904233.35</v>
      </c>
      <c r="D39" s="140">
        <f>SUM(D7:D38)</f>
        <v>6313266.6500000004</v>
      </c>
      <c r="E39" s="24">
        <f t="shared" ref="E39:J39" si="3">SUM(E7:E38)</f>
        <v>1914000</v>
      </c>
      <c r="F39" s="59">
        <f t="shared" si="3"/>
        <v>8207100</v>
      </c>
      <c r="G39" s="139">
        <f t="shared" si="3"/>
        <v>6517475.6099999994</v>
      </c>
      <c r="H39" s="140">
        <f t="shared" si="3"/>
        <v>8275524.3900000006</v>
      </c>
      <c r="I39" s="24">
        <f t="shared" si="3"/>
        <v>117253.57</v>
      </c>
      <c r="J39" s="25">
        <f t="shared" si="3"/>
        <v>340871.43</v>
      </c>
      <c r="K39" s="139">
        <f>SUM(K7:K38)</f>
        <v>267987.46999999997</v>
      </c>
      <c r="L39" s="140">
        <f>SUM(L7:L38)</f>
        <v>534087.53</v>
      </c>
      <c r="M39" s="28">
        <f>SUM(M7:M38)</f>
        <v>35391800</v>
      </c>
      <c r="N39" s="27">
        <f>SUM(N7:N38)</f>
        <v>36272800</v>
      </c>
      <c r="O39" s="26">
        <f>N39-M39</f>
        <v>881000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9217500</v>
      </c>
      <c r="D40" s="282"/>
      <c r="E40" s="267">
        <f>SUM(E39:F39)</f>
        <v>10121100</v>
      </c>
      <c r="F40" s="269"/>
      <c r="G40" s="281">
        <f>SUM(G39:H39)</f>
        <v>14793000</v>
      </c>
      <c r="H40" s="282"/>
      <c r="I40" s="267">
        <f>SUM(I39:J39)</f>
        <v>458125</v>
      </c>
      <c r="J40" s="268"/>
      <c r="K40" s="281">
        <f>SUM(K39:L39)</f>
        <v>802075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45199</v>
      </c>
      <c r="C45" s="3">
        <v>0</v>
      </c>
      <c r="D45" s="14">
        <v>40000</v>
      </c>
      <c r="E45" s="3">
        <v>0</v>
      </c>
      <c r="F45" s="14">
        <v>150000</v>
      </c>
      <c r="G45" s="3">
        <v>0</v>
      </c>
      <c r="H45" s="14">
        <v>810000</v>
      </c>
      <c r="I45" s="3">
        <v>0</v>
      </c>
      <c r="J45" s="14">
        <v>19000</v>
      </c>
      <c r="K45" s="134">
        <v>0</v>
      </c>
      <c r="L45" s="14">
        <v>0</v>
      </c>
      <c r="M45" s="3">
        <f>SUM(C45:L45)</f>
        <v>1019000</v>
      </c>
      <c r="N45" s="3">
        <v>1019000</v>
      </c>
      <c r="O45" s="3">
        <f>N45-M45</f>
        <v>0</v>
      </c>
      <c r="P45" s="85">
        <v>45200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45230</v>
      </c>
      <c r="C48" s="3">
        <v>0</v>
      </c>
      <c r="D48" s="14">
        <v>0</v>
      </c>
      <c r="E48" s="3">
        <v>0</v>
      </c>
      <c r="F48" s="14">
        <v>535000</v>
      </c>
      <c r="G48" s="3">
        <v>0</v>
      </c>
      <c r="H48" s="14">
        <v>852500</v>
      </c>
      <c r="I48" s="3">
        <v>0</v>
      </c>
      <c r="J48" s="14">
        <v>0</v>
      </c>
      <c r="K48" s="134">
        <v>0</v>
      </c>
      <c r="L48" s="14">
        <v>0</v>
      </c>
      <c r="M48" s="3">
        <f>SUM(C48:L48)</f>
        <v>1387500</v>
      </c>
      <c r="N48" s="3">
        <v>1387500</v>
      </c>
      <c r="O48" s="3">
        <f>N48-M48</f>
        <v>0</v>
      </c>
      <c r="P48" s="85">
        <v>45231</v>
      </c>
    </row>
    <row r="49" spans="2:29" x14ac:dyDescent="0.25">
      <c r="H49" s="14"/>
      <c r="J49" s="14"/>
      <c r="K49" s="135"/>
      <c r="L49" s="135"/>
    </row>
    <row r="50" spans="2:29" x14ac:dyDescent="0.25">
      <c r="B50" s="261" t="s">
        <v>5</v>
      </c>
      <c r="C50" s="261"/>
      <c r="D50" s="6">
        <f>D45+D46-D47-D48</f>
        <v>40000</v>
      </c>
      <c r="E50" s="262">
        <f>F45+F46-F47-F48</f>
        <v>-385000</v>
      </c>
      <c r="F50" s="263"/>
      <c r="G50" s="262">
        <f>H45+H46-H47-H48</f>
        <v>-42500</v>
      </c>
      <c r="H50" s="263"/>
      <c r="I50" s="262">
        <f>J45+J46-J47-J48</f>
        <v>19000</v>
      </c>
      <c r="J50" s="263"/>
      <c r="K50" s="262">
        <f>L45+L46-L47-L48</f>
        <v>0</v>
      </c>
      <c r="L50" s="263"/>
    </row>
    <row r="51" spans="2:29" x14ac:dyDescent="0.25">
      <c r="B51" s="264" t="s">
        <v>12</v>
      </c>
      <c r="C51" s="264"/>
      <c r="D51" s="31">
        <f>D39+D50</f>
        <v>6353266.6500000004</v>
      </c>
      <c r="E51" s="265">
        <f>F39+E50</f>
        <v>7822100</v>
      </c>
      <c r="F51" s="266"/>
      <c r="G51" s="265">
        <f>H39+G50</f>
        <v>8233024.3900000006</v>
      </c>
      <c r="H51" s="266"/>
      <c r="I51" s="265">
        <f>J39+I50</f>
        <v>359871.43</v>
      </c>
      <c r="J51" s="266"/>
      <c r="K51" s="265">
        <f>L39+K50</f>
        <v>534087.53</v>
      </c>
      <c r="L51" s="266"/>
    </row>
    <row r="52" spans="2:29" s="42" customFormat="1" x14ac:dyDescent="0.25">
      <c r="B52" s="257" t="s">
        <v>17</v>
      </c>
      <c r="C52" s="257"/>
      <c r="D52" s="258">
        <f>SUM(D51:L51)</f>
        <v>23302350</v>
      </c>
      <c r="E52" s="258"/>
      <c r="F52" s="258"/>
      <c r="G52" s="258"/>
      <c r="H52" s="258"/>
      <c r="I52" s="132"/>
      <c r="J52" s="132"/>
      <c r="K52" s="133"/>
      <c r="L52" s="133"/>
      <c r="P52" s="86"/>
      <c r="Q52" s="86"/>
      <c r="R52" s="86" t="s">
        <v>119</v>
      </c>
      <c r="S52" s="86" t="s">
        <v>120</v>
      </c>
      <c r="T52" s="86"/>
      <c r="U52" s="86"/>
      <c r="AA52" s="142">
        <f>SUM(D7:D13)</f>
        <v>1693500</v>
      </c>
      <c r="AB52" s="86">
        <f>AA52*0.0155</f>
        <v>26249.25</v>
      </c>
    </row>
    <row r="53" spans="2:29" x14ac:dyDescent="0.25">
      <c r="R53" s="68" t="s">
        <v>118</v>
      </c>
      <c r="S53" s="68" t="s">
        <v>121</v>
      </c>
      <c r="Y53" s="4"/>
      <c r="AA53" s="143">
        <f>D39-AA52</f>
        <v>4619766.6500000004</v>
      </c>
      <c r="AB53" s="68">
        <f>AA53*0.009</f>
        <v>41577.899850000002</v>
      </c>
      <c r="AC53">
        <f>SUM(AB52:AB54)</f>
        <v>68447.149850000002</v>
      </c>
    </row>
    <row r="54" spans="2:29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AC53-1405</f>
        <v>67042.149850000002</v>
      </c>
      <c r="P54" s="87">
        <v>1.55E-2</v>
      </c>
      <c r="R54" s="68" t="s">
        <v>98</v>
      </c>
      <c r="S54" s="87">
        <v>8.9999999999999993E-3</v>
      </c>
      <c r="Y54" s="4"/>
      <c r="AA54" s="78">
        <f>D45</f>
        <v>40000</v>
      </c>
      <c r="AB54" s="68">
        <f>AA54*0.0155</f>
        <v>620</v>
      </c>
    </row>
    <row r="55" spans="2:29" x14ac:dyDescent="0.25">
      <c r="B55" s="72" t="s">
        <v>13</v>
      </c>
      <c r="C55" s="34">
        <f>C39+G39+E39+I39+K39</f>
        <v>11720950</v>
      </c>
      <c r="D55" s="34">
        <f>D39+H39+F39+J39+L39</f>
        <v>23670850</v>
      </c>
      <c r="E55" s="58"/>
      <c r="F55" s="58"/>
      <c r="M55" s="63" t="s">
        <v>25</v>
      </c>
      <c r="N55" s="64">
        <f>AC57-1405</f>
        <v>76352.549999999988</v>
      </c>
      <c r="P55" s="88"/>
      <c r="R55" s="68" t="s">
        <v>99</v>
      </c>
      <c r="S55" s="78" t="s">
        <v>122</v>
      </c>
      <c r="Z55" s="71"/>
      <c r="AA55" s="68"/>
      <c r="AB55" s="68"/>
    </row>
    <row r="56" spans="2:29" x14ac:dyDescent="0.25">
      <c r="C56" s="259">
        <f>SUM(C55:D55)</f>
        <v>35391800</v>
      </c>
      <c r="D56" s="260"/>
      <c r="E56" s="57"/>
      <c r="F56" s="57"/>
      <c r="M56" s="63" t="s">
        <v>28</v>
      </c>
      <c r="N56" s="64">
        <f>AC61+0.21</f>
        <v>91452.429510000002</v>
      </c>
      <c r="R56" s="87"/>
      <c r="S56" s="130"/>
      <c r="T56" s="280"/>
      <c r="U56" s="280"/>
      <c r="Y56" s="4"/>
      <c r="AA56" s="78">
        <f>SUM(F7:F13)</f>
        <v>982100</v>
      </c>
      <c r="AB56" s="68">
        <f>AA56*0.0155</f>
        <v>15222.55</v>
      </c>
    </row>
    <row r="57" spans="2:29" x14ac:dyDescent="0.25">
      <c r="C57" s="58"/>
      <c r="D57" s="57"/>
      <c r="E57" s="57"/>
      <c r="F57" s="57"/>
      <c r="M57" s="63" t="s">
        <v>29</v>
      </c>
      <c r="N57" s="64">
        <f>AC65</f>
        <v>3763.3928699999997</v>
      </c>
      <c r="Y57" s="4"/>
      <c r="AA57" s="78">
        <f>F39-AA56-F48</f>
        <v>6690000</v>
      </c>
      <c r="AB57" s="68">
        <f>AA57*0.009</f>
        <v>60209.999999999993</v>
      </c>
      <c r="AC57">
        <f>SUM(AB56:AB58)</f>
        <v>77757.549999999988</v>
      </c>
    </row>
    <row r="58" spans="2:29" x14ac:dyDescent="0.25">
      <c r="C58" s="58"/>
      <c r="D58" s="57"/>
      <c r="E58" s="57"/>
      <c r="F58" s="57"/>
      <c r="M58" s="63" t="s">
        <v>34</v>
      </c>
      <c r="N58" s="64">
        <f>AC69</f>
        <v>5552.6627699999999</v>
      </c>
      <c r="Y58" s="4"/>
      <c r="AA58" s="78">
        <f>F45</f>
        <v>150000</v>
      </c>
      <c r="AB58" s="68">
        <f>AA58*0.0155</f>
        <v>2325</v>
      </c>
    </row>
    <row r="59" spans="2:29" x14ac:dyDescent="0.25">
      <c r="J59" t="s">
        <v>3</v>
      </c>
      <c r="N59" s="64">
        <f>SUM(N54:N58)</f>
        <v>244163.18499999997</v>
      </c>
      <c r="Y59" s="4"/>
      <c r="AA59" s="68"/>
      <c r="AB59" s="68"/>
    </row>
    <row r="60" spans="2:29" x14ac:dyDescent="0.25">
      <c r="B60" s="1" t="s">
        <v>19</v>
      </c>
      <c r="C60" s="259">
        <f>C39+D52+E39+G39+K39+I39</f>
        <v>35023300</v>
      </c>
      <c r="D60" s="260"/>
      <c r="E60" s="57"/>
      <c r="F60" s="57"/>
      <c r="AA60" s="78">
        <f>SUM(H7:H13)</f>
        <v>1860000</v>
      </c>
      <c r="AB60" s="68">
        <f>AA60*0.0155</f>
        <v>28830</v>
      </c>
    </row>
    <row r="61" spans="2:29" x14ac:dyDescent="0.25">
      <c r="B61" s="1" t="s">
        <v>20</v>
      </c>
      <c r="AA61" s="143">
        <f>H39-AA60-H48</f>
        <v>5563024.3900000006</v>
      </c>
      <c r="AB61" s="68">
        <f>AA61*0.009</f>
        <v>50067.219510000003</v>
      </c>
      <c r="AC61">
        <f>SUM(AB60:AB62)</f>
        <v>91452.219509999995</v>
      </c>
    </row>
    <row r="62" spans="2:29" x14ac:dyDescent="0.25">
      <c r="M62" s="68"/>
      <c r="AA62" s="78">
        <f>H45</f>
        <v>810000</v>
      </c>
      <c r="AB62" s="68">
        <f>AA62*0.0155</f>
        <v>12555</v>
      </c>
    </row>
    <row r="63" spans="2:29" x14ac:dyDescent="0.25">
      <c r="AA63" s="68"/>
      <c r="AB63" s="68"/>
    </row>
    <row r="64" spans="2:29" x14ac:dyDescent="0.25">
      <c r="AA64" s="78">
        <f>SUM(J7:J13)</f>
        <v>61700</v>
      </c>
      <c r="AB64" s="68">
        <f>AA64*0.0155</f>
        <v>956.35</v>
      </c>
    </row>
    <row r="65" spans="27:29" x14ac:dyDescent="0.25">
      <c r="AA65" s="78">
        <f>J39-AA64</f>
        <v>279171.43</v>
      </c>
      <c r="AB65" s="68">
        <f>AA65*0.009</f>
        <v>2512.5428699999998</v>
      </c>
      <c r="AC65">
        <f>SUM(AB64:AB66)</f>
        <v>3763.3928699999997</v>
      </c>
    </row>
    <row r="66" spans="27:29" x14ac:dyDescent="0.25">
      <c r="AA66" s="78">
        <f>J45</f>
        <v>19000</v>
      </c>
      <c r="AB66" s="68">
        <f>AA66*0.0155</f>
        <v>294.5</v>
      </c>
    </row>
    <row r="67" spans="27:29" x14ac:dyDescent="0.25">
      <c r="AA67" s="68"/>
      <c r="AB67" s="68"/>
    </row>
    <row r="68" spans="27:29" x14ac:dyDescent="0.25">
      <c r="AA68" s="78">
        <f>SUM(L7:L13)</f>
        <v>114750</v>
      </c>
      <c r="AB68" s="68">
        <f>AA68*0.0155</f>
        <v>1778.625</v>
      </c>
    </row>
    <row r="69" spans="27:29" x14ac:dyDescent="0.25">
      <c r="AA69" s="143">
        <f>L39-AA68</f>
        <v>419337.53</v>
      </c>
      <c r="AB69" s="68">
        <f>AA69*0.009</f>
        <v>3774.0377699999999</v>
      </c>
      <c r="AC69">
        <f>SUM(AB68:AB69)</f>
        <v>5552.6627699999999</v>
      </c>
    </row>
    <row r="70" spans="27:29" x14ac:dyDescent="0.25">
      <c r="AA70" s="68"/>
      <c r="AB70" s="68"/>
    </row>
    <row r="71" spans="27:29" x14ac:dyDescent="0.25">
      <c r="AA71" s="68"/>
      <c r="AB71" s="68"/>
      <c r="AC71">
        <f>SUM(AC52:AC69)</f>
        <v>246972.97499999998</v>
      </c>
    </row>
    <row r="72" spans="27:29" x14ac:dyDescent="0.25">
      <c r="AA72" s="68"/>
      <c r="AB72" s="68"/>
    </row>
  </sheetData>
  <mergeCells count="33">
    <mergeCell ref="C56:D56"/>
    <mergeCell ref="T56:U56"/>
    <mergeCell ref="C60:D60"/>
    <mergeCell ref="B51:C51"/>
    <mergeCell ref="E51:F51"/>
    <mergeCell ref="G51:H51"/>
    <mergeCell ref="I51:J51"/>
    <mergeCell ref="B52:C52"/>
    <mergeCell ref="D52:H52"/>
    <mergeCell ref="C43:D43"/>
    <mergeCell ref="E43:F43"/>
    <mergeCell ref="G43:H43"/>
    <mergeCell ref="I43:J43"/>
    <mergeCell ref="B50:C50"/>
    <mergeCell ref="E50:F50"/>
    <mergeCell ref="G50:H50"/>
    <mergeCell ref="I50:J50"/>
    <mergeCell ref="K40:L40"/>
    <mergeCell ref="K43:L43"/>
    <mergeCell ref="K50:L50"/>
    <mergeCell ref="K51:L51"/>
    <mergeCell ref="B2:M2"/>
    <mergeCell ref="B3:C3"/>
    <mergeCell ref="D3:G3"/>
    <mergeCell ref="C5:D5"/>
    <mergeCell ref="E5:F5"/>
    <mergeCell ref="G5:H5"/>
    <mergeCell ref="I5:J5"/>
    <mergeCell ref="K5:L5"/>
    <mergeCell ref="C40:D40"/>
    <mergeCell ref="E40:F40"/>
    <mergeCell ref="G40:H40"/>
    <mergeCell ref="I40:J40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2"/>
  <sheetViews>
    <sheetView topLeftCell="A28" workbookViewId="0">
      <selection activeCell="H36" sqref="H36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140625" customWidth="1"/>
    <col min="7" max="7" width="13.5703125" customWidth="1"/>
    <col min="8" max="8" width="13.1406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9" customWidth="1"/>
    <col min="16" max="16" width="9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6" customWidth="1"/>
    <col min="26" max="26" width="27.28515625" customWidth="1"/>
    <col min="27" max="27" width="31.8554687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18</v>
      </c>
      <c r="E3" s="274"/>
      <c r="F3" s="274"/>
      <c r="G3" s="274"/>
      <c r="H3" s="39">
        <v>2023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22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45231</v>
      </c>
      <c r="C7" s="102">
        <f>5000*2</f>
        <v>10000</v>
      </c>
      <c r="D7" s="97">
        <f>450000+5000*2</f>
        <v>460000</v>
      </c>
      <c r="E7" s="102">
        <v>0</v>
      </c>
      <c r="F7" s="97">
        <f>500000+120000+380000</f>
        <v>1000000</v>
      </c>
      <c r="G7" s="119">
        <v>0</v>
      </c>
      <c r="H7" s="120">
        <f>310000+320000+1500*2</f>
        <v>633000</v>
      </c>
      <c r="I7" s="119">
        <v>0</v>
      </c>
      <c r="J7" s="120">
        <v>1250</v>
      </c>
      <c r="K7" s="119">
        <v>0</v>
      </c>
      <c r="L7" s="120">
        <v>0</v>
      </c>
      <c r="M7" s="56">
        <f>SUM(C7:L7)</f>
        <v>2104250</v>
      </c>
      <c r="N7" s="52">
        <v>2104250</v>
      </c>
      <c r="O7" s="53">
        <f>N7-M7</f>
        <v>0</v>
      </c>
      <c r="P7" s="68" t="s">
        <v>30</v>
      </c>
      <c r="Q7" s="68" t="s">
        <v>39</v>
      </c>
      <c r="R7" s="123" t="s">
        <v>32</v>
      </c>
      <c r="S7" s="123"/>
      <c r="T7" s="106"/>
      <c r="U7" s="123"/>
      <c r="V7" s="67" t="s">
        <v>87</v>
      </c>
      <c r="X7" s="68"/>
      <c r="Z7" s="78"/>
      <c r="AB7" s="68" t="s">
        <v>82</v>
      </c>
    </row>
    <row r="8" spans="2:28" x14ac:dyDescent="0.25">
      <c r="B8" s="15">
        <f t="shared" ref="B8:B37" si="0">B7+1</f>
        <v>45232</v>
      </c>
      <c r="C8" s="121">
        <v>0</v>
      </c>
      <c r="D8" s="97">
        <f>625000+470000</f>
        <v>1095000</v>
      </c>
      <c r="E8" s="102">
        <v>440000</v>
      </c>
      <c r="F8" s="97">
        <v>560000</v>
      </c>
      <c r="G8" s="121">
        <v>0</v>
      </c>
      <c r="H8" s="97">
        <v>270000</v>
      </c>
      <c r="I8" s="121">
        <v>0</v>
      </c>
      <c r="J8" s="97">
        <f>4200</f>
        <v>4200</v>
      </c>
      <c r="K8" s="121">
        <v>0</v>
      </c>
      <c r="L8" s="97">
        <f>20000+29250</f>
        <v>49250</v>
      </c>
      <c r="M8" s="56">
        <f>SUM(C8:L8)</f>
        <v>2418450</v>
      </c>
      <c r="N8" s="52">
        <v>2418450</v>
      </c>
      <c r="O8" s="53">
        <f t="shared" ref="O8:O37" si="1">N8-M8</f>
        <v>0</v>
      </c>
      <c r="P8" s="123" t="s">
        <v>30</v>
      </c>
      <c r="Q8" s="67"/>
      <c r="S8" s="123"/>
      <c r="T8" s="123"/>
      <c r="U8" s="123"/>
      <c r="V8" s="123" t="s">
        <v>87</v>
      </c>
      <c r="X8" s="68"/>
      <c r="Z8" s="78"/>
      <c r="AB8" s="68" t="s">
        <v>78</v>
      </c>
    </row>
    <row r="9" spans="2:28" x14ac:dyDescent="0.25">
      <c r="B9" s="15">
        <f t="shared" si="0"/>
        <v>45233</v>
      </c>
      <c r="C9" s="102">
        <v>0</v>
      </c>
      <c r="D9" s="122">
        <f>1150000+25000</f>
        <v>1175000</v>
      </c>
      <c r="E9" s="102">
        <v>5000</v>
      </c>
      <c r="F9" s="97">
        <f>5000*6</f>
        <v>30000</v>
      </c>
      <c r="G9" s="102">
        <v>165000</v>
      </c>
      <c r="H9" s="97">
        <f>45000+10000+291500+5000</f>
        <v>351500</v>
      </c>
      <c r="I9" s="102">
        <v>2610</v>
      </c>
      <c r="J9" s="97">
        <f>3900+6500+3000</f>
        <v>13400</v>
      </c>
      <c r="K9" s="102">
        <v>0</v>
      </c>
      <c r="L9" s="97">
        <v>0</v>
      </c>
      <c r="M9" s="56">
        <f>SUM(C9:L9)</f>
        <v>1742510</v>
      </c>
      <c r="N9" s="51">
        <v>1742510</v>
      </c>
      <c r="O9" s="53">
        <f>N9-M9</f>
        <v>0</v>
      </c>
      <c r="P9" s="123" t="s">
        <v>30</v>
      </c>
      <c r="Q9" s="68" t="s">
        <v>39</v>
      </c>
      <c r="R9" s="124" t="s">
        <v>82</v>
      </c>
      <c r="S9" s="123" t="s">
        <v>106</v>
      </c>
      <c r="T9" s="123"/>
      <c r="U9" s="78"/>
      <c r="V9" s="123"/>
      <c r="X9" s="67"/>
      <c r="Z9" s="78"/>
      <c r="AB9" s="68" t="s">
        <v>39</v>
      </c>
    </row>
    <row r="10" spans="2:28" x14ac:dyDescent="0.25">
      <c r="B10" s="15">
        <f t="shared" si="0"/>
        <v>45234</v>
      </c>
      <c r="C10" s="121">
        <v>0</v>
      </c>
      <c r="D10" s="97">
        <v>0</v>
      </c>
      <c r="E10" s="102">
        <v>0</v>
      </c>
      <c r="F10" s="97">
        <v>5000</v>
      </c>
      <c r="G10" s="121">
        <v>0</v>
      </c>
      <c r="H10" s="97">
        <f>11500+10000+1500</f>
        <v>23000</v>
      </c>
      <c r="I10" s="121">
        <v>0</v>
      </c>
      <c r="J10" s="97">
        <v>15000</v>
      </c>
      <c r="K10" s="121">
        <v>0</v>
      </c>
      <c r="L10" s="97">
        <v>0</v>
      </c>
      <c r="M10" s="56">
        <f>SUM(C10:L10)</f>
        <v>43000</v>
      </c>
      <c r="N10" s="52">
        <v>43000</v>
      </c>
      <c r="O10" s="53">
        <f t="shared" si="1"/>
        <v>0</v>
      </c>
      <c r="P10" s="68" t="s">
        <v>30</v>
      </c>
      <c r="Q10" s="68" t="s">
        <v>39</v>
      </c>
      <c r="R10" s="68" t="s">
        <v>82</v>
      </c>
      <c r="T10" s="123"/>
      <c r="U10" s="123"/>
      <c r="V10" s="123"/>
      <c r="X10" s="67"/>
      <c r="Z10" s="78"/>
      <c r="AB10" s="68" t="s">
        <v>30</v>
      </c>
    </row>
    <row r="11" spans="2:28" x14ac:dyDescent="0.25">
      <c r="B11" s="15">
        <f t="shared" si="0"/>
        <v>45235</v>
      </c>
      <c r="C11" s="102">
        <v>0</v>
      </c>
      <c r="D11" s="97">
        <v>0</v>
      </c>
      <c r="E11" s="102">
        <v>0</v>
      </c>
      <c r="F11" s="97">
        <v>0</v>
      </c>
      <c r="G11" s="102">
        <v>0</v>
      </c>
      <c r="H11" s="97">
        <v>2500</v>
      </c>
      <c r="I11" s="102">
        <v>6000</v>
      </c>
      <c r="J11" s="97">
        <v>0</v>
      </c>
      <c r="K11" s="102">
        <v>0</v>
      </c>
      <c r="L11" s="97">
        <v>0</v>
      </c>
      <c r="M11" s="56">
        <f t="shared" ref="M11:M38" si="2">SUM(C11:L11)</f>
        <v>8500</v>
      </c>
      <c r="N11" s="52">
        <v>8500</v>
      </c>
      <c r="O11" s="53">
        <f t="shared" si="1"/>
        <v>0</v>
      </c>
      <c r="P11" s="68" t="s">
        <v>39</v>
      </c>
      <c r="S11" s="123"/>
      <c r="T11" s="123"/>
      <c r="U11" s="78"/>
      <c r="V11" s="123"/>
      <c r="X11" s="68"/>
      <c r="Z11" s="78"/>
      <c r="AB11" s="67" t="s">
        <v>32</v>
      </c>
    </row>
    <row r="12" spans="2:28" x14ac:dyDescent="0.25">
      <c r="B12" s="15">
        <f t="shared" si="0"/>
        <v>45236</v>
      </c>
      <c r="C12" s="102">
        <v>0</v>
      </c>
      <c r="D12" s="97">
        <f>4000+5000</f>
        <v>9000</v>
      </c>
      <c r="E12" s="102">
        <v>0</v>
      </c>
      <c r="F12" s="97">
        <v>0</v>
      </c>
      <c r="G12" s="102">
        <f>1500+300000</f>
        <v>301500</v>
      </c>
      <c r="H12" s="97">
        <f>6000+80000+1500</f>
        <v>87500</v>
      </c>
      <c r="I12" s="102">
        <v>0</v>
      </c>
      <c r="J12" s="97">
        <f>5800+4200</f>
        <v>10000</v>
      </c>
      <c r="K12" s="102">
        <v>0</v>
      </c>
      <c r="L12" s="97">
        <v>0</v>
      </c>
      <c r="M12" s="56">
        <f t="shared" si="2"/>
        <v>408000</v>
      </c>
      <c r="N12" s="51">
        <v>408000</v>
      </c>
      <c r="O12" s="53">
        <f t="shared" si="1"/>
        <v>0</v>
      </c>
      <c r="P12" s="109" t="s">
        <v>30</v>
      </c>
      <c r="Q12" s="109" t="s">
        <v>90</v>
      </c>
      <c r="R12" s="123" t="s">
        <v>32</v>
      </c>
      <c r="S12" s="123"/>
      <c r="T12" s="67"/>
      <c r="U12" s="123" t="s">
        <v>33</v>
      </c>
      <c r="V12" s="67" t="s">
        <v>87</v>
      </c>
      <c r="W12" s="123" t="s">
        <v>97</v>
      </c>
      <c r="X12" s="68"/>
      <c r="Z12" s="78"/>
      <c r="AB12" s="68" t="s">
        <v>106</v>
      </c>
    </row>
    <row r="13" spans="2:28" x14ac:dyDescent="0.25">
      <c r="B13" s="15">
        <f t="shared" si="0"/>
        <v>45237</v>
      </c>
      <c r="C13" s="102">
        <v>0</v>
      </c>
      <c r="D13" s="97">
        <v>0</v>
      </c>
      <c r="E13" s="102">
        <v>0</v>
      </c>
      <c r="F13" s="97">
        <v>0</v>
      </c>
      <c r="G13" s="102">
        <v>278000</v>
      </c>
      <c r="H13" s="97">
        <v>0</v>
      </c>
      <c r="I13" s="102">
        <f>3900+3830</f>
        <v>7730</v>
      </c>
      <c r="J13" s="97">
        <v>3900</v>
      </c>
      <c r="K13" s="102">
        <v>0</v>
      </c>
      <c r="L13" s="97">
        <v>0</v>
      </c>
      <c r="M13" s="56">
        <f t="shared" si="2"/>
        <v>289630</v>
      </c>
      <c r="N13" s="52">
        <v>289630</v>
      </c>
      <c r="O13" s="53">
        <f t="shared" si="1"/>
        <v>0</v>
      </c>
      <c r="P13" s="68" t="s">
        <v>39</v>
      </c>
      <c r="Q13" s="109"/>
      <c r="S13" s="123"/>
      <c r="T13" s="123"/>
      <c r="U13" s="78"/>
      <c r="V13" s="123"/>
      <c r="W13" s="68" t="s">
        <v>97</v>
      </c>
      <c r="X13" s="68"/>
      <c r="AB13" s="68" t="s">
        <v>52</v>
      </c>
    </row>
    <row r="14" spans="2:28" x14ac:dyDescent="0.25">
      <c r="B14" s="15">
        <f t="shared" si="0"/>
        <v>45238</v>
      </c>
      <c r="C14" s="121">
        <v>5000</v>
      </c>
      <c r="D14" s="97">
        <f>5000*2</f>
        <v>10000</v>
      </c>
      <c r="E14" s="102">
        <v>360000</v>
      </c>
      <c r="F14" s="97">
        <v>0</v>
      </c>
      <c r="G14" s="121">
        <v>0</v>
      </c>
      <c r="H14" s="97">
        <v>1500</v>
      </c>
      <c r="I14" s="121">
        <v>0</v>
      </c>
      <c r="J14" s="97">
        <v>5000</v>
      </c>
      <c r="K14" s="121">
        <v>15000</v>
      </c>
      <c r="L14" s="97">
        <f>85000+10300</f>
        <v>95300</v>
      </c>
      <c r="M14" s="56">
        <f t="shared" si="2"/>
        <v>491800</v>
      </c>
      <c r="N14" s="52">
        <v>491800</v>
      </c>
      <c r="O14" s="53">
        <f t="shared" si="1"/>
        <v>0</v>
      </c>
      <c r="P14" s="123" t="s">
        <v>32</v>
      </c>
      <c r="Q14" s="123"/>
      <c r="T14" s="123"/>
      <c r="U14" s="123"/>
      <c r="V14" s="123"/>
      <c r="X14" s="68"/>
      <c r="Z14" s="68"/>
      <c r="AB14" s="68" t="s">
        <v>90</v>
      </c>
    </row>
    <row r="15" spans="2:28" x14ac:dyDescent="0.25">
      <c r="B15" s="15">
        <f t="shared" si="0"/>
        <v>45239</v>
      </c>
      <c r="C15" s="102">
        <v>0</v>
      </c>
      <c r="D15" s="97">
        <v>0</v>
      </c>
      <c r="E15" s="102">
        <v>250000</v>
      </c>
      <c r="F15" s="97">
        <v>220000</v>
      </c>
      <c r="G15" s="102">
        <v>280000</v>
      </c>
      <c r="H15" s="97">
        <v>152000</v>
      </c>
      <c r="I15" s="102">
        <v>0</v>
      </c>
      <c r="J15" s="97">
        <f>7500+3900+3400+38000</f>
        <v>52800</v>
      </c>
      <c r="K15" s="102">
        <v>0</v>
      </c>
      <c r="L15" s="97">
        <v>29250</v>
      </c>
      <c r="M15" s="56">
        <f t="shared" si="2"/>
        <v>984050</v>
      </c>
      <c r="N15" s="51">
        <v>984050</v>
      </c>
      <c r="O15" s="53">
        <f t="shared" si="1"/>
        <v>0</v>
      </c>
      <c r="P15" s="109" t="s">
        <v>90</v>
      </c>
      <c r="Q15" s="127"/>
      <c r="R15" s="109"/>
      <c r="T15" s="67"/>
      <c r="U15" s="123"/>
      <c r="V15" s="128"/>
      <c r="W15" s="80"/>
      <c r="Z15" s="80"/>
    </row>
    <row r="16" spans="2:28" x14ac:dyDescent="0.25">
      <c r="B16" s="15">
        <f t="shared" si="0"/>
        <v>45240</v>
      </c>
      <c r="C16" s="136">
        <v>0</v>
      </c>
      <c r="D16" s="137">
        <v>520000</v>
      </c>
      <c r="E16" s="102">
        <v>5000</v>
      </c>
      <c r="F16" s="97">
        <f>5000*8</f>
        <v>40000</v>
      </c>
      <c r="G16" s="136">
        <v>0</v>
      </c>
      <c r="H16" s="136">
        <f>380000+60000+300000+2500+2000</f>
        <v>744500</v>
      </c>
      <c r="I16" s="121">
        <f>30000+3800</f>
        <v>33800</v>
      </c>
      <c r="J16" s="97">
        <f>9800+7650+15000</f>
        <v>32450</v>
      </c>
      <c r="K16" s="121">
        <v>17100</v>
      </c>
      <c r="L16" s="97">
        <v>0</v>
      </c>
      <c r="M16" s="56">
        <f t="shared" si="2"/>
        <v>1392850</v>
      </c>
      <c r="N16" s="52">
        <v>1892850</v>
      </c>
      <c r="O16" s="53">
        <f t="shared" si="1"/>
        <v>500000</v>
      </c>
      <c r="P16" s="68" t="s">
        <v>106</v>
      </c>
      <c r="Q16" s="123" t="s">
        <v>78</v>
      </c>
      <c r="R16" s="68" t="s">
        <v>39</v>
      </c>
      <c r="S16" s="68" t="s">
        <v>90</v>
      </c>
      <c r="T16" s="128"/>
      <c r="U16" s="128" t="s">
        <v>33</v>
      </c>
      <c r="V16" s="67" t="s">
        <v>87</v>
      </c>
      <c r="W16" s="80"/>
      <c r="X16" s="78" t="s">
        <v>92</v>
      </c>
      <c r="Y16" s="123" t="s">
        <v>102</v>
      </c>
      <c r="Z16" s="68" t="s">
        <v>123</v>
      </c>
      <c r="AB16" s="94" t="s">
        <v>34</v>
      </c>
    </row>
    <row r="17" spans="2:28" x14ac:dyDescent="0.25">
      <c r="B17" s="15">
        <f t="shared" si="0"/>
        <v>45241</v>
      </c>
      <c r="C17" s="102">
        <v>0</v>
      </c>
      <c r="D17" s="97">
        <v>0</v>
      </c>
      <c r="E17" s="121">
        <v>0</v>
      </c>
      <c r="F17" s="122">
        <v>0</v>
      </c>
      <c r="G17" s="102">
        <f>270000+310000</f>
        <v>580000</v>
      </c>
      <c r="H17" s="122">
        <v>0</v>
      </c>
      <c r="I17" s="102">
        <v>5000</v>
      </c>
      <c r="J17" s="122">
        <f>14300+30000</f>
        <v>44300</v>
      </c>
      <c r="K17" s="102">
        <v>0</v>
      </c>
      <c r="L17" s="122">
        <v>0</v>
      </c>
      <c r="M17" s="56">
        <f t="shared" si="2"/>
        <v>629300</v>
      </c>
      <c r="N17" s="52">
        <v>629300</v>
      </c>
      <c r="O17" s="53">
        <f t="shared" si="1"/>
        <v>0</v>
      </c>
      <c r="P17" s="67" t="s">
        <v>39</v>
      </c>
      <c r="Q17" s="68" t="s">
        <v>82</v>
      </c>
      <c r="S17" s="123"/>
      <c r="T17" s="123"/>
      <c r="U17" s="123" t="s">
        <v>33</v>
      </c>
      <c r="V17" s="123"/>
      <c r="X17" s="67" t="s">
        <v>92</v>
      </c>
      <c r="Z17" s="78"/>
      <c r="AB17" s="67"/>
    </row>
    <row r="18" spans="2:28" x14ac:dyDescent="0.25">
      <c r="B18" s="15">
        <f t="shared" si="0"/>
        <v>45242</v>
      </c>
      <c r="C18" s="121">
        <v>0</v>
      </c>
      <c r="D18" s="97">
        <v>0</v>
      </c>
      <c r="E18" s="102">
        <v>0</v>
      </c>
      <c r="F18" s="97">
        <v>0</v>
      </c>
      <c r="G18" s="121">
        <f>3000</f>
        <v>3000</v>
      </c>
      <c r="H18" s="97">
        <f>2500+4500</f>
        <v>7000</v>
      </c>
      <c r="I18" s="121">
        <v>60000</v>
      </c>
      <c r="J18" s="97">
        <v>1950</v>
      </c>
      <c r="K18" s="121">
        <v>3800</v>
      </c>
      <c r="L18" s="97">
        <v>0</v>
      </c>
      <c r="M18" s="56">
        <f t="shared" si="2"/>
        <v>75750</v>
      </c>
      <c r="N18" s="51">
        <v>75750</v>
      </c>
      <c r="O18" s="53">
        <f t="shared" si="1"/>
        <v>0</v>
      </c>
      <c r="P18" s="123" t="s">
        <v>39</v>
      </c>
      <c r="Q18" s="68" t="s">
        <v>82</v>
      </c>
      <c r="S18" s="123"/>
      <c r="T18" s="78"/>
      <c r="U18" s="123"/>
      <c r="V18" s="123" t="s">
        <v>87</v>
      </c>
      <c r="X18" s="67" t="s">
        <v>92</v>
      </c>
      <c r="Z18" s="78"/>
      <c r="AB18" s="78" t="s">
        <v>92</v>
      </c>
    </row>
    <row r="19" spans="2:28" x14ac:dyDescent="0.25">
      <c r="B19" s="15">
        <f t="shared" si="0"/>
        <v>45243</v>
      </c>
      <c r="C19" s="102">
        <f>5000*3</f>
        <v>15000</v>
      </c>
      <c r="D19" s="97">
        <f>5000*3</f>
        <v>15000</v>
      </c>
      <c r="E19" s="102">
        <v>0</v>
      </c>
      <c r="F19" s="97">
        <v>0</v>
      </c>
      <c r="G19" s="102">
        <v>1500</v>
      </c>
      <c r="H19" s="97">
        <v>1500</v>
      </c>
      <c r="I19" s="102">
        <v>0</v>
      </c>
      <c r="J19" s="97">
        <v>16450</v>
      </c>
      <c r="K19" s="102">
        <v>0</v>
      </c>
      <c r="L19" s="97">
        <v>5000</v>
      </c>
      <c r="M19" s="56">
        <f>SUM(C19:L19)</f>
        <v>54450</v>
      </c>
      <c r="N19" s="52">
        <v>54450</v>
      </c>
      <c r="O19" s="53">
        <f t="shared" si="1"/>
        <v>0</v>
      </c>
      <c r="P19" s="68" t="s">
        <v>82</v>
      </c>
      <c r="R19" s="67"/>
      <c r="S19" s="123"/>
      <c r="T19" s="123"/>
      <c r="U19" s="123" t="s">
        <v>33</v>
      </c>
      <c r="V19" s="123" t="s">
        <v>87</v>
      </c>
      <c r="X19" s="67" t="s">
        <v>124</v>
      </c>
      <c r="Z19" s="78"/>
      <c r="AB19" s="67" t="s">
        <v>49</v>
      </c>
    </row>
    <row r="20" spans="2:28" x14ac:dyDescent="0.25">
      <c r="B20" s="15">
        <f t="shared" si="0"/>
        <v>45244</v>
      </c>
      <c r="C20" s="102">
        <v>0</v>
      </c>
      <c r="D20" s="122">
        <v>0</v>
      </c>
      <c r="E20" s="102">
        <v>0</v>
      </c>
      <c r="F20" s="97">
        <v>901700</v>
      </c>
      <c r="G20" s="102">
        <v>0</v>
      </c>
      <c r="H20" s="97">
        <f>2500+2000</f>
        <v>4500</v>
      </c>
      <c r="I20" s="102">
        <v>0</v>
      </c>
      <c r="J20" s="97">
        <f>6800+3800+5000</f>
        <v>15600</v>
      </c>
      <c r="K20" s="102">
        <v>0</v>
      </c>
      <c r="L20" s="97">
        <v>0</v>
      </c>
      <c r="M20" s="56">
        <f t="shared" si="2"/>
        <v>921800</v>
      </c>
      <c r="N20" s="52">
        <v>921800</v>
      </c>
      <c r="O20" s="53">
        <f t="shared" si="1"/>
        <v>0</v>
      </c>
      <c r="P20" s="68" t="s">
        <v>39</v>
      </c>
      <c r="Q20" s="68" t="s">
        <v>90</v>
      </c>
      <c r="R20" s="124"/>
      <c r="S20" s="123"/>
      <c r="T20" s="123"/>
      <c r="U20" s="123" t="s">
        <v>33</v>
      </c>
      <c r="V20" s="123" t="s">
        <v>102</v>
      </c>
      <c r="X20" s="67" t="s">
        <v>125</v>
      </c>
      <c r="AB20" s="78" t="s">
        <v>33</v>
      </c>
    </row>
    <row r="21" spans="2:28" x14ac:dyDescent="0.25">
      <c r="B21" s="15">
        <f>B20+1</f>
        <v>45245</v>
      </c>
      <c r="C21" s="102">
        <v>0</v>
      </c>
      <c r="D21" s="97">
        <v>500000</v>
      </c>
      <c r="E21" s="102">
        <v>5000</v>
      </c>
      <c r="F21" s="97">
        <f>5000*3</f>
        <v>15000</v>
      </c>
      <c r="G21" s="102">
        <v>250000</v>
      </c>
      <c r="H21" s="97">
        <v>400000</v>
      </c>
      <c r="I21" s="102">
        <v>37320</v>
      </c>
      <c r="J21" s="97">
        <f>9400+5200+1950</f>
        <v>16550</v>
      </c>
      <c r="K21" s="102">
        <f>7000+2000</f>
        <v>9000</v>
      </c>
      <c r="L21" s="97">
        <f>98000+3800</f>
        <v>101800</v>
      </c>
      <c r="M21" s="56">
        <f t="shared" si="2"/>
        <v>1334670</v>
      </c>
      <c r="N21" s="51">
        <v>1334670</v>
      </c>
      <c r="O21" s="53">
        <f t="shared" si="1"/>
        <v>0</v>
      </c>
      <c r="P21" s="67" t="s">
        <v>90</v>
      </c>
      <c r="Q21" s="123"/>
      <c r="R21" s="123"/>
      <c r="S21" s="123"/>
      <c r="T21" s="123"/>
      <c r="U21" s="123" t="s">
        <v>33</v>
      </c>
      <c r="V21" s="123" t="s">
        <v>87</v>
      </c>
      <c r="Z21" s="78"/>
      <c r="AB21" s="123" t="s">
        <v>102</v>
      </c>
    </row>
    <row r="22" spans="2:28" x14ac:dyDescent="0.25">
      <c r="B22" s="15">
        <f t="shared" si="0"/>
        <v>45246</v>
      </c>
      <c r="C22" s="102">
        <v>0</v>
      </c>
      <c r="D22" s="97">
        <v>0</v>
      </c>
      <c r="E22" s="102">
        <v>5000</v>
      </c>
      <c r="F22" s="97">
        <v>5000</v>
      </c>
      <c r="G22" s="102">
        <v>0</v>
      </c>
      <c r="H22" s="97">
        <v>0</v>
      </c>
      <c r="I22" s="102">
        <v>0</v>
      </c>
      <c r="J22" s="97">
        <f>35460+3800</f>
        <v>39260</v>
      </c>
      <c r="K22" s="102">
        <v>0</v>
      </c>
      <c r="L22" s="97">
        <v>2000</v>
      </c>
      <c r="M22" s="56">
        <f t="shared" si="2"/>
        <v>51260</v>
      </c>
      <c r="N22" s="52">
        <v>51260</v>
      </c>
      <c r="O22" s="53">
        <f t="shared" si="1"/>
        <v>0</v>
      </c>
      <c r="P22" s="127"/>
      <c r="Q22" s="109"/>
      <c r="R22" s="123"/>
      <c r="S22" s="131"/>
      <c r="T22" s="67"/>
      <c r="U22" s="123" t="s">
        <v>33</v>
      </c>
      <c r="V22" s="123" t="s">
        <v>102</v>
      </c>
      <c r="Z22" s="78"/>
      <c r="AB22" s="67" t="s">
        <v>87</v>
      </c>
    </row>
    <row r="23" spans="2:28" x14ac:dyDescent="0.25">
      <c r="B23" s="15">
        <f t="shared" si="0"/>
        <v>45247</v>
      </c>
      <c r="C23" s="102">
        <v>0</v>
      </c>
      <c r="D23" s="97">
        <v>0</v>
      </c>
      <c r="E23" s="102">
        <f>5000*2</f>
        <v>10000</v>
      </c>
      <c r="F23" s="97">
        <f>5000*3</f>
        <v>15000</v>
      </c>
      <c r="G23" s="102">
        <v>0</v>
      </c>
      <c r="H23" s="97">
        <f>5000+4000</f>
        <v>9000</v>
      </c>
      <c r="I23" s="102">
        <v>0</v>
      </c>
      <c r="J23" s="97">
        <f>9300+6750+1300</f>
        <v>17350</v>
      </c>
      <c r="K23" s="102">
        <v>0</v>
      </c>
      <c r="L23" s="97">
        <f>3300+3800</f>
        <v>7100</v>
      </c>
      <c r="M23" s="56">
        <f t="shared" si="2"/>
        <v>58450</v>
      </c>
      <c r="N23" s="52">
        <v>58450</v>
      </c>
      <c r="O23" s="53">
        <f t="shared" si="1"/>
        <v>0</v>
      </c>
      <c r="P23" s="109" t="s">
        <v>39</v>
      </c>
      <c r="Q23" s="124" t="s">
        <v>90</v>
      </c>
      <c r="R23" s="123"/>
      <c r="S23" s="123"/>
      <c r="T23" s="67"/>
      <c r="U23" s="123"/>
      <c r="V23" s="78" t="s">
        <v>87</v>
      </c>
      <c r="Y23" s="67"/>
      <c r="Z23" s="78"/>
      <c r="AB23" s="78" t="s">
        <v>97</v>
      </c>
    </row>
    <row r="24" spans="2:28" x14ac:dyDescent="0.25">
      <c r="B24" s="15">
        <f t="shared" si="0"/>
        <v>45248</v>
      </c>
      <c r="C24" s="121">
        <v>0</v>
      </c>
      <c r="D24" s="97">
        <v>0</v>
      </c>
      <c r="E24" s="102">
        <v>0</v>
      </c>
      <c r="F24" s="97">
        <v>0</v>
      </c>
      <c r="G24" s="121">
        <v>0</v>
      </c>
      <c r="H24" s="97">
        <f>1500+292500+1500</f>
        <v>295500</v>
      </c>
      <c r="I24" s="121">
        <v>0</v>
      </c>
      <c r="J24" s="97">
        <v>14200</v>
      </c>
      <c r="K24" s="121">
        <v>0</v>
      </c>
      <c r="L24" s="97">
        <v>0</v>
      </c>
      <c r="M24" s="56">
        <f t="shared" si="2"/>
        <v>309700</v>
      </c>
      <c r="N24" s="51">
        <v>309700</v>
      </c>
      <c r="O24" s="53">
        <f t="shared" si="1"/>
        <v>0</v>
      </c>
      <c r="P24" s="123" t="s">
        <v>30</v>
      </c>
      <c r="Q24" s="68" t="s">
        <v>39</v>
      </c>
      <c r="R24" s="68" t="s">
        <v>82</v>
      </c>
      <c r="S24" s="67"/>
      <c r="T24" s="67"/>
      <c r="U24" s="123" t="s">
        <v>33</v>
      </c>
      <c r="V24" s="123" t="s">
        <v>87</v>
      </c>
      <c r="X24" s="67"/>
      <c r="Y24" s="67"/>
      <c r="AA24" s="78"/>
      <c r="AB24" s="68"/>
    </row>
    <row r="25" spans="2:28" x14ac:dyDescent="0.25">
      <c r="B25" s="15">
        <f t="shared" si="0"/>
        <v>45249</v>
      </c>
      <c r="C25" s="102">
        <v>0</v>
      </c>
      <c r="D25" s="97">
        <v>0</v>
      </c>
      <c r="E25" s="102">
        <v>0</v>
      </c>
      <c r="F25" s="97">
        <v>0</v>
      </c>
      <c r="G25" s="102">
        <v>250600</v>
      </c>
      <c r="H25" s="97">
        <v>3000</v>
      </c>
      <c r="I25" s="102">
        <v>0</v>
      </c>
      <c r="J25" s="97">
        <v>0</v>
      </c>
      <c r="K25" s="102">
        <v>0</v>
      </c>
      <c r="L25" s="97">
        <v>59500</v>
      </c>
      <c r="M25" s="56">
        <f t="shared" si="2"/>
        <v>313100</v>
      </c>
      <c r="N25" s="52">
        <v>313100</v>
      </c>
      <c r="O25" s="53">
        <f t="shared" si="1"/>
        <v>0</v>
      </c>
      <c r="P25" s="123" t="s">
        <v>106</v>
      </c>
      <c r="Q25" s="68" t="s">
        <v>30</v>
      </c>
      <c r="R25" s="123"/>
      <c r="S25" s="123"/>
      <c r="T25" s="123"/>
      <c r="U25" s="123"/>
      <c r="V25" s="123"/>
      <c r="X25" s="67"/>
      <c r="Y25" s="67"/>
      <c r="Z25" s="78"/>
      <c r="AA25" s="78"/>
      <c r="AB25" s="68"/>
    </row>
    <row r="26" spans="2:28" x14ac:dyDescent="0.25">
      <c r="B26" s="15">
        <f t="shared" si="0"/>
        <v>45250</v>
      </c>
      <c r="C26" s="102">
        <v>0</v>
      </c>
      <c r="D26" s="97">
        <v>2000</v>
      </c>
      <c r="E26" s="102">
        <v>0</v>
      </c>
      <c r="F26" s="97">
        <v>0</v>
      </c>
      <c r="G26" s="102">
        <v>0</v>
      </c>
      <c r="H26" s="97">
        <v>0</v>
      </c>
      <c r="I26" s="102">
        <v>0</v>
      </c>
      <c r="J26" s="97">
        <v>0</v>
      </c>
      <c r="K26" s="102">
        <v>0</v>
      </c>
      <c r="L26" s="97">
        <v>0</v>
      </c>
      <c r="M26" s="56">
        <f t="shared" si="2"/>
        <v>2000</v>
      </c>
      <c r="N26" s="52">
        <v>2000</v>
      </c>
      <c r="O26" s="53">
        <f t="shared" si="1"/>
        <v>0</v>
      </c>
      <c r="P26" s="123"/>
      <c r="Q26" s="127"/>
      <c r="R26" s="123"/>
      <c r="S26" s="123"/>
      <c r="T26" s="123"/>
      <c r="U26" s="67"/>
      <c r="V26" s="123"/>
      <c r="Y26" s="67"/>
      <c r="Z26" s="78"/>
      <c r="AA26" s="78"/>
      <c r="AB26" s="68"/>
    </row>
    <row r="27" spans="2:28" x14ac:dyDescent="0.25">
      <c r="B27" s="15">
        <f t="shared" si="0"/>
        <v>45251</v>
      </c>
      <c r="C27" s="102">
        <v>0</v>
      </c>
      <c r="D27" s="97">
        <v>1220000</v>
      </c>
      <c r="E27" s="102">
        <v>0</v>
      </c>
      <c r="F27" s="97">
        <v>0</v>
      </c>
      <c r="G27" s="102">
        <v>1500</v>
      </c>
      <c r="H27" s="97">
        <v>0</v>
      </c>
      <c r="I27" s="102">
        <v>0</v>
      </c>
      <c r="J27" s="137">
        <f>12500+549.6</f>
        <v>13049.6</v>
      </c>
      <c r="K27" s="102">
        <v>0</v>
      </c>
      <c r="L27" s="97">
        <v>0</v>
      </c>
      <c r="M27" s="144">
        <f t="shared" si="2"/>
        <v>1234549.6000000001</v>
      </c>
      <c r="N27" s="145">
        <v>1234549.6000000001</v>
      </c>
      <c r="O27" s="53">
        <f t="shared" si="1"/>
        <v>0</v>
      </c>
      <c r="P27" s="123"/>
      <c r="R27" s="124"/>
      <c r="S27" s="123"/>
      <c r="T27" s="123"/>
      <c r="U27" s="123"/>
      <c r="V27" s="123"/>
      <c r="Y27" s="68"/>
      <c r="Z27" s="78"/>
      <c r="AA27" s="68"/>
      <c r="AB27" s="68"/>
    </row>
    <row r="28" spans="2:28" x14ac:dyDescent="0.25">
      <c r="B28" s="15">
        <f t="shared" si="0"/>
        <v>45252</v>
      </c>
      <c r="C28" s="102">
        <v>0</v>
      </c>
      <c r="D28" s="97">
        <v>5000</v>
      </c>
      <c r="E28" s="102">
        <v>0</v>
      </c>
      <c r="F28" s="97">
        <v>0</v>
      </c>
      <c r="G28" s="102">
        <v>0</v>
      </c>
      <c r="H28" s="97">
        <f>1500+2500+1500</f>
        <v>5500</v>
      </c>
      <c r="I28" s="102">
        <v>5200</v>
      </c>
      <c r="J28" s="97">
        <f>13950+11300</f>
        <v>25250</v>
      </c>
      <c r="K28" s="102">
        <v>0</v>
      </c>
      <c r="L28" s="97">
        <v>3300</v>
      </c>
      <c r="M28" s="56">
        <f t="shared" si="2"/>
        <v>44250</v>
      </c>
      <c r="N28" s="52">
        <v>44250</v>
      </c>
      <c r="O28" s="53">
        <f t="shared" si="1"/>
        <v>0</v>
      </c>
      <c r="P28" s="123" t="s">
        <v>30</v>
      </c>
      <c r="Q28" s="127" t="s">
        <v>39</v>
      </c>
      <c r="R28" s="123" t="s">
        <v>32</v>
      </c>
      <c r="S28" s="123"/>
      <c r="T28" s="123"/>
      <c r="U28" s="123" t="s">
        <v>33</v>
      </c>
      <c r="V28" s="78" t="s">
        <v>87</v>
      </c>
      <c r="Y28" s="68"/>
      <c r="Z28" s="67"/>
      <c r="AA28" s="68"/>
      <c r="AB28" s="68"/>
    </row>
    <row r="29" spans="2:28" x14ac:dyDescent="0.25">
      <c r="B29" s="15">
        <f t="shared" si="0"/>
        <v>45253</v>
      </c>
      <c r="C29" s="102">
        <v>2500</v>
      </c>
      <c r="D29" s="97">
        <v>0</v>
      </c>
      <c r="E29" s="102">
        <v>0</v>
      </c>
      <c r="F29" s="97">
        <v>0</v>
      </c>
      <c r="G29" s="102">
        <v>0</v>
      </c>
      <c r="H29" s="97">
        <f>1500+3000+2500+2000</f>
        <v>9000</v>
      </c>
      <c r="I29" s="102">
        <v>0</v>
      </c>
      <c r="J29" s="97">
        <v>0</v>
      </c>
      <c r="K29" s="102">
        <v>0</v>
      </c>
      <c r="L29" s="97">
        <v>3800</v>
      </c>
      <c r="M29" s="56">
        <f t="shared" si="2"/>
        <v>15300</v>
      </c>
      <c r="N29" s="52">
        <v>15300</v>
      </c>
      <c r="O29" s="53">
        <f t="shared" si="1"/>
        <v>0</v>
      </c>
      <c r="P29" s="123"/>
      <c r="R29" s="109"/>
      <c r="S29" s="123"/>
      <c r="T29" s="78"/>
      <c r="U29" s="109"/>
      <c r="Y29" s="67"/>
      <c r="Z29" s="78"/>
      <c r="AA29" s="78"/>
      <c r="AB29" s="68"/>
    </row>
    <row r="30" spans="2:28" x14ac:dyDescent="0.25">
      <c r="B30" s="15">
        <f t="shared" si="0"/>
        <v>45254</v>
      </c>
      <c r="C30" s="138">
        <v>0</v>
      </c>
      <c r="D30" s="137">
        <v>0</v>
      </c>
      <c r="E30" s="102">
        <v>0</v>
      </c>
      <c r="F30" s="97">
        <f>2*5000</f>
        <v>10000</v>
      </c>
      <c r="G30" s="102">
        <v>0</v>
      </c>
      <c r="H30" s="97">
        <v>0</v>
      </c>
      <c r="I30" s="102">
        <v>0</v>
      </c>
      <c r="J30" s="97">
        <v>3900</v>
      </c>
      <c r="K30" s="138">
        <v>0</v>
      </c>
      <c r="L30" s="137">
        <v>31950</v>
      </c>
      <c r="M30" s="56">
        <f t="shared" si="2"/>
        <v>45850</v>
      </c>
      <c r="N30" s="51">
        <v>45850</v>
      </c>
      <c r="O30" s="53">
        <f t="shared" si="1"/>
        <v>0</v>
      </c>
      <c r="P30" s="109"/>
      <c r="Q30" s="111"/>
      <c r="R30" s="111"/>
      <c r="S30" s="109"/>
      <c r="T30" s="109"/>
      <c r="U30" s="109"/>
      <c r="W30" s="68" t="s">
        <v>97</v>
      </c>
      <c r="Y30" s="67"/>
      <c r="Z30" s="78"/>
      <c r="AA30" s="78"/>
      <c r="AB30" s="68"/>
    </row>
    <row r="31" spans="2:28" x14ac:dyDescent="0.25">
      <c r="B31" s="15">
        <f t="shared" si="0"/>
        <v>45255</v>
      </c>
      <c r="C31" s="121">
        <v>0</v>
      </c>
      <c r="D31" s="97">
        <v>0</v>
      </c>
      <c r="E31" s="102">
        <v>0</v>
      </c>
      <c r="F31" s="97">
        <v>0</v>
      </c>
      <c r="G31" s="121">
        <v>1500</v>
      </c>
      <c r="H31" s="97">
        <v>10000</v>
      </c>
      <c r="I31" s="121">
        <v>0</v>
      </c>
      <c r="J31" s="97">
        <f>15700+11160</f>
        <v>26860</v>
      </c>
      <c r="K31" s="121">
        <v>0</v>
      </c>
      <c r="L31" s="97">
        <v>148300</v>
      </c>
      <c r="M31" s="56">
        <f t="shared" si="2"/>
        <v>186660</v>
      </c>
      <c r="N31" s="52">
        <v>186660</v>
      </c>
      <c r="O31" s="53">
        <f t="shared" si="1"/>
        <v>0</v>
      </c>
      <c r="P31" s="68" t="s">
        <v>82</v>
      </c>
      <c r="Q31" s="123"/>
      <c r="R31" s="123"/>
      <c r="U31" s="123" t="s">
        <v>33</v>
      </c>
      <c r="V31" s="123"/>
      <c r="X31" s="67" t="s">
        <v>92</v>
      </c>
      <c r="Y31" s="68"/>
      <c r="Z31" s="78"/>
      <c r="AA31" s="78"/>
      <c r="AB31" s="67"/>
    </row>
    <row r="32" spans="2:28" x14ac:dyDescent="0.25">
      <c r="B32" s="15">
        <f t="shared" si="0"/>
        <v>45256</v>
      </c>
      <c r="C32" s="102">
        <v>0</v>
      </c>
      <c r="D32" s="97">
        <v>0</v>
      </c>
      <c r="E32" s="102">
        <v>0</v>
      </c>
      <c r="F32" s="97">
        <v>0</v>
      </c>
      <c r="G32" s="102">
        <v>70000</v>
      </c>
      <c r="H32" s="97">
        <v>2500</v>
      </c>
      <c r="I32" s="102">
        <f>13800+14500</f>
        <v>28300</v>
      </c>
      <c r="J32" s="97">
        <v>500</v>
      </c>
      <c r="K32" s="102">
        <v>0</v>
      </c>
      <c r="L32" s="97">
        <v>0</v>
      </c>
      <c r="M32" s="56">
        <f t="shared" si="2"/>
        <v>101300</v>
      </c>
      <c r="N32" s="52">
        <v>101300</v>
      </c>
      <c r="O32" s="53">
        <f t="shared" si="1"/>
        <v>0</v>
      </c>
      <c r="P32" s="123" t="s">
        <v>90</v>
      </c>
      <c r="Q32" s="109" t="s">
        <v>39</v>
      </c>
      <c r="S32" s="123"/>
      <c r="U32" s="123" t="s">
        <v>33</v>
      </c>
      <c r="X32" s="68" t="s">
        <v>92</v>
      </c>
      <c r="Y32" s="68"/>
      <c r="Z32" s="67"/>
      <c r="AA32" s="78"/>
      <c r="AB32" s="68"/>
    </row>
    <row r="33" spans="1:28" x14ac:dyDescent="0.25">
      <c r="B33" s="15">
        <f t="shared" si="0"/>
        <v>45257</v>
      </c>
      <c r="C33" s="102">
        <v>0</v>
      </c>
      <c r="D33" s="97">
        <v>5000</v>
      </c>
      <c r="E33" s="102">
        <v>0</v>
      </c>
      <c r="F33" s="97">
        <v>0</v>
      </c>
      <c r="G33" s="102">
        <v>0</v>
      </c>
      <c r="H33" s="97">
        <v>610000</v>
      </c>
      <c r="I33" s="102">
        <v>5000</v>
      </c>
      <c r="J33" s="97">
        <v>4550</v>
      </c>
      <c r="K33" s="102">
        <v>0</v>
      </c>
      <c r="L33" s="97">
        <v>0</v>
      </c>
      <c r="M33" s="56">
        <f t="shared" si="2"/>
        <v>624550</v>
      </c>
      <c r="N33" s="51">
        <v>624550</v>
      </c>
      <c r="O33" s="53">
        <f t="shared" si="1"/>
        <v>0</v>
      </c>
      <c r="P33" s="123" t="s">
        <v>32</v>
      </c>
      <c r="Q33" s="111"/>
      <c r="R33" s="106"/>
      <c r="S33" s="123"/>
      <c r="T33" s="123"/>
      <c r="U33" s="123" t="s">
        <v>33</v>
      </c>
      <c r="V33" s="68" t="s">
        <v>87</v>
      </c>
      <c r="Y33" s="68"/>
      <c r="Z33" s="78"/>
      <c r="AA33" s="78"/>
      <c r="AB33" s="68"/>
    </row>
    <row r="34" spans="1:28" x14ac:dyDescent="0.25">
      <c r="B34" s="15">
        <f t="shared" si="0"/>
        <v>45258</v>
      </c>
      <c r="C34" s="102">
        <v>0</v>
      </c>
      <c r="D34" s="97">
        <v>150000</v>
      </c>
      <c r="E34" s="102">
        <v>0</v>
      </c>
      <c r="F34" s="97">
        <v>0</v>
      </c>
      <c r="G34" s="138">
        <v>1500</v>
      </c>
      <c r="H34" s="137">
        <v>1500</v>
      </c>
      <c r="I34" s="138">
        <v>0</v>
      </c>
      <c r="J34" s="137">
        <v>27810</v>
      </c>
      <c r="K34" s="138">
        <v>0</v>
      </c>
      <c r="L34" s="137">
        <v>14850</v>
      </c>
      <c r="M34" s="56">
        <f t="shared" si="2"/>
        <v>195660</v>
      </c>
      <c r="N34" s="52">
        <v>195660</v>
      </c>
      <c r="O34" s="53">
        <f t="shared" si="1"/>
        <v>0</v>
      </c>
      <c r="P34" s="123" t="s">
        <v>30</v>
      </c>
      <c r="Q34" s="109"/>
      <c r="R34" s="109"/>
      <c r="S34" s="109"/>
      <c r="T34" s="109"/>
      <c r="U34" s="123" t="s">
        <v>33</v>
      </c>
      <c r="V34" s="68" t="s">
        <v>87</v>
      </c>
      <c r="Y34" s="68"/>
      <c r="Z34" s="78"/>
      <c r="AA34" s="78"/>
      <c r="AB34" s="68"/>
    </row>
    <row r="35" spans="1:28" x14ac:dyDescent="0.25">
      <c r="B35" s="15">
        <f t="shared" si="0"/>
        <v>45259</v>
      </c>
      <c r="C35" s="102">
        <v>0</v>
      </c>
      <c r="D35" s="97">
        <f>3*5000</f>
        <v>15000</v>
      </c>
      <c r="E35" s="102">
        <v>0</v>
      </c>
      <c r="F35" s="97">
        <v>900000</v>
      </c>
      <c r="G35" s="102">
        <v>310000</v>
      </c>
      <c r="H35" s="97">
        <f>2500+3000</f>
        <v>5500</v>
      </c>
      <c r="I35" s="102">
        <v>0</v>
      </c>
      <c r="J35" s="97">
        <v>13000</v>
      </c>
      <c r="K35" s="102">
        <v>0</v>
      </c>
      <c r="L35" s="97">
        <v>0</v>
      </c>
      <c r="M35" s="56">
        <f t="shared" si="2"/>
        <v>1243500</v>
      </c>
      <c r="N35" s="54">
        <v>1243500</v>
      </c>
      <c r="O35" s="55">
        <f t="shared" si="1"/>
        <v>0</v>
      </c>
      <c r="P35" s="109" t="s">
        <v>30</v>
      </c>
      <c r="Q35" s="78" t="s">
        <v>39</v>
      </c>
      <c r="R35" s="106" t="s">
        <v>32</v>
      </c>
      <c r="S35" s="123"/>
      <c r="T35" s="123"/>
      <c r="U35" s="123" t="s">
        <v>33</v>
      </c>
      <c r="V35" s="68" t="s">
        <v>87</v>
      </c>
      <c r="Y35" s="68"/>
      <c r="Z35" s="78"/>
      <c r="AA35" s="78"/>
      <c r="AB35" s="68"/>
    </row>
    <row r="36" spans="1:28" x14ac:dyDescent="0.25">
      <c r="B36" s="15">
        <f t="shared" si="0"/>
        <v>45260</v>
      </c>
      <c r="C36" s="102">
        <v>0</v>
      </c>
      <c r="D36" s="97">
        <v>1270000</v>
      </c>
      <c r="E36" s="102">
        <v>0</v>
      </c>
      <c r="F36" s="97">
        <v>1350000</v>
      </c>
      <c r="G36" s="102">
        <v>0</v>
      </c>
      <c r="H36" s="97">
        <v>8700</v>
      </c>
      <c r="I36" s="102">
        <v>3900</v>
      </c>
      <c r="J36" s="97">
        <f>5000+15060+17100</f>
        <v>37160</v>
      </c>
      <c r="K36" s="102">
        <v>13900</v>
      </c>
      <c r="L36" s="97">
        <v>61600</v>
      </c>
      <c r="M36" s="56">
        <f t="shared" si="2"/>
        <v>2745260</v>
      </c>
      <c r="N36" s="54">
        <v>2745260</v>
      </c>
      <c r="O36" s="55">
        <f t="shared" si="1"/>
        <v>0</v>
      </c>
      <c r="Q36" s="123"/>
      <c r="T36" s="123"/>
      <c r="U36" s="109"/>
      <c r="Y36" s="68"/>
      <c r="AB36" s="68"/>
    </row>
    <row r="37" spans="1:28" x14ac:dyDescent="0.25">
      <c r="B37" s="15">
        <f t="shared" si="0"/>
        <v>45261</v>
      </c>
      <c r="C37" s="102"/>
      <c r="D37" s="97"/>
      <c r="E37" s="102"/>
      <c r="F37" s="97"/>
      <c r="G37" s="102"/>
      <c r="H37" s="97"/>
      <c r="I37" s="102"/>
      <c r="J37" s="97"/>
      <c r="K37" s="102"/>
      <c r="L37" s="97"/>
      <c r="M37" s="56">
        <f t="shared" si="2"/>
        <v>0</v>
      </c>
      <c r="N37" s="54"/>
      <c r="O37" s="55">
        <f t="shared" si="1"/>
        <v>0</v>
      </c>
      <c r="P37" s="109"/>
      <c r="Q37" s="106"/>
      <c r="R37" s="109"/>
      <c r="S37" s="109"/>
      <c r="T37" s="109"/>
      <c r="U37" s="109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11"/>
      <c r="R38" s="111"/>
      <c r="S38" s="109"/>
    </row>
    <row r="39" spans="1:28" ht="15.75" x14ac:dyDescent="0.25">
      <c r="B39" s="23" t="s">
        <v>3</v>
      </c>
      <c r="C39" s="139">
        <f>SUM(C7:C38)</f>
        <v>32500</v>
      </c>
      <c r="D39" s="140">
        <f>SUM(D7:D38)</f>
        <v>6451000</v>
      </c>
      <c r="E39" s="24">
        <f t="shared" ref="E39:L39" si="3">SUM(E7:E38)</f>
        <v>1080000</v>
      </c>
      <c r="F39" s="59">
        <f t="shared" si="3"/>
        <v>5051700</v>
      </c>
      <c r="G39" s="139">
        <f t="shared" si="3"/>
        <v>2494100</v>
      </c>
      <c r="H39" s="140">
        <f t="shared" si="3"/>
        <v>3638700</v>
      </c>
      <c r="I39" s="24">
        <f t="shared" si="3"/>
        <v>194860</v>
      </c>
      <c r="J39" s="140">
        <f t="shared" si="3"/>
        <v>455739.6</v>
      </c>
      <c r="K39" s="139">
        <f t="shared" si="3"/>
        <v>58800</v>
      </c>
      <c r="L39" s="140">
        <f t="shared" si="3"/>
        <v>613000</v>
      </c>
      <c r="M39" s="147">
        <f>SUM(M7:M38)</f>
        <v>20070399.600000001</v>
      </c>
      <c r="N39" s="146">
        <f>SUM(N7:N38)</f>
        <v>20570399.600000001</v>
      </c>
      <c r="O39" s="26">
        <f>N39-M39</f>
        <v>500000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6483500</v>
      </c>
      <c r="D40" s="282"/>
      <c r="E40" s="267">
        <f>SUM(E39:F39)</f>
        <v>6131700</v>
      </c>
      <c r="F40" s="269"/>
      <c r="G40" s="281">
        <f>SUM(G39:H39)</f>
        <v>6132800</v>
      </c>
      <c r="H40" s="282"/>
      <c r="I40" s="267">
        <f>SUM(I39:J39)</f>
        <v>650599.6</v>
      </c>
      <c r="J40" s="268"/>
      <c r="K40" s="281">
        <f>SUM(K39:L39)</f>
        <v>671800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45230</v>
      </c>
      <c r="C45" s="3">
        <v>0</v>
      </c>
      <c r="D45" s="14">
        <v>0</v>
      </c>
      <c r="E45" s="3">
        <v>0</v>
      </c>
      <c r="F45" s="14">
        <v>535000</v>
      </c>
      <c r="G45" s="3">
        <v>0</v>
      </c>
      <c r="H45" s="14">
        <v>852500</v>
      </c>
      <c r="I45" s="3">
        <v>0</v>
      </c>
      <c r="J45" s="14">
        <v>0</v>
      </c>
      <c r="K45" s="134">
        <v>0</v>
      </c>
      <c r="L45" s="14">
        <v>0</v>
      </c>
      <c r="M45" s="3">
        <f>SUM(C45:L45)</f>
        <v>1387500</v>
      </c>
      <c r="N45" s="3">
        <v>1387500</v>
      </c>
      <c r="O45" s="3">
        <f>N45-M45</f>
        <v>0</v>
      </c>
      <c r="P45" s="85">
        <v>45231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45260</v>
      </c>
      <c r="C48" s="3">
        <v>0</v>
      </c>
      <c r="D48" s="14">
        <f>D36</f>
        <v>1270000</v>
      </c>
      <c r="E48" s="3">
        <v>0</v>
      </c>
      <c r="F48" s="14">
        <f>F36</f>
        <v>1350000</v>
      </c>
      <c r="G48" s="3">
        <v>0</v>
      </c>
      <c r="H48" s="14">
        <f>H36-1500</f>
        <v>7200</v>
      </c>
      <c r="I48" s="3">
        <v>0</v>
      </c>
      <c r="J48" s="14">
        <f>J36</f>
        <v>37160</v>
      </c>
      <c r="K48" s="134">
        <v>0</v>
      </c>
      <c r="L48" s="14">
        <f>L36</f>
        <v>61600</v>
      </c>
      <c r="M48" s="3">
        <f>SUM(C48:L48)</f>
        <v>2725960</v>
      </c>
      <c r="N48" s="3">
        <v>2725960</v>
      </c>
      <c r="O48" s="3">
        <f>N48-M48</f>
        <v>0</v>
      </c>
      <c r="P48" s="85">
        <v>45261</v>
      </c>
      <c r="R48" s="68" t="s">
        <v>126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-1270000</v>
      </c>
      <c r="E50" s="262">
        <f>F45+F46-F47-F48</f>
        <v>-815000</v>
      </c>
      <c r="F50" s="263"/>
      <c r="G50" s="262">
        <f>H45+H46-H47-H48</f>
        <v>845300</v>
      </c>
      <c r="H50" s="263"/>
      <c r="I50" s="262">
        <f>J45+J46-J47-J48</f>
        <v>-37160</v>
      </c>
      <c r="J50" s="263"/>
      <c r="K50" s="262">
        <f>L45+L46-L47-L48</f>
        <v>-61600</v>
      </c>
      <c r="L50" s="263"/>
    </row>
    <row r="51" spans="2:28" x14ac:dyDescent="0.25">
      <c r="B51" s="264" t="s">
        <v>12</v>
      </c>
      <c r="C51" s="264"/>
      <c r="D51" s="31">
        <f>D39+D50</f>
        <v>5181000</v>
      </c>
      <c r="E51" s="265">
        <f>F39+E50</f>
        <v>4236700</v>
      </c>
      <c r="F51" s="266"/>
      <c r="G51" s="265">
        <f>H39+G50</f>
        <v>4484000</v>
      </c>
      <c r="H51" s="266"/>
      <c r="I51" s="286">
        <f>J39+I50</f>
        <v>418579.6</v>
      </c>
      <c r="J51" s="287"/>
      <c r="K51" s="265">
        <f>L39+K50</f>
        <v>551400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14871679.6</v>
      </c>
      <c r="E52" s="283"/>
      <c r="F52" s="283"/>
      <c r="G52" s="283"/>
      <c r="H52" s="283"/>
      <c r="I52" s="141"/>
      <c r="J52" s="141"/>
      <c r="K52" s="141"/>
      <c r="L52" s="141"/>
      <c r="P52" s="86"/>
      <c r="Q52" s="86"/>
      <c r="R52" s="86" t="s">
        <v>119</v>
      </c>
      <c r="S52" s="86" t="s">
        <v>120</v>
      </c>
      <c r="T52" s="86"/>
      <c r="U52" s="86"/>
      <c r="AA52" s="142"/>
      <c r="AB52" s="86"/>
    </row>
    <row r="53" spans="2:28" x14ac:dyDescent="0.25">
      <c r="R53" s="68" t="s">
        <v>118</v>
      </c>
      <c r="S53" s="68" t="s">
        <v>121</v>
      </c>
      <c r="Y53" s="4"/>
      <c r="AA53" s="143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D51*0.009-506.18</f>
        <v>46122.82</v>
      </c>
      <c r="P54" s="87">
        <v>1.55E-2</v>
      </c>
      <c r="R54" s="68" t="s">
        <v>98</v>
      </c>
      <c r="S54" s="87">
        <v>8.9999999999999993E-3</v>
      </c>
      <c r="Y54" s="4"/>
      <c r="AA54" s="78"/>
      <c r="AB54" s="68"/>
    </row>
    <row r="55" spans="2:28" x14ac:dyDescent="0.25">
      <c r="B55" s="72" t="s">
        <v>13</v>
      </c>
      <c r="C55" s="149">
        <f>C39+G39+E39+I39+K39</f>
        <v>3860260</v>
      </c>
      <c r="D55" s="149">
        <f>D39+H39+F39+J39+L39</f>
        <v>16210139.6</v>
      </c>
      <c r="E55" s="58"/>
      <c r="F55" s="58"/>
      <c r="M55" s="63" t="s">
        <v>25</v>
      </c>
      <c r="N55" s="64">
        <f>E51*0.009-506.17</f>
        <v>37624.129999999997</v>
      </c>
      <c r="P55" s="88"/>
      <c r="R55" s="68" t="s">
        <v>99</v>
      </c>
      <c r="S55" s="78" t="s">
        <v>122</v>
      </c>
      <c r="Z55" s="71"/>
      <c r="AA55" s="68"/>
      <c r="AB55" s="68"/>
    </row>
    <row r="56" spans="2:28" x14ac:dyDescent="0.25">
      <c r="C56" s="284">
        <f>SUM(C55:D55)</f>
        <v>20070399.600000001</v>
      </c>
      <c r="D56" s="285"/>
      <c r="E56" s="57"/>
      <c r="F56" s="57"/>
      <c r="M56" s="63" t="s">
        <v>28</v>
      </c>
      <c r="N56" s="64">
        <f>G51*0.009</f>
        <v>40356</v>
      </c>
      <c r="R56" s="87"/>
      <c r="S56" s="130"/>
      <c r="T56" s="280"/>
      <c r="U56" s="280"/>
      <c r="Y56" s="4"/>
      <c r="AA56" s="78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I51*0.009</f>
        <v>3767.2163999999993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K51*0.009</f>
        <v>4962.5999999999995</v>
      </c>
      <c r="Y58" s="4"/>
      <c r="AA58" s="78"/>
      <c r="AB58" s="68"/>
    </row>
    <row r="59" spans="2:28" x14ac:dyDescent="0.25">
      <c r="J59" t="s">
        <v>3</v>
      </c>
      <c r="N59" s="64">
        <f>SUM(N54:N58)</f>
        <v>132832.76639999999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18731939.600000001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3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B51:C51"/>
    <mergeCell ref="E51:F51"/>
    <mergeCell ref="G51:H51"/>
    <mergeCell ref="I51:J51"/>
    <mergeCell ref="K51:L51"/>
    <mergeCell ref="B50:C50"/>
    <mergeCell ref="E50:F50"/>
    <mergeCell ref="G50:H50"/>
    <mergeCell ref="I50:J50"/>
    <mergeCell ref="K50:L50"/>
    <mergeCell ref="B52:C52"/>
    <mergeCell ref="D52:H52"/>
    <mergeCell ref="C56:D56"/>
    <mergeCell ref="T56:U56"/>
    <mergeCell ref="C60:D60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72"/>
  <sheetViews>
    <sheetView topLeftCell="A22" workbookViewId="0">
      <selection activeCell="L46" sqref="L46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9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6" width="27.28515625" customWidth="1"/>
    <col min="27" max="27" width="31.8554687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38</v>
      </c>
      <c r="E3" s="274"/>
      <c r="F3" s="274"/>
      <c r="G3" s="274"/>
      <c r="H3" s="39">
        <v>2023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22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45261</v>
      </c>
      <c r="C7" s="102">
        <v>0</v>
      </c>
      <c r="D7" s="97">
        <v>0</v>
      </c>
      <c r="E7" s="102">
        <v>0</v>
      </c>
      <c r="F7" s="97">
        <f>3*5000</f>
        <v>15000</v>
      </c>
      <c r="G7" s="119">
        <v>310000</v>
      </c>
      <c r="H7" s="120">
        <v>2000</v>
      </c>
      <c r="I7" s="119">
        <f>18270</f>
        <v>18270</v>
      </c>
      <c r="J7" s="120">
        <f>7110+4200+2600+15000</f>
        <v>28910</v>
      </c>
      <c r="K7" s="119">
        <v>0</v>
      </c>
      <c r="L7" s="120">
        <v>9560</v>
      </c>
      <c r="M7" s="56">
        <f>SUM(C7:L7)</f>
        <v>383740</v>
      </c>
      <c r="N7" s="52">
        <v>383740</v>
      </c>
      <c r="O7" s="53">
        <f>N7-M7</f>
        <v>0</v>
      </c>
      <c r="P7" s="68" t="s">
        <v>30</v>
      </c>
      <c r="Q7" s="109" t="s">
        <v>90</v>
      </c>
      <c r="R7" s="123"/>
      <c r="S7" s="123"/>
      <c r="T7" s="106"/>
      <c r="U7" s="123" t="s">
        <v>33</v>
      </c>
      <c r="V7" s="67" t="s">
        <v>87</v>
      </c>
      <c r="X7" s="67" t="s">
        <v>92</v>
      </c>
      <c r="Z7" s="78"/>
      <c r="AB7" s="68" t="s">
        <v>82</v>
      </c>
    </row>
    <row r="8" spans="2:28" x14ac:dyDescent="0.25">
      <c r="B8" s="15">
        <f t="shared" ref="B8:B37" si="0">B7+1</f>
        <v>45262</v>
      </c>
      <c r="C8" s="121">
        <v>0</v>
      </c>
      <c r="D8" s="97">
        <v>0</v>
      </c>
      <c r="E8" s="102">
        <v>5000</v>
      </c>
      <c r="F8" s="97">
        <v>0</v>
      </c>
      <c r="G8" s="121">
        <v>1500</v>
      </c>
      <c r="H8" s="97">
        <f>5000+1500</f>
        <v>6500</v>
      </c>
      <c r="I8" s="121">
        <v>0</v>
      </c>
      <c r="J8" s="97">
        <f>5000+10950</f>
        <v>15950</v>
      </c>
      <c r="K8" s="121">
        <v>0</v>
      </c>
      <c r="L8" s="97">
        <v>7600</v>
      </c>
      <c r="M8" s="56">
        <f>SUM(C8:L8)</f>
        <v>36550</v>
      </c>
      <c r="N8" s="52">
        <v>36550</v>
      </c>
      <c r="O8" s="53">
        <f t="shared" ref="O8:O37" si="1">N8-M8</f>
        <v>0</v>
      </c>
      <c r="P8" s="68" t="s">
        <v>30</v>
      </c>
      <c r="Q8" s="68" t="s">
        <v>39</v>
      </c>
      <c r="R8" s="68" t="s">
        <v>82</v>
      </c>
      <c r="U8" s="68" t="s">
        <v>33</v>
      </c>
      <c r="V8" s="68" t="s">
        <v>87</v>
      </c>
      <c r="Z8" s="78"/>
      <c r="AB8" s="68" t="s">
        <v>78</v>
      </c>
    </row>
    <row r="9" spans="2:28" x14ac:dyDescent="0.25">
      <c r="B9" s="15">
        <f t="shared" si="0"/>
        <v>45263</v>
      </c>
      <c r="C9" s="102">
        <v>0</v>
      </c>
      <c r="D9" s="122">
        <v>0</v>
      </c>
      <c r="E9" s="102">
        <v>0</v>
      </c>
      <c r="F9" s="97">
        <v>0</v>
      </c>
      <c r="G9" s="102">
        <v>0</v>
      </c>
      <c r="H9" s="97">
        <v>10000</v>
      </c>
      <c r="I9" s="102">
        <v>12100</v>
      </c>
      <c r="J9" s="97">
        <v>0</v>
      </c>
      <c r="K9" s="102">
        <v>0</v>
      </c>
      <c r="L9" s="97">
        <v>7600</v>
      </c>
      <c r="M9" s="56">
        <f>SUM(C9:L9)</f>
        <v>29700</v>
      </c>
      <c r="N9" s="51">
        <v>29700</v>
      </c>
      <c r="O9" s="53">
        <f>N9-M9</f>
        <v>0</v>
      </c>
      <c r="P9" s="68" t="s">
        <v>106</v>
      </c>
      <c r="U9" s="68" t="s">
        <v>33</v>
      </c>
      <c r="V9" s="68" t="s">
        <v>87</v>
      </c>
      <c r="Z9" s="78"/>
      <c r="AB9" s="68" t="s">
        <v>39</v>
      </c>
    </row>
    <row r="10" spans="2:28" x14ac:dyDescent="0.25">
      <c r="B10" s="15">
        <f t="shared" si="0"/>
        <v>45264</v>
      </c>
      <c r="C10" s="121">
        <v>0</v>
      </c>
      <c r="D10" s="97">
        <f>2*5000</f>
        <v>10000</v>
      </c>
      <c r="E10" s="102">
        <v>0</v>
      </c>
      <c r="F10" s="97">
        <v>0</v>
      </c>
      <c r="G10" s="121">
        <v>0</v>
      </c>
      <c r="H10" s="97">
        <v>2500</v>
      </c>
      <c r="I10" s="121"/>
      <c r="J10" s="97">
        <f>5200+5000</f>
        <v>10200</v>
      </c>
      <c r="K10" s="121">
        <v>0</v>
      </c>
      <c r="L10" s="97">
        <v>4320</v>
      </c>
      <c r="M10" s="56">
        <f>SUM(C10:L10)</f>
        <v>27020</v>
      </c>
      <c r="N10" s="52">
        <v>27020</v>
      </c>
      <c r="O10" s="53">
        <f t="shared" si="1"/>
        <v>0</v>
      </c>
      <c r="Z10" s="78"/>
      <c r="AB10" s="68" t="s">
        <v>30</v>
      </c>
    </row>
    <row r="11" spans="2:28" x14ac:dyDescent="0.25">
      <c r="B11" s="15">
        <f t="shared" si="0"/>
        <v>45265</v>
      </c>
      <c r="C11" s="102">
        <v>0</v>
      </c>
      <c r="D11" s="97">
        <v>0</v>
      </c>
      <c r="E11" s="102">
        <v>0</v>
      </c>
      <c r="F11" s="97">
        <v>0</v>
      </c>
      <c r="G11" s="102">
        <v>0</v>
      </c>
      <c r="H11" s="97">
        <v>0</v>
      </c>
      <c r="I11" s="102">
        <v>3900</v>
      </c>
      <c r="J11" s="97">
        <f>5200+21900+30000</f>
        <v>57100</v>
      </c>
      <c r="K11" s="102">
        <v>0</v>
      </c>
      <c r="L11" s="97">
        <v>17500</v>
      </c>
      <c r="M11" s="56">
        <f t="shared" ref="M11:M38" si="2">SUM(C11:L11)</f>
        <v>78500</v>
      </c>
      <c r="N11" s="52">
        <v>78500</v>
      </c>
      <c r="O11" s="53">
        <f t="shared" si="1"/>
        <v>0</v>
      </c>
      <c r="Q11" s="123"/>
      <c r="R11" s="67"/>
      <c r="T11" s="123"/>
      <c r="U11" s="123" t="s">
        <v>33</v>
      </c>
      <c r="V11" s="123" t="s">
        <v>87</v>
      </c>
      <c r="W11" s="123" t="s">
        <v>97</v>
      </c>
      <c r="X11" s="68" t="s">
        <v>92</v>
      </c>
      <c r="Y11" s="68"/>
      <c r="AB11" s="67" t="s">
        <v>32</v>
      </c>
    </row>
    <row r="12" spans="2:28" x14ac:dyDescent="0.25">
      <c r="B12" s="15">
        <f t="shared" si="0"/>
        <v>45266</v>
      </c>
      <c r="C12" s="102">
        <v>0</v>
      </c>
      <c r="D12" s="97">
        <f>5000*3</f>
        <v>15000</v>
      </c>
      <c r="E12" s="102">
        <v>0</v>
      </c>
      <c r="F12" s="97">
        <f>2*5000</f>
        <v>10000</v>
      </c>
      <c r="G12" s="102">
        <v>0</v>
      </c>
      <c r="H12" s="97">
        <v>0</v>
      </c>
      <c r="I12" s="102">
        <v>5000</v>
      </c>
      <c r="J12" s="97">
        <f>4200+25400+3900</f>
        <v>33500</v>
      </c>
      <c r="K12" s="102">
        <v>0</v>
      </c>
      <c r="L12" s="97">
        <v>44850</v>
      </c>
      <c r="M12" s="56">
        <f t="shared" si="2"/>
        <v>108350</v>
      </c>
      <c r="N12" s="51">
        <v>108350</v>
      </c>
      <c r="O12" s="53">
        <f t="shared" si="1"/>
        <v>0</v>
      </c>
      <c r="Q12" s="123"/>
      <c r="S12" s="124"/>
      <c r="T12" s="123"/>
      <c r="U12" s="123" t="s">
        <v>33</v>
      </c>
      <c r="V12" s="67" t="s">
        <v>87</v>
      </c>
      <c r="X12" s="67" t="s">
        <v>92</v>
      </c>
      <c r="Y12" s="67"/>
      <c r="AB12" s="68" t="s">
        <v>106</v>
      </c>
    </row>
    <row r="13" spans="2:28" x14ac:dyDescent="0.25">
      <c r="B13" s="15">
        <f t="shared" si="0"/>
        <v>45267</v>
      </c>
      <c r="C13" s="102">
        <v>0</v>
      </c>
      <c r="D13" s="97">
        <v>0</v>
      </c>
      <c r="E13" s="102">
        <v>0</v>
      </c>
      <c r="F13" s="97">
        <v>0</v>
      </c>
      <c r="G13" s="102">
        <v>0</v>
      </c>
      <c r="H13" s="97">
        <f>3000+2500</f>
        <v>5500</v>
      </c>
      <c r="I13" s="102">
        <v>0</v>
      </c>
      <c r="J13" s="97">
        <f>5000+9000+15000</f>
        <v>29000</v>
      </c>
      <c r="K13" s="102">
        <v>0</v>
      </c>
      <c r="L13" s="97">
        <v>1000</v>
      </c>
      <c r="M13" s="56">
        <f t="shared" si="2"/>
        <v>35500</v>
      </c>
      <c r="N13" s="52">
        <v>35500</v>
      </c>
      <c r="O13" s="53">
        <f t="shared" si="1"/>
        <v>0</v>
      </c>
      <c r="P13" s="68" t="s">
        <v>30</v>
      </c>
      <c r="Q13" s="68" t="s">
        <v>39</v>
      </c>
      <c r="U13" s="123" t="s">
        <v>33</v>
      </c>
      <c r="V13" s="123"/>
      <c r="W13" s="123"/>
      <c r="X13" s="68" t="s">
        <v>92</v>
      </c>
      <c r="Y13" s="67" t="s">
        <v>102</v>
      </c>
      <c r="AB13" s="68" t="s">
        <v>52</v>
      </c>
    </row>
    <row r="14" spans="2:28" x14ac:dyDescent="0.25">
      <c r="B14" s="15">
        <f t="shared" si="0"/>
        <v>45268</v>
      </c>
      <c r="C14" s="121">
        <v>0</v>
      </c>
      <c r="D14" s="97">
        <v>0</v>
      </c>
      <c r="E14" s="102">
        <v>0</v>
      </c>
      <c r="F14" s="97">
        <f>5000*2</f>
        <v>10000</v>
      </c>
      <c r="G14" s="121">
        <v>0</v>
      </c>
      <c r="H14" s="97">
        <v>1500</v>
      </c>
      <c r="I14" s="121">
        <v>0</v>
      </c>
      <c r="J14" s="97">
        <f>800+1950</f>
        <v>2750</v>
      </c>
      <c r="K14" s="121">
        <v>0</v>
      </c>
      <c r="L14" s="97">
        <v>3300</v>
      </c>
      <c r="M14" s="56">
        <f t="shared" si="2"/>
        <v>17550</v>
      </c>
      <c r="N14" s="52">
        <v>17550</v>
      </c>
      <c r="O14" s="53">
        <f t="shared" si="1"/>
        <v>0</v>
      </c>
      <c r="P14" s="68" t="s">
        <v>82</v>
      </c>
      <c r="T14" s="123"/>
      <c r="U14" s="123"/>
      <c r="V14" s="78" t="s">
        <v>87</v>
      </c>
      <c r="W14" s="123"/>
      <c r="X14" s="68"/>
      <c r="Y14" s="68" t="s">
        <v>102</v>
      </c>
      <c r="AB14" s="68" t="s">
        <v>90</v>
      </c>
    </row>
    <row r="15" spans="2:28" x14ac:dyDescent="0.25">
      <c r="B15" s="15">
        <f t="shared" si="0"/>
        <v>45269</v>
      </c>
      <c r="C15" s="102">
        <v>0</v>
      </c>
      <c r="D15" s="97">
        <v>0</v>
      </c>
      <c r="E15" s="102">
        <v>0</v>
      </c>
      <c r="F15" s="97">
        <v>0</v>
      </c>
      <c r="G15" s="102">
        <v>0</v>
      </c>
      <c r="H15" s="97">
        <f>10000+1500</f>
        <v>11500</v>
      </c>
      <c r="I15" s="102">
        <v>0</v>
      </c>
      <c r="J15" s="97">
        <v>5200</v>
      </c>
      <c r="K15" s="102">
        <v>0</v>
      </c>
      <c r="L15" s="97">
        <v>0</v>
      </c>
      <c r="M15" s="56">
        <f t="shared" si="2"/>
        <v>16700</v>
      </c>
      <c r="N15" s="51">
        <v>16700</v>
      </c>
      <c r="O15" s="53">
        <f t="shared" si="1"/>
        <v>0</v>
      </c>
      <c r="P15" s="67" t="s">
        <v>39</v>
      </c>
      <c r="Q15" s="68" t="s">
        <v>82</v>
      </c>
      <c r="R15" s="109"/>
      <c r="S15" s="123"/>
      <c r="T15" s="123"/>
      <c r="U15" s="67" t="s">
        <v>33</v>
      </c>
      <c r="V15" s="123"/>
      <c r="W15" s="67"/>
      <c r="X15" s="123"/>
      <c r="Y15" s="68"/>
    </row>
    <row r="16" spans="2:28" x14ac:dyDescent="0.25">
      <c r="B16" s="15">
        <f t="shared" si="0"/>
        <v>45270</v>
      </c>
      <c r="C16" s="136">
        <v>0</v>
      </c>
      <c r="D16" s="137">
        <v>0</v>
      </c>
      <c r="E16" s="102">
        <v>0</v>
      </c>
      <c r="F16" s="97">
        <v>0</v>
      </c>
      <c r="G16" s="136">
        <v>0</v>
      </c>
      <c r="H16" s="97">
        <v>0</v>
      </c>
      <c r="I16" s="121">
        <v>0</v>
      </c>
      <c r="J16" s="97">
        <v>29500</v>
      </c>
      <c r="K16" s="121">
        <v>0</v>
      </c>
      <c r="L16" s="97">
        <v>0</v>
      </c>
      <c r="M16" s="56">
        <f t="shared" si="2"/>
        <v>29500</v>
      </c>
      <c r="N16" s="52">
        <v>29500</v>
      </c>
      <c r="O16" s="53">
        <f t="shared" si="1"/>
        <v>0</v>
      </c>
      <c r="R16" s="109"/>
      <c r="T16" s="123"/>
      <c r="U16" s="123" t="s">
        <v>33</v>
      </c>
      <c r="V16" s="78" t="s">
        <v>87</v>
      </c>
      <c r="W16" s="123"/>
      <c r="X16" s="68"/>
      <c r="Y16" s="68"/>
      <c r="AB16" s="94" t="s">
        <v>34</v>
      </c>
    </row>
    <row r="17" spans="2:28" x14ac:dyDescent="0.25">
      <c r="B17" s="15">
        <f t="shared" si="0"/>
        <v>45271</v>
      </c>
      <c r="C17" s="102">
        <v>0</v>
      </c>
      <c r="D17" s="97">
        <v>0</v>
      </c>
      <c r="E17" s="121">
        <v>0</v>
      </c>
      <c r="F17" s="122">
        <v>0</v>
      </c>
      <c r="G17" s="102">
        <v>0</v>
      </c>
      <c r="H17" s="122">
        <v>3000</v>
      </c>
      <c r="I17" s="102">
        <v>0</v>
      </c>
      <c r="J17" s="122">
        <v>3900</v>
      </c>
      <c r="K17" s="102">
        <v>0</v>
      </c>
      <c r="L17" s="122">
        <v>0</v>
      </c>
      <c r="M17" s="56">
        <f t="shared" si="2"/>
        <v>6900</v>
      </c>
      <c r="N17" s="52">
        <v>6900</v>
      </c>
      <c r="O17" s="53">
        <f t="shared" si="1"/>
        <v>0</v>
      </c>
      <c r="P17" s="68" t="s">
        <v>82</v>
      </c>
      <c r="Q17" s="123" t="s">
        <v>32</v>
      </c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45272</v>
      </c>
      <c r="C18" s="121">
        <v>0</v>
      </c>
      <c r="D18" s="97">
        <v>0</v>
      </c>
      <c r="E18" s="102">
        <v>0</v>
      </c>
      <c r="F18" s="97">
        <v>5000</v>
      </c>
      <c r="G18" s="121">
        <v>0</v>
      </c>
      <c r="H18" s="97">
        <v>0</v>
      </c>
      <c r="I18" s="121">
        <v>0</v>
      </c>
      <c r="J18" s="97">
        <f>13760+11160</f>
        <v>24920</v>
      </c>
      <c r="K18" s="121">
        <v>0</v>
      </c>
      <c r="L18" s="97">
        <v>0</v>
      </c>
      <c r="M18" s="56">
        <f t="shared" si="2"/>
        <v>29920</v>
      </c>
      <c r="N18" s="51">
        <v>29920</v>
      </c>
      <c r="O18" s="53">
        <f t="shared" si="1"/>
        <v>0</v>
      </c>
      <c r="Q18" s="109"/>
      <c r="R18" s="127"/>
      <c r="S18" s="109"/>
      <c r="U18" s="67"/>
      <c r="V18" s="123"/>
      <c r="W18" s="128"/>
      <c r="X18" s="80"/>
      <c r="AB18" s="78" t="s">
        <v>92</v>
      </c>
    </row>
    <row r="19" spans="2:28" x14ac:dyDescent="0.25">
      <c r="B19" s="15">
        <f t="shared" si="0"/>
        <v>45273</v>
      </c>
      <c r="C19" s="102">
        <v>0</v>
      </c>
      <c r="D19" s="97">
        <v>0</v>
      </c>
      <c r="E19" s="102">
        <v>0</v>
      </c>
      <c r="F19" s="97">
        <v>0</v>
      </c>
      <c r="G19" s="102">
        <v>1500</v>
      </c>
      <c r="H19" s="97">
        <v>1500</v>
      </c>
      <c r="I19" s="102">
        <f>22620+13000+3800</f>
        <v>39420</v>
      </c>
      <c r="J19" s="97">
        <f>3900+9590</f>
        <v>13490</v>
      </c>
      <c r="K19" s="102">
        <v>0</v>
      </c>
      <c r="L19" s="97">
        <f>2000+3300</f>
        <v>5300</v>
      </c>
      <c r="M19" s="56">
        <f>SUM(C19:L19)</f>
        <v>61210</v>
      </c>
      <c r="N19" s="52">
        <v>61210</v>
      </c>
      <c r="O19" s="53">
        <f t="shared" si="1"/>
        <v>0</v>
      </c>
      <c r="P19" s="123" t="s">
        <v>32</v>
      </c>
      <c r="R19" s="123"/>
      <c r="U19" s="128" t="s">
        <v>33</v>
      </c>
      <c r="V19" s="78" t="s">
        <v>87</v>
      </c>
      <c r="W19" s="67"/>
      <c r="X19" s="80"/>
      <c r="Y19" s="78"/>
      <c r="Z19" s="123"/>
      <c r="AB19" s="67" t="s">
        <v>49</v>
      </c>
    </row>
    <row r="20" spans="2:28" x14ac:dyDescent="0.25">
      <c r="B20" s="15">
        <f t="shared" si="0"/>
        <v>45274</v>
      </c>
      <c r="C20" s="102">
        <v>0</v>
      </c>
      <c r="D20" s="122">
        <v>0</v>
      </c>
      <c r="E20" s="102">
        <v>0</v>
      </c>
      <c r="F20" s="97">
        <v>0</v>
      </c>
      <c r="G20" s="102">
        <v>0</v>
      </c>
      <c r="H20" s="97">
        <v>1500</v>
      </c>
      <c r="I20" s="102">
        <v>0</v>
      </c>
      <c r="J20" s="97">
        <v>4400</v>
      </c>
      <c r="K20" s="102">
        <v>0</v>
      </c>
      <c r="L20" s="97">
        <v>0</v>
      </c>
      <c r="M20" s="56">
        <f t="shared" si="2"/>
        <v>5900</v>
      </c>
      <c r="N20" s="52">
        <v>5900</v>
      </c>
      <c r="O20" s="53">
        <f t="shared" si="1"/>
        <v>0</v>
      </c>
      <c r="P20" s="68" t="s">
        <v>30</v>
      </c>
      <c r="Q20" s="67"/>
      <c r="T20" s="123"/>
      <c r="U20" s="123"/>
      <c r="V20" s="78" t="s">
        <v>87</v>
      </c>
      <c r="W20" s="123"/>
      <c r="X20" s="68"/>
      <c r="Y20" s="67"/>
      <c r="AB20" s="78" t="s">
        <v>33</v>
      </c>
    </row>
    <row r="21" spans="2:28" x14ac:dyDescent="0.25">
      <c r="B21" s="15">
        <f>B20+1</f>
        <v>45275</v>
      </c>
      <c r="C21" s="102">
        <v>0</v>
      </c>
      <c r="D21" s="97">
        <v>0</v>
      </c>
      <c r="E21" s="102">
        <v>0</v>
      </c>
      <c r="F21" s="97">
        <v>0</v>
      </c>
      <c r="G21" s="102">
        <v>0</v>
      </c>
      <c r="H21" s="97">
        <v>1500</v>
      </c>
      <c r="I21" s="102">
        <v>0</v>
      </c>
      <c r="J21" s="97">
        <f>4200+4200+26410+6150</f>
        <v>40960</v>
      </c>
      <c r="K21" s="102">
        <v>0</v>
      </c>
      <c r="L21" s="97">
        <v>0</v>
      </c>
      <c r="M21" s="56">
        <f t="shared" si="2"/>
        <v>42460</v>
      </c>
      <c r="N21" s="51">
        <v>42460</v>
      </c>
      <c r="O21" s="53">
        <f t="shared" si="1"/>
        <v>0</v>
      </c>
      <c r="P21" s="68" t="s">
        <v>30</v>
      </c>
      <c r="Q21" s="123"/>
      <c r="T21" s="123"/>
      <c r="U21" s="128" t="s">
        <v>33</v>
      </c>
      <c r="V21" s="78" t="s">
        <v>87</v>
      </c>
      <c r="W21" s="123"/>
      <c r="X21" s="68"/>
      <c r="Y21" s="67"/>
      <c r="AB21" s="123" t="s">
        <v>102</v>
      </c>
    </row>
    <row r="22" spans="2:28" x14ac:dyDescent="0.25">
      <c r="B22" s="15">
        <f t="shared" si="0"/>
        <v>45276</v>
      </c>
      <c r="C22" s="102">
        <v>0</v>
      </c>
      <c r="D22" s="97">
        <v>0</v>
      </c>
      <c r="E22" s="102">
        <v>0</v>
      </c>
      <c r="F22" s="97">
        <v>0</v>
      </c>
      <c r="G22" s="102">
        <v>0</v>
      </c>
      <c r="H22" s="97">
        <v>5000</v>
      </c>
      <c r="I22" s="102">
        <v>0</v>
      </c>
      <c r="J22" s="97">
        <v>0</v>
      </c>
      <c r="K22" s="102">
        <v>0</v>
      </c>
      <c r="L22" s="97">
        <v>14040</v>
      </c>
      <c r="M22" s="56">
        <f t="shared" si="2"/>
        <v>19040</v>
      </c>
      <c r="N22" s="52">
        <v>19040</v>
      </c>
      <c r="O22" s="53">
        <f t="shared" si="1"/>
        <v>0</v>
      </c>
      <c r="S22" s="67"/>
      <c r="T22" s="123"/>
      <c r="U22" s="123"/>
      <c r="V22" s="123"/>
      <c r="W22" s="123"/>
      <c r="X22" s="68"/>
      <c r="Y22" s="67"/>
      <c r="AB22" s="67" t="s">
        <v>87</v>
      </c>
    </row>
    <row r="23" spans="2:28" x14ac:dyDescent="0.25">
      <c r="B23" s="15">
        <f t="shared" si="0"/>
        <v>45277</v>
      </c>
      <c r="C23" s="102">
        <v>0</v>
      </c>
      <c r="D23" s="97">
        <v>0</v>
      </c>
      <c r="E23" s="102">
        <v>0</v>
      </c>
      <c r="F23" s="97">
        <v>0</v>
      </c>
      <c r="G23" s="102">
        <v>0</v>
      </c>
      <c r="H23" s="97">
        <v>0</v>
      </c>
      <c r="I23" s="102">
        <v>0</v>
      </c>
      <c r="J23" s="97">
        <v>0</v>
      </c>
      <c r="K23" s="102">
        <v>0</v>
      </c>
      <c r="L23" s="97">
        <v>9600</v>
      </c>
      <c r="M23" s="56">
        <f t="shared" si="2"/>
        <v>9600</v>
      </c>
      <c r="N23" s="52">
        <v>9600</v>
      </c>
      <c r="O23" s="53">
        <f t="shared" si="1"/>
        <v>0</v>
      </c>
      <c r="S23" s="124"/>
      <c r="T23" s="123"/>
      <c r="U23" s="123"/>
      <c r="V23" s="123"/>
      <c r="W23" s="123"/>
      <c r="X23" s="68"/>
      <c r="Y23" s="67"/>
      <c r="AB23" s="78" t="s">
        <v>97</v>
      </c>
    </row>
    <row r="24" spans="2:28" x14ac:dyDescent="0.25">
      <c r="B24" s="15">
        <f t="shared" si="0"/>
        <v>45278</v>
      </c>
      <c r="C24" s="121">
        <v>0</v>
      </c>
      <c r="D24" s="97">
        <v>0</v>
      </c>
      <c r="E24" s="102">
        <v>0</v>
      </c>
      <c r="F24" s="97">
        <v>0</v>
      </c>
      <c r="G24" s="121">
        <v>1500</v>
      </c>
      <c r="H24" s="97">
        <v>3800</v>
      </c>
      <c r="I24" s="121">
        <v>4200</v>
      </c>
      <c r="J24" s="97">
        <f>6750+5200</f>
        <v>11950</v>
      </c>
      <c r="K24" s="121">
        <v>0</v>
      </c>
      <c r="L24" s="97">
        <f>3300+14100</f>
        <v>17400</v>
      </c>
      <c r="M24" s="56">
        <f t="shared" si="2"/>
        <v>38850</v>
      </c>
      <c r="N24" s="51">
        <v>38850</v>
      </c>
      <c r="O24" s="53">
        <f t="shared" si="1"/>
        <v>0</v>
      </c>
      <c r="P24" s="68" t="s">
        <v>30</v>
      </c>
      <c r="Q24" s="67"/>
      <c r="R24" s="123"/>
      <c r="S24" s="123"/>
      <c r="T24" s="123"/>
      <c r="U24" s="123" t="s">
        <v>33</v>
      </c>
      <c r="V24" s="123" t="s">
        <v>87</v>
      </c>
      <c r="W24" s="123"/>
      <c r="X24" s="68"/>
      <c r="AA24" s="78"/>
      <c r="AB24" s="68"/>
    </row>
    <row r="25" spans="2:28" x14ac:dyDescent="0.25">
      <c r="B25" s="15">
        <f t="shared" si="0"/>
        <v>45279</v>
      </c>
      <c r="C25" s="102">
        <v>0</v>
      </c>
      <c r="D25" s="97">
        <v>0</v>
      </c>
      <c r="E25" s="102">
        <v>0</v>
      </c>
      <c r="F25" s="97">
        <v>0</v>
      </c>
      <c r="G25" s="102">
        <v>0</v>
      </c>
      <c r="H25" s="97">
        <v>1500</v>
      </c>
      <c r="I25" s="102">
        <v>0</v>
      </c>
      <c r="J25" s="97">
        <v>22920</v>
      </c>
      <c r="K25" s="102">
        <v>0</v>
      </c>
      <c r="L25" s="97">
        <v>0</v>
      </c>
      <c r="M25" s="56">
        <f t="shared" si="2"/>
        <v>24420</v>
      </c>
      <c r="N25" s="52">
        <v>24420</v>
      </c>
      <c r="O25" s="53">
        <f t="shared" si="1"/>
        <v>0</v>
      </c>
      <c r="P25" s="68" t="s">
        <v>30</v>
      </c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45280</v>
      </c>
      <c r="C26" s="102">
        <v>0</v>
      </c>
      <c r="D26" s="97">
        <v>0</v>
      </c>
      <c r="E26" s="102">
        <v>0</v>
      </c>
      <c r="F26" s="97">
        <v>0</v>
      </c>
      <c r="G26" s="102">
        <v>0</v>
      </c>
      <c r="H26" s="97">
        <f>1500+5000+370000+1500</f>
        <v>378000</v>
      </c>
      <c r="I26" s="102">
        <v>0</v>
      </c>
      <c r="J26" s="97">
        <v>0</v>
      </c>
      <c r="K26" s="102">
        <v>0</v>
      </c>
      <c r="L26" s="97">
        <v>3300</v>
      </c>
      <c r="M26" s="56">
        <f t="shared" si="2"/>
        <v>381300</v>
      </c>
      <c r="N26" s="52">
        <v>381300</v>
      </c>
      <c r="O26" s="53">
        <f t="shared" si="1"/>
        <v>0</v>
      </c>
      <c r="P26" s="68" t="s">
        <v>30</v>
      </c>
      <c r="Q26" s="109" t="s">
        <v>39</v>
      </c>
      <c r="R26" s="124" t="s">
        <v>82</v>
      </c>
      <c r="S26" s="67" t="s">
        <v>32</v>
      </c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45281</v>
      </c>
      <c r="C27" s="102">
        <v>0</v>
      </c>
      <c r="D27" s="97">
        <v>0</v>
      </c>
      <c r="E27" s="102">
        <v>0</v>
      </c>
      <c r="F27" s="97">
        <v>0</v>
      </c>
      <c r="G27" s="102">
        <v>11500</v>
      </c>
      <c r="H27" s="97">
        <v>0</v>
      </c>
      <c r="I27" s="102">
        <v>0</v>
      </c>
      <c r="J27" s="137">
        <v>0</v>
      </c>
      <c r="K27" s="102">
        <v>0</v>
      </c>
      <c r="L27" s="97">
        <v>0</v>
      </c>
      <c r="M27" s="144">
        <f t="shared" si="2"/>
        <v>11500</v>
      </c>
      <c r="N27" s="145">
        <v>11500</v>
      </c>
      <c r="O27" s="53">
        <f t="shared" si="1"/>
        <v>0</v>
      </c>
      <c r="P27" s="68" t="s">
        <v>82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45282</v>
      </c>
      <c r="C28" s="102">
        <v>0</v>
      </c>
      <c r="D28" s="97">
        <v>0</v>
      </c>
      <c r="E28" s="102">
        <v>0</v>
      </c>
      <c r="F28" s="97">
        <v>0</v>
      </c>
      <c r="G28" s="102">
        <v>0</v>
      </c>
      <c r="H28" s="97">
        <f>2500+1500</f>
        <v>4000</v>
      </c>
      <c r="I28" s="102">
        <v>0</v>
      </c>
      <c r="J28" s="97">
        <v>1344</v>
      </c>
      <c r="K28" s="102">
        <v>0</v>
      </c>
      <c r="L28" s="97">
        <v>5000</v>
      </c>
      <c r="M28" s="56">
        <f t="shared" si="2"/>
        <v>10344</v>
      </c>
      <c r="N28" s="52">
        <v>10344</v>
      </c>
      <c r="O28" s="53">
        <f t="shared" si="1"/>
        <v>0</v>
      </c>
      <c r="P28" s="68" t="s">
        <v>39</v>
      </c>
      <c r="Q28" s="123" t="s">
        <v>82</v>
      </c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45283</v>
      </c>
      <c r="C29" s="102">
        <v>0</v>
      </c>
      <c r="D29" s="97">
        <v>0</v>
      </c>
      <c r="E29" s="102">
        <v>0</v>
      </c>
      <c r="F29" s="97">
        <v>0</v>
      </c>
      <c r="G29" s="102">
        <v>0</v>
      </c>
      <c r="H29" s="97">
        <v>0</v>
      </c>
      <c r="I29" s="102">
        <v>0</v>
      </c>
      <c r="J29" s="97">
        <v>0</v>
      </c>
      <c r="K29" s="102">
        <v>0</v>
      </c>
      <c r="L29" s="97">
        <v>0</v>
      </c>
      <c r="M29" s="56">
        <f t="shared" si="2"/>
        <v>0</v>
      </c>
      <c r="N29" s="52">
        <v>0</v>
      </c>
      <c r="O29" s="53">
        <f t="shared" si="1"/>
        <v>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45284</v>
      </c>
      <c r="C30" s="138">
        <v>0</v>
      </c>
      <c r="D30" s="137">
        <v>0</v>
      </c>
      <c r="E30" s="102">
        <v>0</v>
      </c>
      <c r="F30" s="97">
        <v>0</v>
      </c>
      <c r="G30" s="102">
        <v>0</v>
      </c>
      <c r="H30" s="97">
        <v>11500</v>
      </c>
      <c r="I30" s="102">
        <v>0</v>
      </c>
      <c r="J30" s="97">
        <v>0</v>
      </c>
      <c r="K30" s="138">
        <v>0</v>
      </c>
      <c r="L30" s="137">
        <v>0</v>
      </c>
      <c r="M30" s="56">
        <f t="shared" si="2"/>
        <v>11500</v>
      </c>
      <c r="N30" s="51">
        <v>11500</v>
      </c>
      <c r="O30" s="53">
        <f t="shared" si="1"/>
        <v>0</v>
      </c>
      <c r="P30" s="68" t="s">
        <v>82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45285</v>
      </c>
      <c r="C31" s="121">
        <v>0</v>
      </c>
      <c r="D31" s="97">
        <v>0</v>
      </c>
      <c r="E31" s="102">
        <v>0</v>
      </c>
      <c r="F31" s="97">
        <v>0</v>
      </c>
      <c r="G31" s="121">
        <v>0</v>
      </c>
      <c r="H31" s="97">
        <v>0</v>
      </c>
      <c r="I31" s="121">
        <v>0</v>
      </c>
      <c r="J31" s="97">
        <v>13700</v>
      </c>
      <c r="K31" s="121">
        <v>0</v>
      </c>
      <c r="L31" s="97">
        <v>0</v>
      </c>
      <c r="M31" s="56">
        <f t="shared" si="2"/>
        <v>13700</v>
      </c>
      <c r="N31" s="52">
        <v>13700</v>
      </c>
      <c r="O31" s="53">
        <f t="shared" si="1"/>
        <v>0</v>
      </c>
      <c r="Q31" s="123"/>
      <c r="R31" s="127"/>
      <c r="T31" s="123"/>
      <c r="U31" s="123" t="s">
        <v>33</v>
      </c>
      <c r="V31" s="123" t="s">
        <v>87</v>
      </c>
      <c r="W31" s="78"/>
      <c r="X31" s="68"/>
      <c r="Z31" s="68"/>
      <c r="AA31" s="78"/>
      <c r="AB31" s="67"/>
    </row>
    <row r="32" spans="2:28" x14ac:dyDescent="0.25">
      <c r="B32" s="15">
        <f t="shared" si="0"/>
        <v>45286</v>
      </c>
      <c r="C32" s="102">
        <v>0</v>
      </c>
      <c r="D32" s="97">
        <v>0</v>
      </c>
      <c r="E32" s="102">
        <v>0</v>
      </c>
      <c r="F32" s="97">
        <v>0</v>
      </c>
      <c r="G32" s="102">
        <v>0</v>
      </c>
      <c r="H32" s="97">
        <v>2500</v>
      </c>
      <c r="I32" s="102">
        <v>0</v>
      </c>
      <c r="J32" s="97">
        <v>0</v>
      </c>
      <c r="K32" s="102">
        <v>0</v>
      </c>
      <c r="L32" s="97">
        <v>0</v>
      </c>
      <c r="M32" s="56">
        <f t="shared" si="2"/>
        <v>2500</v>
      </c>
      <c r="N32" s="52">
        <v>2500</v>
      </c>
      <c r="O32" s="53">
        <f t="shared" si="1"/>
        <v>0</v>
      </c>
      <c r="P32" s="68" t="s">
        <v>39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45287</v>
      </c>
      <c r="C33" s="102">
        <v>0</v>
      </c>
      <c r="D33" s="97">
        <v>0</v>
      </c>
      <c r="E33" s="102">
        <v>0</v>
      </c>
      <c r="F33" s="97">
        <v>0</v>
      </c>
      <c r="G33" s="102">
        <v>0</v>
      </c>
      <c r="H33" s="97">
        <v>0</v>
      </c>
      <c r="I33" s="102">
        <v>0</v>
      </c>
      <c r="J33" s="97">
        <v>13860</v>
      </c>
      <c r="K33" s="102">
        <v>0</v>
      </c>
      <c r="L33" s="97">
        <v>26100</v>
      </c>
      <c r="M33" s="56">
        <f t="shared" si="2"/>
        <v>39960</v>
      </c>
      <c r="N33" s="51">
        <v>39960</v>
      </c>
      <c r="O33" s="53">
        <f t="shared" si="1"/>
        <v>0</v>
      </c>
      <c r="Q33" s="109"/>
      <c r="R33" s="111"/>
      <c r="S33" s="111"/>
      <c r="T33" s="109"/>
      <c r="U33" s="109" t="s">
        <v>33</v>
      </c>
      <c r="V33" s="109"/>
      <c r="X33" s="68"/>
      <c r="Z33" s="67"/>
      <c r="AA33" s="78"/>
      <c r="AB33" s="68"/>
    </row>
    <row r="34" spans="1:28" x14ac:dyDescent="0.25">
      <c r="B34" s="15">
        <f t="shared" si="0"/>
        <v>45288</v>
      </c>
      <c r="C34" s="102">
        <v>0</v>
      </c>
      <c r="D34" s="97">
        <v>0</v>
      </c>
      <c r="E34" s="102">
        <v>0</v>
      </c>
      <c r="F34" s="97">
        <v>0</v>
      </c>
      <c r="G34" s="138">
        <v>0</v>
      </c>
      <c r="H34" s="137">
        <v>0</v>
      </c>
      <c r="I34" s="138">
        <v>3804</v>
      </c>
      <c r="J34" s="137">
        <v>0</v>
      </c>
      <c r="K34" s="138">
        <v>0</v>
      </c>
      <c r="L34" s="137">
        <v>0</v>
      </c>
      <c r="M34" s="56">
        <f t="shared" si="2"/>
        <v>3804</v>
      </c>
      <c r="N34" s="52">
        <v>3804</v>
      </c>
      <c r="O34" s="53">
        <f t="shared" si="1"/>
        <v>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45289</v>
      </c>
      <c r="C35" s="102">
        <v>0</v>
      </c>
      <c r="D35" s="97">
        <v>0</v>
      </c>
      <c r="E35" s="102">
        <v>0</v>
      </c>
      <c r="F35" s="97">
        <v>0</v>
      </c>
      <c r="G35" s="102">
        <v>0</v>
      </c>
      <c r="H35" s="97">
        <v>0</v>
      </c>
      <c r="I35" s="102">
        <v>0</v>
      </c>
      <c r="J35" s="97">
        <v>0</v>
      </c>
      <c r="K35" s="102">
        <v>0</v>
      </c>
      <c r="L35" s="97">
        <v>0</v>
      </c>
      <c r="M35" s="56">
        <f t="shared" si="2"/>
        <v>0</v>
      </c>
      <c r="N35" s="54">
        <v>0</v>
      </c>
      <c r="O35" s="55">
        <f t="shared" si="1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45290</v>
      </c>
      <c r="C36" s="102">
        <v>0</v>
      </c>
      <c r="D36" s="97">
        <v>0</v>
      </c>
      <c r="E36" s="102">
        <v>0</v>
      </c>
      <c r="F36" s="97">
        <v>0</v>
      </c>
      <c r="G36" s="102">
        <v>0</v>
      </c>
      <c r="H36" s="97">
        <v>0</v>
      </c>
      <c r="I36" s="102">
        <v>0</v>
      </c>
      <c r="J36" s="97">
        <v>0</v>
      </c>
      <c r="K36" s="102">
        <v>0</v>
      </c>
      <c r="L36" s="97">
        <v>0</v>
      </c>
      <c r="M36" s="56">
        <f t="shared" si="2"/>
        <v>0</v>
      </c>
      <c r="N36" s="54">
        <v>0</v>
      </c>
      <c r="O36" s="55">
        <f t="shared" si="1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0"/>
        <v>45291</v>
      </c>
      <c r="C37" s="102">
        <v>0</v>
      </c>
      <c r="D37" s="97">
        <v>0</v>
      </c>
      <c r="E37" s="102">
        <v>0</v>
      </c>
      <c r="F37" s="97">
        <v>0</v>
      </c>
      <c r="G37" s="102">
        <v>0</v>
      </c>
      <c r="H37" s="97">
        <v>0</v>
      </c>
      <c r="I37" s="102">
        <v>0</v>
      </c>
      <c r="J37" s="97">
        <v>0</v>
      </c>
      <c r="K37" s="102">
        <v>0</v>
      </c>
      <c r="L37" s="97">
        <v>0</v>
      </c>
      <c r="M37" s="56">
        <f t="shared" si="2"/>
        <v>0</v>
      </c>
      <c r="N37" s="54">
        <v>0</v>
      </c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139">
        <f>SUM(C7:C38)</f>
        <v>0</v>
      </c>
      <c r="D39" s="140">
        <f>SUM(D7:D38)</f>
        <v>25000</v>
      </c>
      <c r="E39" s="24">
        <f t="shared" ref="E39:L39" si="3">SUM(E7:E38)</f>
        <v>5000</v>
      </c>
      <c r="F39" s="59">
        <f t="shared" si="3"/>
        <v>40000</v>
      </c>
      <c r="G39" s="139">
        <f t="shared" si="3"/>
        <v>326000</v>
      </c>
      <c r="H39" s="140">
        <f t="shared" si="3"/>
        <v>453300</v>
      </c>
      <c r="I39" s="24">
        <f t="shared" si="3"/>
        <v>86694</v>
      </c>
      <c r="J39" s="140">
        <f t="shared" si="3"/>
        <v>363554</v>
      </c>
      <c r="K39" s="139">
        <f t="shared" si="3"/>
        <v>0</v>
      </c>
      <c r="L39" s="140">
        <f t="shared" si="3"/>
        <v>176470</v>
      </c>
      <c r="M39" s="147">
        <f>SUM(M7:M38)</f>
        <v>1476018</v>
      </c>
      <c r="N39" s="146">
        <f>SUM(N7:N38)</f>
        <v>1476018</v>
      </c>
      <c r="O39" s="26">
        <f>N39-M39</f>
        <v>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25000</v>
      </c>
      <c r="D40" s="282"/>
      <c r="E40" s="267">
        <f>SUM(E39:F39)</f>
        <v>45000</v>
      </c>
      <c r="F40" s="269"/>
      <c r="G40" s="281">
        <f>SUM(G39:H39)</f>
        <v>779300</v>
      </c>
      <c r="H40" s="282"/>
      <c r="I40" s="267">
        <f>SUM(I39:J39)</f>
        <v>450248</v>
      </c>
      <c r="J40" s="268"/>
      <c r="K40" s="281">
        <f>SUM(K39:L39)</f>
        <v>176470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45260</v>
      </c>
      <c r="C45" s="3">
        <v>0</v>
      </c>
      <c r="D45" s="14">
        <v>1270000</v>
      </c>
      <c r="E45" s="3">
        <v>0</v>
      </c>
      <c r="F45" s="14">
        <v>1350000</v>
      </c>
      <c r="G45" s="3">
        <v>0</v>
      </c>
      <c r="H45" s="14">
        <v>7200</v>
      </c>
      <c r="I45" s="3">
        <v>0</v>
      </c>
      <c r="J45" s="14">
        <v>37160</v>
      </c>
      <c r="K45" s="134">
        <v>0</v>
      </c>
      <c r="L45" s="14">
        <v>61600</v>
      </c>
      <c r="M45" s="3">
        <f>SUM(C45:L45)</f>
        <v>2725960</v>
      </c>
      <c r="N45" s="3">
        <v>2725960</v>
      </c>
      <c r="O45" s="3">
        <f>N45-M45</f>
        <v>0</v>
      </c>
      <c r="P45" s="85">
        <v>45261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45291</v>
      </c>
      <c r="C48" s="3">
        <v>0</v>
      </c>
      <c r="D48" s="14">
        <f>D36</f>
        <v>0</v>
      </c>
      <c r="E48" s="3">
        <v>0</v>
      </c>
      <c r="F48" s="14">
        <f>F36</f>
        <v>0</v>
      </c>
      <c r="G48" s="3">
        <v>0</v>
      </c>
      <c r="H48" s="14">
        <f>H36</f>
        <v>0</v>
      </c>
      <c r="I48" s="3">
        <v>0</v>
      </c>
      <c r="J48" s="14">
        <f>J36</f>
        <v>0</v>
      </c>
      <c r="K48" s="134">
        <v>0</v>
      </c>
      <c r="L48" s="14">
        <f>L36</f>
        <v>0</v>
      </c>
      <c r="M48" s="3">
        <f>SUM(C48:L48)</f>
        <v>0</v>
      </c>
      <c r="N48" s="3"/>
      <c r="O48" s="3">
        <f>N48-M48</f>
        <v>0</v>
      </c>
      <c r="P48" s="85">
        <v>45292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1270000</v>
      </c>
      <c r="E50" s="262">
        <f>F45+F46-F47-F48</f>
        <v>1350000</v>
      </c>
      <c r="F50" s="263"/>
      <c r="G50" s="262">
        <f>H45+H46-H47-H48</f>
        <v>7200</v>
      </c>
      <c r="H50" s="263"/>
      <c r="I50" s="262">
        <f>J45+J46-J47-J48</f>
        <v>37160</v>
      </c>
      <c r="J50" s="263"/>
      <c r="K50" s="262">
        <f>L45+L46-L47-L48</f>
        <v>61600</v>
      </c>
      <c r="L50" s="263"/>
    </row>
    <row r="51" spans="2:28" x14ac:dyDescent="0.25">
      <c r="B51" s="264" t="s">
        <v>12</v>
      </c>
      <c r="C51" s="264"/>
      <c r="D51" s="31">
        <f>D39+D50</f>
        <v>1295000</v>
      </c>
      <c r="E51" s="265">
        <f>F39+E50</f>
        <v>1390000</v>
      </c>
      <c r="F51" s="266"/>
      <c r="G51" s="265">
        <f>H39+G50</f>
        <v>460500</v>
      </c>
      <c r="H51" s="266"/>
      <c r="I51" s="286">
        <f>J39+I50</f>
        <v>400714</v>
      </c>
      <c r="J51" s="287"/>
      <c r="K51" s="265">
        <f>L39+K50</f>
        <v>238070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3784284</v>
      </c>
      <c r="E52" s="283"/>
      <c r="F52" s="283"/>
      <c r="G52" s="283"/>
      <c r="H52" s="283"/>
      <c r="I52" s="148"/>
      <c r="J52" s="148"/>
      <c r="K52" s="148"/>
      <c r="L52" s="148"/>
      <c r="P52" s="86"/>
      <c r="Q52" s="86"/>
      <c r="R52" s="86" t="s">
        <v>119</v>
      </c>
      <c r="S52" s="86" t="s">
        <v>120</v>
      </c>
      <c r="T52" s="86"/>
      <c r="U52" s="86"/>
      <c r="AA52" s="142"/>
      <c r="AB52" s="86"/>
    </row>
    <row r="53" spans="2:28" x14ac:dyDescent="0.25">
      <c r="R53" s="68" t="s">
        <v>118</v>
      </c>
      <c r="S53" s="68" t="s">
        <v>121</v>
      </c>
      <c r="Y53" s="4"/>
      <c r="AA53" s="143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D51*0.009-367.74</f>
        <v>11287.26</v>
      </c>
      <c r="P54" s="87">
        <v>1.55E-2</v>
      </c>
      <c r="R54" s="68" t="s">
        <v>98</v>
      </c>
      <c r="S54" s="87">
        <v>8.9999999999999993E-3</v>
      </c>
      <c r="Y54" s="4"/>
      <c r="AA54" s="78"/>
      <c r="AB54" s="68"/>
    </row>
    <row r="55" spans="2:28" x14ac:dyDescent="0.25">
      <c r="B55" s="72" t="s">
        <v>13</v>
      </c>
      <c r="C55" s="149">
        <f>C39+G39+E39+I39+K39</f>
        <v>417694</v>
      </c>
      <c r="D55" s="149">
        <f>D39+H39+F39+J39+L39</f>
        <v>1058324</v>
      </c>
      <c r="E55" s="58"/>
      <c r="F55" s="58"/>
      <c r="M55" s="63" t="s">
        <v>25</v>
      </c>
      <c r="N55" s="64">
        <f>E51*0.009-367.75</f>
        <v>12142.249999999998</v>
      </c>
      <c r="P55" s="88"/>
      <c r="R55" s="68" t="s">
        <v>99</v>
      </c>
      <c r="S55" s="78" t="s">
        <v>122</v>
      </c>
      <c r="Z55" s="71"/>
      <c r="AA55" s="68"/>
      <c r="AB55" s="68"/>
    </row>
    <row r="56" spans="2:28" x14ac:dyDescent="0.25">
      <c r="C56" s="284">
        <f>SUM(C55:D55)</f>
        <v>1476018</v>
      </c>
      <c r="D56" s="285"/>
      <c r="E56" s="57"/>
      <c r="F56" s="57"/>
      <c r="M56" s="63" t="s">
        <v>28</v>
      </c>
      <c r="N56" s="64">
        <f>G51*0.009</f>
        <v>4144.5</v>
      </c>
      <c r="R56" s="87"/>
      <c r="S56" s="130"/>
      <c r="T56" s="280"/>
      <c r="U56" s="280"/>
      <c r="Y56" s="4"/>
      <c r="AA56" s="78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I51*0.009</f>
        <v>3606.4259999999999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K51*0.009</f>
        <v>2142.6299999999997</v>
      </c>
      <c r="Y58" s="4"/>
      <c r="AA58" s="78"/>
      <c r="AB58" s="68"/>
    </row>
    <row r="59" spans="2:28" x14ac:dyDescent="0.25">
      <c r="J59" t="s">
        <v>3</v>
      </c>
      <c r="N59" s="64">
        <f>SUM(N54:N58)</f>
        <v>33323.065999999999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4201978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3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B51:C51"/>
    <mergeCell ref="E51:F51"/>
    <mergeCell ref="G51:H51"/>
    <mergeCell ref="I51:J51"/>
    <mergeCell ref="K51:L51"/>
    <mergeCell ref="B50:C50"/>
    <mergeCell ref="E50:F50"/>
    <mergeCell ref="G50:H50"/>
    <mergeCell ref="I50:J50"/>
    <mergeCell ref="K50:L50"/>
    <mergeCell ref="B52:C52"/>
    <mergeCell ref="D52:H52"/>
    <mergeCell ref="C56:D56"/>
    <mergeCell ref="T56:U56"/>
    <mergeCell ref="C60:D60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72"/>
  <sheetViews>
    <sheetView workbookViewId="0">
      <selection activeCell="F15" sqref="F15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9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44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22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45292</v>
      </c>
      <c r="C7" s="102">
        <v>0</v>
      </c>
      <c r="D7" s="97">
        <v>0</v>
      </c>
      <c r="E7" s="102">
        <v>0</v>
      </c>
      <c r="F7" s="97">
        <v>0</v>
      </c>
      <c r="G7" s="119">
        <v>0</v>
      </c>
      <c r="H7" s="120">
        <v>0</v>
      </c>
      <c r="I7" s="119">
        <v>0</v>
      </c>
      <c r="J7" s="120">
        <v>0</v>
      </c>
      <c r="K7" s="119">
        <v>0</v>
      </c>
      <c r="L7" s="120">
        <v>0</v>
      </c>
      <c r="M7" s="56">
        <f>SUM(C7:L7)</f>
        <v>0</v>
      </c>
      <c r="N7" s="52">
        <v>0</v>
      </c>
      <c r="O7" s="53">
        <f>N7-M7</f>
        <v>0</v>
      </c>
      <c r="Q7" s="109"/>
      <c r="R7" s="123"/>
      <c r="S7" s="123"/>
      <c r="T7" s="106"/>
      <c r="U7" s="123" t="s">
        <v>33</v>
      </c>
      <c r="V7" s="67" t="s">
        <v>87</v>
      </c>
      <c r="X7" s="67" t="s">
        <v>92</v>
      </c>
      <c r="Z7" s="78"/>
      <c r="AB7" s="68" t="s">
        <v>82</v>
      </c>
    </row>
    <row r="8" spans="2:28" x14ac:dyDescent="0.25">
      <c r="B8" s="15">
        <f t="shared" ref="B8:B37" si="0">B7+1</f>
        <v>45293</v>
      </c>
      <c r="C8" s="121">
        <v>0</v>
      </c>
      <c r="D8" s="97">
        <v>0</v>
      </c>
      <c r="E8" s="102">
        <v>0</v>
      </c>
      <c r="F8" s="97">
        <v>0</v>
      </c>
      <c r="G8" s="121">
        <v>0</v>
      </c>
      <c r="H8" s="97">
        <v>0</v>
      </c>
      <c r="I8" s="121">
        <v>0</v>
      </c>
      <c r="J8" s="97">
        <v>0</v>
      </c>
      <c r="K8" s="121">
        <v>0</v>
      </c>
      <c r="L8" s="97">
        <v>0</v>
      </c>
      <c r="M8" s="56">
        <f>SUM(C8:L8)</f>
        <v>0</v>
      </c>
      <c r="N8" s="52">
        <v>0</v>
      </c>
      <c r="O8" s="53">
        <f t="shared" ref="O8:O37" si="1">N8-M8</f>
        <v>0</v>
      </c>
      <c r="U8" s="68" t="s">
        <v>33</v>
      </c>
      <c r="V8" s="68" t="s">
        <v>87</v>
      </c>
      <c r="Z8" s="78"/>
      <c r="AB8" s="68" t="s">
        <v>78</v>
      </c>
    </row>
    <row r="9" spans="2:28" x14ac:dyDescent="0.25">
      <c r="B9" s="15">
        <f t="shared" si="0"/>
        <v>45294</v>
      </c>
      <c r="C9" s="102">
        <v>0</v>
      </c>
      <c r="D9" s="122">
        <v>0</v>
      </c>
      <c r="E9" s="102">
        <v>900000</v>
      </c>
      <c r="F9" s="97">
        <v>0</v>
      </c>
      <c r="G9" s="102">
        <v>0</v>
      </c>
      <c r="H9" s="97">
        <v>310000</v>
      </c>
      <c r="I9" s="102">
        <v>0</v>
      </c>
      <c r="J9" s="97">
        <v>0</v>
      </c>
      <c r="K9" s="102">
        <v>0</v>
      </c>
      <c r="L9" s="97">
        <v>20000</v>
      </c>
      <c r="M9" s="56">
        <f>SUM(C9:L9)</f>
        <v>1230000</v>
      </c>
      <c r="N9" s="51">
        <v>1230000</v>
      </c>
      <c r="O9" s="53">
        <f>N9-M9</f>
        <v>0</v>
      </c>
      <c r="U9" s="68" t="s">
        <v>33</v>
      </c>
      <c r="V9" s="68" t="s">
        <v>87</v>
      </c>
      <c r="Z9" s="78"/>
      <c r="AB9" s="68" t="s">
        <v>39</v>
      </c>
    </row>
    <row r="10" spans="2:28" x14ac:dyDescent="0.25">
      <c r="B10" s="15">
        <f t="shared" si="0"/>
        <v>45295</v>
      </c>
      <c r="C10" s="121">
        <v>0</v>
      </c>
      <c r="D10" s="97">
        <v>0</v>
      </c>
      <c r="E10" s="102">
        <v>60000</v>
      </c>
      <c r="F10" s="97">
        <v>665000</v>
      </c>
      <c r="G10" s="121">
        <f>390000+300000</f>
        <v>690000</v>
      </c>
      <c r="H10" s="97">
        <v>0</v>
      </c>
      <c r="I10" s="121">
        <v>3900</v>
      </c>
      <c r="J10" s="97">
        <v>0</v>
      </c>
      <c r="K10" s="121">
        <v>0</v>
      </c>
      <c r="L10" s="97">
        <v>0</v>
      </c>
      <c r="M10" s="56">
        <f>SUM(C10:L10)</f>
        <v>1418900</v>
      </c>
      <c r="N10" s="52">
        <v>1418900</v>
      </c>
      <c r="O10" s="53">
        <f t="shared" si="1"/>
        <v>0</v>
      </c>
      <c r="Z10" s="78"/>
      <c r="AB10" s="68" t="s">
        <v>30</v>
      </c>
    </row>
    <row r="11" spans="2:28" x14ac:dyDescent="0.25">
      <c r="B11" s="15">
        <f t="shared" si="0"/>
        <v>45296</v>
      </c>
      <c r="C11" s="102">
        <v>0</v>
      </c>
      <c r="D11" s="97">
        <v>0</v>
      </c>
      <c r="E11" s="102">
        <v>10000</v>
      </c>
      <c r="F11" s="97">
        <v>15000</v>
      </c>
      <c r="G11" s="102">
        <v>182000</v>
      </c>
      <c r="H11" s="97">
        <v>278000</v>
      </c>
      <c r="I11" s="102">
        <v>6500</v>
      </c>
      <c r="J11" s="97">
        <f>18950+3900+1950</f>
        <v>24800</v>
      </c>
      <c r="K11" s="102">
        <v>0</v>
      </c>
      <c r="L11" s="97">
        <v>7380</v>
      </c>
      <c r="M11" s="56">
        <f t="shared" ref="M11:M38" si="2">SUM(C11:L11)</f>
        <v>523680</v>
      </c>
      <c r="N11" s="52">
        <v>523680</v>
      </c>
      <c r="O11" s="53">
        <f t="shared" si="1"/>
        <v>0</v>
      </c>
      <c r="Q11" s="123"/>
      <c r="R11" s="67"/>
      <c r="T11" s="123"/>
      <c r="U11" s="123" t="s">
        <v>33</v>
      </c>
      <c r="V11" s="123" t="s">
        <v>87</v>
      </c>
      <c r="W11" s="123" t="s">
        <v>97</v>
      </c>
      <c r="X11" s="68" t="s">
        <v>92</v>
      </c>
      <c r="Y11" s="68"/>
      <c r="AB11" s="67" t="s">
        <v>32</v>
      </c>
    </row>
    <row r="12" spans="2:28" x14ac:dyDescent="0.25">
      <c r="B12" s="15">
        <f t="shared" si="0"/>
        <v>45297</v>
      </c>
      <c r="C12" s="102">
        <v>0</v>
      </c>
      <c r="D12" s="97">
        <v>0</v>
      </c>
      <c r="E12" s="102">
        <v>1500000</v>
      </c>
      <c r="F12" s="97">
        <v>0</v>
      </c>
      <c r="G12" s="102">
        <f>290000+1500</f>
        <v>291500</v>
      </c>
      <c r="H12" s="97">
        <f>2500+1500</f>
        <v>4000</v>
      </c>
      <c r="I12" s="102">
        <v>0</v>
      </c>
      <c r="J12" s="97">
        <v>0</v>
      </c>
      <c r="K12" s="102">
        <v>0</v>
      </c>
      <c r="L12" s="97">
        <v>0</v>
      </c>
      <c r="M12" s="56">
        <f t="shared" si="2"/>
        <v>1795500</v>
      </c>
      <c r="N12" s="51">
        <v>1795500</v>
      </c>
      <c r="O12" s="53">
        <f t="shared" si="1"/>
        <v>0</v>
      </c>
      <c r="Q12" s="123"/>
      <c r="S12" s="124"/>
      <c r="T12" s="123"/>
      <c r="U12" s="123" t="s">
        <v>33</v>
      </c>
      <c r="V12" s="67" t="s">
        <v>87</v>
      </c>
      <c r="X12" s="67" t="s">
        <v>92</v>
      </c>
      <c r="Y12" s="67"/>
      <c r="AB12" s="68" t="s">
        <v>106</v>
      </c>
    </row>
    <row r="13" spans="2:28" x14ac:dyDescent="0.25">
      <c r="B13" s="15">
        <f t="shared" si="0"/>
        <v>45298</v>
      </c>
      <c r="C13" s="102">
        <v>0</v>
      </c>
      <c r="D13" s="97">
        <v>0</v>
      </c>
      <c r="E13" s="102">
        <v>0</v>
      </c>
      <c r="F13" s="97">
        <v>0</v>
      </c>
      <c r="G13" s="102">
        <v>0</v>
      </c>
      <c r="H13" s="97">
        <v>0</v>
      </c>
      <c r="I13" s="102">
        <v>0</v>
      </c>
      <c r="J13" s="97">
        <v>0</v>
      </c>
      <c r="K13" s="102">
        <v>0</v>
      </c>
      <c r="L13" s="97">
        <v>0</v>
      </c>
      <c r="M13" s="56">
        <f t="shared" si="2"/>
        <v>0</v>
      </c>
      <c r="N13" s="52">
        <v>0</v>
      </c>
      <c r="O13" s="53">
        <f t="shared" si="1"/>
        <v>0</v>
      </c>
      <c r="U13" s="123" t="s">
        <v>33</v>
      </c>
      <c r="V13" s="123"/>
      <c r="W13" s="123"/>
      <c r="X13" s="68" t="s">
        <v>92</v>
      </c>
      <c r="Y13" s="67" t="s">
        <v>102</v>
      </c>
      <c r="AB13" s="68" t="s">
        <v>52</v>
      </c>
    </row>
    <row r="14" spans="2:28" x14ac:dyDescent="0.25">
      <c r="B14" s="15">
        <f t="shared" si="0"/>
        <v>45299</v>
      </c>
      <c r="C14" s="102">
        <v>5000</v>
      </c>
      <c r="D14" s="97">
        <v>1255000</v>
      </c>
      <c r="E14" s="102">
        <v>0</v>
      </c>
      <c r="F14" s="97">
        <v>0</v>
      </c>
      <c r="G14" s="102">
        <f>1500+200000</f>
        <v>201500</v>
      </c>
      <c r="H14" s="97">
        <f>323450+310000+292000+1500</f>
        <v>926950</v>
      </c>
      <c r="I14" s="102">
        <v>0</v>
      </c>
      <c r="J14" s="97">
        <v>0</v>
      </c>
      <c r="K14" s="102">
        <v>0</v>
      </c>
      <c r="L14" s="97">
        <v>0</v>
      </c>
      <c r="M14" s="56">
        <f t="shared" si="2"/>
        <v>2388450</v>
      </c>
      <c r="N14" s="52">
        <f>1960000+428450</f>
        <v>2388450</v>
      </c>
      <c r="O14" s="53">
        <f t="shared" si="1"/>
        <v>0</v>
      </c>
      <c r="T14" s="123"/>
      <c r="U14" s="123"/>
      <c r="V14" s="78" t="s">
        <v>87</v>
      </c>
      <c r="W14" s="123"/>
      <c r="X14" s="68"/>
      <c r="Y14" s="68" t="s">
        <v>102</v>
      </c>
      <c r="AB14" s="68" t="s">
        <v>90</v>
      </c>
    </row>
    <row r="15" spans="2:28" x14ac:dyDescent="0.25">
      <c r="B15" s="15">
        <f t="shared" si="0"/>
        <v>45300</v>
      </c>
      <c r="C15" s="102">
        <v>257000</v>
      </c>
      <c r="D15" s="97">
        <v>783000</v>
      </c>
      <c r="E15" s="102">
        <v>1000000</v>
      </c>
      <c r="F15" s="97">
        <v>5000</v>
      </c>
      <c r="G15" s="102">
        <v>0</v>
      </c>
      <c r="H15" s="97">
        <f>301500+300000</f>
        <v>601500</v>
      </c>
      <c r="I15" s="102">
        <v>12550</v>
      </c>
      <c r="J15" s="97">
        <v>0</v>
      </c>
      <c r="K15" s="102">
        <v>0</v>
      </c>
      <c r="L15" s="97">
        <v>8280</v>
      </c>
      <c r="M15" s="56">
        <f t="shared" si="2"/>
        <v>2667330</v>
      </c>
      <c r="N15" s="51">
        <v>2667330</v>
      </c>
      <c r="O15" s="53">
        <f t="shared" si="1"/>
        <v>0</v>
      </c>
      <c r="P15" s="67"/>
      <c r="R15" s="109"/>
      <c r="S15" s="123"/>
      <c r="T15" s="123"/>
      <c r="U15" s="67" t="s">
        <v>33</v>
      </c>
      <c r="V15" s="123"/>
      <c r="W15" s="67"/>
      <c r="X15" s="123"/>
      <c r="Y15" s="68"/>
    </row>
    <row r="16" spans="2:28" x14ac:dyDescent="0.25">
      <c r="B16" s="15">
        <f t="shared" si="0"/>
        <v>45301</v>
      </c>
      <c r="C16" s="136">
        <v>0</v>
      </c>
      <c r="D16" s="137">
        <v>0</v>
      </c>
      <c r="E16" s="102">
        <v>500000</v>
      </c>
      <c r="F16" s="97">
        <v>370000</v>
      </c>
      <c r="G16" s="136">
        <v>320000</v>
      </c>
      <c r="H16" s="97">
        <v>240000</v>
      </c>
      <c r="I16" s="121">
        <v>0</v>
      </c>
      <c r="J16" s="97">
        <v>15000</v>
      </c>
      <c r="K16" s="121">
        <v>27000</v>
      </c>
      <c r="L16" s="97">
        <v>97500</v>
      </c>
      <c r="M16" s="56">
        <f t="shared" si="2"/>
        <v>1569500</v>
      </c>
      <c r="N16" s="52">
        <v>1569500</v>
      </c>
      <c r="O16" s="53">
        <f t="shared" si="1"/>
        <v>0</v>
      </c>
      <c r="R16" s="109"/>
      <c r="T16" s="123"/>
      <c r="U16" s="123" t="s">
        <v>33</v>
      </c>
      <c r="V16" s="78" t="s">
        <v>87</v>
      </c>
      <c r="W16" s="123"/>
      <c r="X16" s="68"/>
      <c r="Y16" s="68"/>
      <c r="AB16" s="94" t="s">
        <v>34</v>
      </c>
    </row>
    <row r="17" spans="2:28" x14ac:dyDescent="0.25">
      <c r="B17" s="15">
        <f t="shared" si="0"/>
        <v>45302</v>
      </c>
      <c r="C17" s="102">
        <v>1405000</v>
      </c>
      <c r="D17" s="97">
        <v>15000</v>
      </c>
      <c r="E17" s="121">
        <v>360000</v>
      </c>
      <c r="F17" s="122">
        <v>180000</v>
      </c>
      <c r="G17" s="102">
        <f>1500</f>
        <v>1500</v>
      </c>
      <c r="H17" s="122">
        <f>10000+320000+1500</f>
        <v>331500</v>
      </c>
      <c r="I17" s="102">
        <v>0</v>
      </c>
      <c r="J17" s="122">
        <f>5800+9750+6500</f>
        <v>22050</v>
      </c>
      <c r="K17" s="102">
        <v>6800</v>
      </c>
      <c r="L17" s="122">
        <f>3000</f>
        <v>3000</v>
      </c>
      <c r="M17" s="56">
        <f t="shared" si="2"/>
        <v>2324850</v>
      </c>
      <c r="N17" s="52">
        <v>2324850</v>
      </c>
      <c r="O17" s="53">
        <f t="shared" si="1"/>
        <v>0</v>
      </c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45303</v>
      </c>
      <c r="C18" s="121">
        <v>0</v>
      </c>
      <c r="D18" s="97">
        <v>250000</v>
      </c>
      <c r="E18" s="102">
        <v>25000</v>
      </c>
      <c r="F18" s="97">
        <v>10000</v>
      </c>
      <c r="G18" s="121">
        <f>470000</f>
        <v>470000</v>
      </c>
      <c r="H18" s="97">
        <f>10000+4000</f>
        <v>14000</v>
      </c>
      <c r="I18" s="121">
        <v>0</v>
      </c>
      <c r="J18" s="97">
        <f>3900+5000</f>
        <v>8900</v>
      </c>
      <c r="K18" s="121">
        <v>45000</v>
      </c>
      <c r="L18" s="97">
        <v>0</v>
      </c>
      <c r="M18" s="56">
        <f t="shared" si="2"/>
        <v>822900</v>
      </c>
      <c r="N18" s="51">
        <v>822900</v>
      </c>
      <c r="O18" s="53">
        <f t="shared" si="1"/>
        <v>0</v>
      </c>
      <c r="Q18" s="109"/>
      <c r="R18" s="127"/>
      <c r="S18" s="109"/>
      <c r="U18" s="67"/>
      <c r="V18" s="123"/>
      <c r="W18" s="128"/>
      <c r="X18" s="80"/>
      <c r="AB18" s="78" t="s">
        <v>92</v>
      </c>
    </row>
    <row r="19" spans="2:28" x14ac:dyDescent="0.25">
      <c r="B19" s="15">
        <f t="shared" si="0"/>
        <v>45304</v>
      </c>
      <c r="C19" s="102">
        <v>0</v>
      </c>
      <c r="D19" s="97">
        <v>0</v>
      </c>
      <c r="E19" s="102">
        <v>0</v>
      </c>
      <c r="F19" s="97">
        <v>0</v>
      </c>
      <c r="G19" s="102">
        <v>50000</v>
      </c>
      <c r="H19" s="97">
        <f>321500+5000</f>
        <v>326500</v>
      </c>
      <c r="I19" s="102">
        <v>12110</v>
      </c>
      <c r="J19" s="97">
        <v>1950</v>
      </c>
      <c r="K19" s="102">
        <v>0</v>
      </c>
      <c r="L19" s="97">
        <v>0</v>
      </c>
      <c r="M19" s="56">
        <f>SUM(C19:L19)</f>
        <v>390560</v>
      </c>
      <c r="N19" s="52">
        <v>390560</v>
      </c>
      <c r="O19" s="53">
        <f t="shared" si="1"/>
        <v>0</v>
      </c>
      <c r="P19" s="123"/>
      <c r="R19" s="123"/>
      <c r="U19" s="128" t="s">
        <v>33</v>
      </c>
      <c r="V19" s="78" t="s">
        <v>87</v>
      </c>
      <c r="W19" s="67"/>
      <c r="X19" s="80"/>
      <c r="Y19" s="78"/>
      <c r="Z19" s="123"/>
      <c r="AB19" s="67" t="s">
        <v>49</v>
      </c>
    </row>
    <row r="20" spans="2:28" x14ac:dyDescent="0.25">
      <c r="B20" s="15">
        <f t="shared" si="0"/>
        <v>45305</v>
      </c>
      <c r="C20" s="102">
        <v>0</v>
      </c>
      <c r="D20" s="122">
        <v>0</v>
      </c>
      <c r="E20" s="102">
        <v>0</v>
      </c>
      <c r="F20" s="97">
        <v>0</v>
      </c>
      <c r="G20" s="102">
        <v>0</v>
      </c>
      <c r="H20" s="97">
        <v>1500</v>
      </c>
      <c r="I20" s="102">
        <v>0</v>
      </c>
      <c r="J20" s="97">
        <v>0</v>
      </c>
      <c r="K20" s="102">
        <v>0</v>
      </c>
      <c r="L20" s="97">
        <v>0</v>
      </c>
      <c r="M20" s="56">
        <f t="shared" si="2"/>
        <v>1500</v>
      </c>
      <c r="N20" s="52">
        <v>1500</v>
      </c>
      <c r="O20" s="53">
        <f t="shared" si="1"/>
        <v>0</v>
      </c>
      <c r="Q20" s="67"/>
      <c r="T20" s="123"/>
      <c r="U20" s="123"/>
      <c r="V20" s="78" t="s">
        <v>87</v>
      </c>
      <c r="W20" s="123"/>
      <c r="X20" s="68"/>
      <c r="Y20" s="67"/>
      <c r="AB20" s="78" t="s">
        <v>33</v>
      </c>
    </row>
    <row r="21" spans="2:28" x14ac:dyDescent="0.25">
      <c r="B21" s="15">
        <f>B20+1</f>
        <v>45306</v>
      </c>
      <c r="C21" s="102">
        <v>5000</v>
      </c>
      <c r="D21" s="97">
        <v>5000</v>
      </c>
      <c r="E21" s="102">
        <v>0</v>
      </c>
      <c r="F21" s="97">
        <v>300000</v>
      </c>
      <c r="G21" s="102">
        <v>0</v>
      </c>
      <c r="H21" s="97">
        <f>322500+400000</f>
        <v>722500</v>
      </c>
      <c r="I21" s="102">
        <f>3900+38520</f>
        <v>42420</v>
      </c>
      <c r="J21" s="97">
        <v>11750</v>
      </c>
      <c r="K21" s="102">
        <v>3000</v>
      </c>
      <c r="L21" s="97">
        <v>25000</v>
      </c>
      <c r="M21" s="56">
        <f t="shared" si="2"/>
        <v>1114670</v>
      </c>
      <c r="N21" s="51">
        <v>1114670</v>
      </c>
      <c r="O21" s="53">
        <f t="shared" si="1"/>
        <v>0</v>
      </c>
      <c r="Q21" s="123"/>
      <c r="T21" s="123"/>
      <c r="U21" s="128" t="s">
        <v>33</v>
      </c>
      <c r="V21" s="78" t="s">
        <v>87</v>
      </c>
      <c r="W21" s="123"/>
      <c r="X21" s="68"/>
      <c r="Y21" s="67"/>
      <c r="AB21" s="123" t="s">
        <v>102</v>
      </c>
    </row>
    <row r="22" spans="2:28" x14ac:dyDescent="0.25">
      <c r="B22" s="15">
        <f t="shared" si="0"/>
        <v>45307</v>
      </c>
      <c r="C22" s="102">
        <v>0</v>
      </c>
      <c r="D22" s="97">
        <v>500000</v>
      </c>
      <c r="E22" s="102">
        <v>750000</v>
      </c>
      <c r="F22" s="97">
        <v>0</v>
      </c>
      <c r="G22" s="102">
        <f>350000</f>
        <v>350000</v>
      </c>
      <c r="H22" s="97">
        <f>3000+280000</f>
        <v>283000</v>
      </c>
      <c r="I22" s="102">
        <v>7000</v>
      </c>
      <c r="J22" s="97">
        <f>110+5000</f>
        <v>5110</v>
      </c>
      <c r="K22" s="102">
        <v>0</v>
      </c>
      <c r="L22" s="97">
        <v>3600</v>
      </c>
      <c r="M22" s="56">
        <f t="shared" si="2"/>
        <v>1898710</v>
      </c>
      <c r="N22" s="52">
        <v>1898710</v>
      </c>
      <c r="O22" s="53">
        <f t="shared" si="1"/>
        <v>0</v>
      </c>
      <c r="S22" s="67"/>
      <c r="T22" s="123"/>
      <c r="U22" s="123"/>
      <c r="V22" s="123"/>
      <c r="W22" s="123"/>
      <c r="X22" s="68"/>
      <c r="Y22" s="67"/>
      <c r="AB22" s="67" t="s">
        <v>87</v>
      </c>
    </row>
    <row r="23" spans="2:28" x14ac:dyDescent="0.25">
      <c r="B23" s="15">
        <f t="shared" si="0"/>
        <v>45308</v>
      </c>
      <c r="C23" s="102">
        <v>605000</v>
      </c>
      <c r="D23" s="97">
        <v>110000</v>
      </c>
      <c r="E23" s="102">
        <v>1300000</v>
      </c>
      <c r="F23" s="97">
        <v>650000</v>
      </c>
      <c r="G23" s="102">
        <v>360000</v>
      </c>
      <c r="H23" s="97">
        <f>420000+2500</f>
        <v>422500</v>
      </c>
      <c r="I23" s="102">
        <v>3900</v>
      </c>
      <c r="J23" s="97">
        <v>15000</v>
      </c>
      <c r="K23" s="102">
        <v>5000</v>
      </c>
      <c r="L23" s="97">
        <v>3000</v>
      </c>
      <c r="M23" s="56">
        <f t="shared" si="2"/>
        <v>3474400</v>
      </c>
      <c r="N23" s="52">
        <v>3474400</v>
      </c>
      <c r="O23" s="53">
        <f t="shared" si="1"/>
        <v>0</v>
      </c>
      <c r="S23" s="124"/>
      <c r="T23" s="123"/>
      <c r="U23" s="123"/>
      <c r="V23" s="123"/>
      <c r="W23" s="123"/>
      <c r="X23" s="68"/>
      <c r="Y23" s="67"/>
      <c r="AB23" s="78" t="s">
        <v>97</v>
      </c>
    </row>
    <row r="24" spans="2:28" x14ac:dyDescent="0.25">
      <c r="B24" s="15">
        <f t="shared" si="0"/>
        <v>45309</v>
      </c>
      <c r="C24" s="121">
        <v>0</v>
      </c>
      <c r="D24" s="97">
        <v>660000</v>
      </c>
      <c r="E24" s="102">
        <v>0</v>
      </c>
      <c r="F24" s="97">
        <v>420000</v>
      </c>
      <c r="G24" s="121">
        <f>1500+300000+410000</f>
        <v>711500</v>
      </c>
      <c r="H24" s="97">
        <f>140909.09+320000+3000+2500</f>
        <v>466409.08999999997</v>
      </c>
      <c r="I24" s="121">
        <f>6750+5500</f>
        <v>12250</v>
      </c>
      <c r="J24" s="97">
        <v>8700</v>
      </c>
      <c r="K24" s="121">
        <v>13000</v>
      </c>
      <c r="L24" s="97">
        <v>23090.91</v>
      </c>
      <c r="M24" s="56">
        <f t="shared" si="2"/>
        <v>2314950</v>
      </c>
      <c r="N24" s="51">
        <v>2314950</v>
      </c>
      <c r="O24" s="53">
        <f t="shared" si="1"/>
        <v>0</v>
      </c>
      <c r="Q24" s="67"/>
      <c r="R24" s="123"/>
      <c r="S24" s="123"/>
      <c r="T24" s="123"/>
      <c r="U24" s="123" t="s">
        <v>33</v>
      </c>
      <c r="V24" s="123" t="s">
        <v>87</v>
      </c>
      <c r="W24" s="123"/>
      <c r="X24" s="68"/>
      <c r="AA24" s="78"/>
      <c r="AB24" s="68"/>
    </row>
    <row r="25" spans="2:28" x14ac:dyDescent="0.25">
      <c r="B25" s="15">
        <f t="shared" si="0"/>
        <v>45310</v>
      </c>
      <c r="C25" s="102">
        <v>1260000</v>
      </c>
      <c r="D25" s="97">
        <v>50000</v>
      </c>
      <c r="E25" s="102">
        <v>5000</v>
      </c>
      <c r="F25" s="97">
        <v>15000</v>
      </c>
      <c r="G25" s="102">
        <f>1500</f>
        <v>1500</v>
      </c>
      <c r="H25" s="97">
        <f>360000+310000+350000</f>
        <v>1020000</v>
      </c>
      <c r="I25" s="102">
        <v>0</v>
      </c>
      <c r="J25" s="97">
        <f>9100+3900+15650</f>
        <v>28650</v>
      </c>
      <c r="K25" s="102">
        <v>55000</v>
      </c>
      <c r="L25" s="97">
        <f>14940+1400</f>
        <v>16340</v>
      </c>
      <c r="M25" s="56">
        <f t="shared" si="2"/>
        <v>2451490</v>
      </c>
      <c r="N25" s="52">
        <v>2451490</v>
      </c>
      <c r="O25" s="53">
        <f t="shared" si="1"/>
        <v>0</v>
      </c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45311</v>
      </c>
      <c r="C26" s="102">
        <v>0</v>
      </c>
      <c r="D26" s="97">
        <v>0</v>
      </c>
      <c r="E26" s="102">
        <v>0</v>
      </c>
      <c r="F26" s="97">
        <v>0</v>
      </c>
      <c r="G26" s="102">
        <f>350000+300000</f>
        <v>650000</v>
      </c>
      <c r="H26" s="97">
        <f>3000+2500+40000</f>
        <v>45500</v>
      </c>
      <c r="I26" s="102">
        <f>5000+15000</f>
        <v>20000</v>
      </c>
      <c r="J26" s="97">
        <v>15000</v>
      </c>
      <c r="K26" s="102">
        <v>3500</v>
      </c>
      <c r="L26" s="97">
        <v>0</v>
      </c>
      <c r="M26" s="56">
        <f t="shared" si="2"/>
        <v>734000</v>
      </c>
      <c r="N26" s="52">
        <v>734000</v>
      </c>
      <c r="O26" s="53">
        <f t="shared" si="1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45312</v>
      </c>
      <c r="C27" s="102">
        <v>0</v>
      </c>
      <c r="D27" s="97">
        <v>0</v>
      </c>
      <c r="E27" s="102">
        <v>0</v>
      </c>
      <c r="F27" s="97">
        <v>0</v>
      </c>
      <c r="G27" s="102">
        <v>0</v>
      </c>
      <c r="H27" s="97">
        <v>2000</v>
      </c>
      <c r="I27" s="102">
        <v>10000</v>
      </c>
      <c r="J27" s="137">
        <v>0</v>
      </c>
      <c r="K27" s="102">
        <v>0</v>
      </c>
      <c r="L27" s="97">
        <v>0</v>
      </c>
      <c r="M27" s="144">
        <f t="shared" si="2"/>
        <v>12000</v>
      </c>
      <c r="N27" s="145">
        <v>12000</v>
      </c>
      <c r="O27" s="53">
        <f t="shared" si="1"/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45313</v>
      </c>
      <c r="C28" s="102">
        <v>755000</v>
      </c>
      <c r="D28" s="97">
        <v>10000</v>
      </c>
      <c r="E28" s="102">
        <v>0</v>
      </c>
      <c r="F28" s="97">
        <v>0</v>
      </c>
      <c r="G28" s="102">
        <f>100000+320000</f>
        <v>420000</v>
      </c>
      <c r="H28" s="97">
        <f>1500+2500</f>
        <v>4000</v>
      </c>
      <c r="I28" s="102">
        <v>0</v>
      </c>
      <c r="J28" s="97">
        <f>13860+3582</f>
        <v>17442</v>
      </c>
      <c r="K28" s="102">
        <v>0</v>
      </c>
      <c r="L28" s="97">
        <v>20500</v>
      </c>
      <c r="M28" s="56">
        <f t="shared" si="2"/>
        <v>1226942</v>
      </c>
      <c r="N28" s="52">
        <v>1226942</v>
      </c>
      <c r="O28" s="53">
        <f t="shared" si="1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45314</v>
      </c>
      <c r="C29" s="102">
        <v>0</v>
      </c>
      <c r="D29" s="97">
        <v>3470000</v>
      </c>
      <c r="E29" s="102">
        <v>0</v>
      </c>
      <c r="F29" s="97">
        <v>900000</v>
      </c>
      <c r="G29" s="102">
        <v>320000</v>
      </c>
      <c r="H29" s="97">
        <f>1500+1500</f>
        <v>3000</v>
      </c>
      <c r="I29" s="102">
        <v>0</v>
      </c>
      <c r="J29" s="97">
        <v>0</v>
      </c>
      <c r="K29" s="102">
        <v>0</v>
      </c>
      <c r="L29" s="97">
        <v>0</v>
      </c>
      <c r="M29" s="56">
        <f t="shared" si="2"/>
        <v>4693000</v>
      </c>
      <c r="N29" s="52">
        <v>4693000</v>
      </c>
      <c r="O29" s="53">
        <f t="shared" si="1"/>
        <v>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45315</v>
      </c>
      <c r="C30" s="138">
        <v>0</v>
      </c>
      <c r="D30" s="137">
        <v>5000</v>
      </c>
      <c r="E30" s="102">
        <v>0</v>
      </c>
      <c r="F30" s="97">
        <v>880000</v>
      </c>
      <c r="G30" s="102">
        <v>0</v>
      </c>
      <c r="H30" s="97">
        <v>741500</v>
      </c>
      <c r="I30" s="102">
        <f>5000</f>
        <v>5000</v>
      </c>
      <c r="J30" s="97">
        <f>7800+20700</f>
        <v>28500</v>
      </c>
      <c r="K30" s="138">
        <v>6000</v>
      </c>
      <c r="L30" s="137">
        <v>18000</v>
      </c>
      <c r="M30" s="56">
        <f t="shared" si="2"/>
        <v>1684000</v>
      </c>
      <c r="N30" s="51">
        <v>1684000</v>
      </c>
      <c r="O30" s="53">
        <f t="shared" si="1"/>
        <v>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45316</v>
      </c>
      <c r="C31" s="121">
        <v>700000</v>
      </c>
      <c r="D31" s="97">
        <v>30000</v>
      </c>
      <c r="E31" s="102">
        <v>5000</v>
      </c>
      <c r="F31" s="97">
        <v>610000</v>
      </c>
      <c r="G31" s="121">
        <v>350000</v>
      </c>
      <c r="H31" s="97">
        <v>0</v>
      </c>
      <c r="I31" s="121">
        <v>0</v>
      </c>
      <c r="J31" s="97">
        <f>760+250</f>
        <v>1010</v>
      </c>
      <c r="K31" s="121">
        <v>0</v>
      </c>
      <c r="L31" s="97">
        <v>41400</v>
      </c>
      <c r="M31" s="56">
        <f t="shared" si="2"/>
        <v>1737410</v>
      </c>
      <c r="N31" s="52">
        <v>1737410</v>
      </c>
      <c r="O31" s="53">
        <f t="shared" si="1"/>
        <v>0</v>
      </c>
      <c r="Q31" s="123"/>
      <c r="R31" s="127"/>
      <c r="T31" s="123"/>
      <c r="U31" s="123" t="s">
        <v>33</v>
      </c>
      <c r="V31" s="123" t="s">
        <v>87</v>
      </c>
      <c r="W31" s="78"/>
      <c r="X31" s="68"/>
      <c r="Z31" s="68"/>
      <c r="AA31" s="78"/>
      <c r="AB31" s="67"/>
    </row>
    <row r="32" spans="2:28" x14ac:dyDescent="0.25">
      <c r="B32" s="15">
        <f t="shared" si="0"/>
        <v>45317</v>
      </c>
      <c r="C32" s="102">
        <v>1300000</v>
      </c>
      <c r="D32" s="97">
        <v>0</v>
      </c>
      <c r="E32" s="102">
        <v>15000</v>
      </c>
      <c r="F32" s="97">
        <v>50000</v>
      </c>
      <c r="G32" s="102">
        <v>10000</v>
      </c>
      <c r="H32" s="97">
        <v>2000</v>
      </c>
      <c r="I32" s="102">
        <v>5800</v>
      </c>
      <c r="J32" s="97">
        <f>56550+7720</f>
        <v>64270</v>
      </c>
      <c r="K32" s="102">
        <v>0</v>
      </c>
      <c r="L32" s="97">
        <v>16060</v>
      </c>
      <c r="M32" s="56">
        <f t="shared" si="2"/>
        <v>1463130</v>
      </c>
      <c r="N32" s="52">
        <v>1463130</v>
      </c>
      <c r="O32" s="53">
        <f t="shared" si="1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45318</v>
      </c>
      <c r="C33" s="102">
        <v>0</v>
      </c>
      <c r="D33" s="97">
        <v>0</v>
      </c>
      <c r="E33" s="102">
        <v>0</v>
      </c>
      <c r="F33" s="97">
        <v>380000</v>
      </c>
      <c r="G33" s="102">
        <f>250000+2500</f>
        <v>252500</v>
      </c>
      <c r="H33" s="97">
        <f>10000+12500+10000</f>
        <v>32500</v>
      </c>
      <c r="I33" s="102">
        <v>0</v>
      </c>
      <c r="J33" s="97">
        <v>0</v>
      </c>
      <c r="K33" s="102">
        <v>3000</v>
      </c>
      <c r="L33" s="97">
        <v>3200</v>
      </c>
      <c r="M33" s="56">
        <f t="shared" si="2"/>
        <v>671200</v>
      </c>
      <c r="N33" s="51">
        <v>671200</v>
      </c>
      <c r="O33" s="53">
        <f t="shared" si="1"/>
        <v>0</v>
      </c>
      <c r="Q33" s="109"/>
      <c r="R33" s="111"/>
      <c r="S33" s="111"/>
      <c r="T33" s="109"/>
      <c r="U33" s="109" t="s">
        <v>33</v>
      </c>
      <c r="V33" s="109"/>
      <c r="X33" s="68"/>
      <c r="Z33" s="67"/>
      <c r="AA33" s="78"/>
      <c r="AB33" s="68"/>
    </row>
    <row r="34" spans="1:28" x14ac:dyDescent="0.25">
      <c r="B34" s="15">
        <f t="shared" si="0"/>
        <v>45319</v>
      </c>
      <c r="C34" s="102">
        <v>0</v>
      </c>
      <c r="D34" s="97">
        <v>0</v>
      </c>
      <c r="E34" s="102">
        <v>0</v>
      </c>
      <c r="F34" s="97">
        <v>0</v>
      </c>
      <c r="G34" s="138">
        <v>80000</v>
      </c>
      <c r="H34" s="137">
        <f>461500+330000</f>
        <v>791500</v>
      </c>
      <c r="I34" s="138">
        <v>0</v>
      </c>
      <c r="J34" s="137">
        <v>0</v>
      </c>
      <c r="K34" s="138">
        <v>0</v>
      </c>
      <c r="L34" s="137">
        <v>0</v>
      </c>
      <c r="M34" s="56">
        <f t="shared" si="2"/>
        <v>871500</v>
      </c>
      <c r="N34" s="52">
        <v>871500</v>
      </c>
      <c r="O34" s="53">
        <f t="shared" si="1"/>
        <v>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45320</v>
      </c>
      <c r="C35" s="102">
        <v>0</v>
      </c>
      <c r="D35" s="97">
        <v>0</v>
      </c>
      <c r="E35" s="102">
        <v>0</v>
      </c>
      <c r="F35" s="97">
        <v>0</v>
      </c>
      <c r="G35" s="102">
        <v>2000</v>
      </c>
      <c r="H35" s="97">
        <v>2500</v>
      </c>
      <c r="I35" s="102">
        <v>0</v>
      </c>
      <c r="J35" s="97">
        <v>6000</v>
      </c>
      <c r="K35" s="102">
        <v>0</v>
      </c>
      <c r="L35" s="97">
        <v>17100</v>
      </c>
      <c r="M35" s="56">
        <f t="shared" si="2"/>
        <v>27600</v>
      </c>
      <c r="N35" s="54">
        <v>27600</v>
      </c>
      <c r="O35" s="55">
        <f t="shared" si="1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45321</v>
      </c>
      <c r="C36" s="102">
        <v>0</v>
      </c>
      <c r="D36" s="97">
        <v>0</v>
      </c>
      <c r="E36" s="102">
        <v>600000</v>
      </c>
      <c r="F36" s="97">
        <v>1580000</v>
      </c>
      <c r="G36" s="102">
        <f>350000+2500+450000</f>
        <v>802500</v>
      </c>
      <c r="H36" s="97">
        <f>320000+130000</f>
        <v>450000</v>
      </c>
      <c r="I36" s="102">
        <v>0</v>
      </c>
      <c r="J36" s="97">
        <v>0</v>
      </c>
      <c r="K36" s="102">
        <v>12800</v>
      </c>
      <c r="L36" s="97">
        <v>3200</v>
      </c>
      <c r="M36" s="56">
        <f t="shared" si="2"/>
        <v>3448500</v>
      </c>
      <c r="N36" s="54">
        <v>3448500</v>
      </c>
      <c r="O36" s="55">
        <f t="shared" si="1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0"/>
        <v>45322</v>
      </c>
      <c r="C37" s="102">
        <v>0</v>
      </c>
      <c r="D37" s="97">
        <v>0</v>
      </c>
      <c r="E37" s="102">
        <v>0</v>
      </c>
      <c r="F37" s="97">
        <v>20000</v>
      </c>
      <c r="G37" s="102">
        <f>350000</f>
        <v>350000</v>
      </c>
      <c r="H37" s="97">
        <f>140000+392500</f>
        <v>532500</v>
      </c>
      <c r="I37" s="102">
        <v>0</v>
      </c>
      <c r="J37" s="97">
        <v>0</v>
      </c>
      <c r="K37" s="102">
        <v>0</v>
      </c>
      <c r="L37" s="97">
        <f>3800+720</f>
        <v>4520</v>
      </c>
      <c r="M37" s="56">
        <f t="shared" si="2"/>
        <v>907020</v>
      </c>
      <c r="N37" s="54">
        <v>907020</v>
      </c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6292000</v>
      </c>
      <c r="D39" s="25">
        <f>SUM(D7:D38)</f>
        <v>7143000</v>
      </c>
      <c r="E39" s="24">
        <f t="shared" ref="E39:L39" si="3">SUM(E7:E38)</f>
        <v>7030000</v>
      </c>
      <c r="F39" s="59">
        <f t="shared" si="3"/>
        <v>7050000</v>
      </c>
      <c r="G39" s="24">
        <f t="shared" si="3"/>
        <v>6866500</v>
      </c>
      <c r="H39" s="25">
        <f t="shared" si="3"/>
        <v>8555359.0899999999</v>
      </c>
      <c r="I39" s="24">
        <f t="shared" si="3"/>
        <v>141430</v>
      </c>
      <c r="J39" s="25">
        <f t="shared" si="3"/>
        <v>274132</v>
      </c>
      <c r="K39" s="24">
        <f t="shared" si="3"/>
        <v>180100</v>
      </c>
      <c r="L39" s="25">
        <f t="shared" si="3"/>
        <v>331170.91000000003</v>
      </c>
      <c r="M39" s="28">
        <f>SUM(M7:M38)</f>
        <v>43863692</v>
      </c>
      <c r="N39" s="27">
        <f>SUM(N7:N38)</f>
        <v>43863692</v>
      </c>
      <c r="O39" s="26">
        <f>N39-M39</f>
        <v>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13435000</v>
      </c>
      <c r="D40" s="282"/>
      <c r="E40" s="267">
        <f>SUM(E39:F39)</f>
        <v>14080000</v>
      </c>
      <c r="F40" s="269"/>
      <c r="G40" s="281">
        <f>SUM(G39:H39)</f>
        <v>15421859.09</v>
      </c>
      <c r="H40" s="282"/>
      <c r="I40" s="267">
        <f>SUM(I39:J39)</f>
        <v>415562</v>
      </c>
      <c r="J40" s="268"/>
      <c r="K40" s="281">
        <f>SUM(K39:L39)</f>
        <v>511270.91000000003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45291</v>
      </c>
      <c r="C45" s="3">
        <v>0</v>
      </c>
      <c r="D45" s="14">
        <v>0</v>
      </c>
      <c r="E45" s="3">
        <v>0</v>
      </c>
      <c r="F45" s="14">
        <v>0</v>
      </c>
      <c r="G45" s="3">
        <v>0</v>
      </c>
      <c r="H45" s="14">
        <v>0</v>
      </c>
      <c r="I45" s="3">
        <v>0</v>
      </c>
      <c r="J45" s="14">
        <v>0</v>
      </c>
      <c r="K45" s="134">
        <v>0</v>
      </c>
      <c r="L45" s="14">
        <v>0</v>
      </c>
      <c r="M45" s="3">
        <f>SUM(C45:L45)</f>
        <v>0</v>
      </c>
      <c r="N45" s="3">
        <v>0</v>
      </c>
      <c r="O45" s="3">
        <f>N45-M45</f>
        <v>0</v>
      </c>
      <c r="P45" s="85">
        <v>45292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45322</v>
      </c>
      <c r="C48" s="3">
        <v>0</v>
      </c>
      <c r="D48" s="14">
        <f>D37</f>
        <v>0</v>
      </c>
      <c r="E48" s="3">
        <v>0</v>
      </c>
      <c r="F48" s="14">
        <f>F37</f>
        <v>20000</v>
      </c>
      <c r="G48" s="3">
        <v>0</v>
      </c>
      <c r="H48" s="14">
        <f>H37</f>
        <v>532500</v>
      </c>
      <c r="I48" s="3">
        <v>0</v>
      </c>
      <c r="J48" s="14">
        <f>J37</f>
        <v>0</v>
      </c>
      <c r="K48" s="134">
        <v>0</v>
      </c>
      <c r="L48" s="14">
        <f>L37</f>
        <v>4520</v>
      </c>
      <c r="M48" s="3">
        <f>SUM(C48:L48)</f>
        <v>557020</v>
      </c>
      <c r="N48" s="3">
        <v>557020</v>
      </c>
      <c r="O48" s="3">
        <f>N48-M48</f>
        <v>0</v>
      </c>
      <c r="P48" s="151">
        <v>45323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-20000</v>
      </c>
      <c r="F50" s="263"/>
      <c r="G50" s="262">
        <f>H45+H46-H47-H48</f>
        <v>-532500</v>
      </c>
      <c r="H50" s="263"/>
      <c r="I50" s="262">
        <f>J45+J46-J47-J48</f>
        <v>0</v>
      </c>
      <c r="J50" s="263"/>
      <c r="K50" s="262">
        <f>L45+L46-L47-L48</f>
        <v>-4520</v>
      </c>
      <c r="L50" s="263"/>
    </row>
    <row r="51" spans="2:28" x14ac:dyDescent="0.25">
      <c r="B51" s="264" t="s">
        <v>12</v>
      </c>
      <c r="C51" s="264"/>
      <c r="D51" s="31">
        <f>D39+D50</f>
        <v>7143000</v>
      </c>
      <c r="E51" s="265">
        <f>F39+E50</f>
        <v>7030000</v>
      </c>
      <c r="F51" s="266"/>
      <c r="G51" s="265">
        <f>H39+G50</f>
        <v>8022859.0899999999</v>
      </c>
      <c r="H51" s="266"/>
      <c r="I51" s="286">
        <f>J39+I50</f>
        <v>274132</v>
      </c>
      <c r="J51" s="287"/>
      <c r="K51" s="265">
        <f>L39+K50</f>
        <v>326650.91000000003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22796642</v>
      </c>
      <c r="E52" s="283"/>
      <c r="F52" s="283"/>
      <c r="G52" s="283"/>
      <c r="H52" s="283"/>
      <c r="I52" s="150"/>
      <c r="J52" s="150"/>
      <c r="K52" s="150"/>
      <c r="L52" s="150"/>
      <c r="P52" s="86"/>
      <c r="Q52" s="86"/>
      <c r="R52" s="86" t="s">
        <v>119</v>
      </c>
      <c r="S52" s="86" t="s">
        <v>120</v>
      </c>
      <c r="T52" s="86"/>
      <c r="U52" s="86"/>
      <c r="AA52" s="142"/>
      <c r="AB52" s="86"/>
    </row>
    <row r="53" spans="2:28" x14ac:dyDescent="0.25">
      <c r="R53" s="68" t="s">
        <v>118</v>
      </c>
      <c r="S53" s="68" t="s">
        <v>121</v>
      </c>
      <c r="Y53" s="4"/>
      <c r="AA53" s="143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D51*0.009</f>
        <v>64286.999999999993</v>
      </c>
      <c r="P54" s="87">
        <v>1.55E-2</v>
      </c>
      <c r="R54" s="68" t="s">
        <v>98</v>
      </c>
      <c r="S54" s="87">
        <v>8.9999999999999993E-3</v>
      </c>
      <c r="Y54" s="4"/>
      <c r="AA54" s="78"/>
      <c r="AB54" s="68"/>
    </row>
    <row r="55" spans="2:28" x14ac:dyDescent="0.25">
      <c r="B55" s="72" t="s">
        <v>13</v>
      </c>
      <c r="C55" s="149">
        <f>C39+G39+E39+I39+K39</f>
        <v>20510030</v>
      </c>
      <c r="D55" s="149">
        <f>D39+H39+F39+J39+L39</f>
        <v>23353662</v>
      </c>
      <c r="E55" s="58"/>
      <c r="F55" s="58"/>
      <c r="M55" s="63" t="s">
        <v>25</v>
      </c>
      <c r="N55" s="64">
        <f>E51*0.009-3000</f>
        <v>60269.999999999993</v>
      </c>
      <c r="P55" s="88"/>
      <c r="R55" s="68" t="s">
        <v>99</v>
      </c>
      <c r="S55" s="78" t="s">
        <v>122</v>
      </c>
      <c r="Z55" s="71"/>
      <c r="AA55" s="68"/>
      <c r="AB55" s="68"/>
    </row>
    <row r="56" spans="2:28" x14ac:dyDescent="0.25">
      <c r="C56" s="284">
        <f>SUM(C55:D55)</f>
        <v>43863692</v>
      </c>
      <c r="D56" s="285"/>
      <c r="E56" s="57"/>
      <c r="F56" s="57"/>
      <c r="M56" s="63" t="s">
        <v>28</v>
      </c>
      <c r="N56" s="64">
        <f>G51*0.009-6799.1</f>
        <v>65406.631809999999</v>
      </c>
      <c r="R56" s="87"/>
      <c r="S56" s="130"/>
      <c r="T56" s="280"/>
      <c r="U56" s="280"/>
      <c r="Y56" s="4"/>
      <c r="AA56" s="78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I51*0.009</f>
        <v>2467.1879999999996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K51*0.009</f>
        <v>2939.8581899999999</v>
      </c>
      <c r="Y58" s="4"/>
      <c r="AA58" s="78"/>
      <c r="AB58" s="68"/>
    </row>
    <row r="59" spans="2:28" x14ac:dyDescent="0.25">
      <c r="J59" t="s">
        <v>3</v>
      </c>
      <c r="N59" s="64">
        <f>SUM(N54:N58)</f>
        <v>195370.67799999999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43306672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3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B51:C51"/>
    <mergeCell ref="E51:F51"/>
    <mergeCell ref="G51:H51"/>
    <mergeCell ref="I51:J51"/>
    <mergeCell ref="K51:L51"/>
    <mergeCell ref="B50:C50"/>
    <mergeCell ref="E50:F50"/>
    <mergeCell ref="G50:H50"/>
    <mergeCell ref="I50:J50"/>
    <mergeCell ref="K50:L50"/>
    <mergeCell ref="B52:C52"/>
    <mergeCell ref="D52:H52"/>
    <mergeCell ref="C56:D56"/>
    <mergeCell ref="T56:U56"/>
    <mergeCell ref="C60:D60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72"/>
  <sheetViews>
    <sheetView topLeftCell="A25" workbookViewId="0">
      <selection activeCell="I35" sqref="I35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48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22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45323</v>
      </c>
      <c r="C7" s="102">
        <v>0</v>
      </c>
      <c r="D7" s="97">
        <v>0</v>
      </c>
      <c r="E7" s="102">
        <v>755000</v>
      </c>
      <c r="F7" s="97">
        <v>155000</v>
      </c>
      <c r="G7" s="119">
        <v>362500</v>
      </c>
      <c r="H7" s="120">
        <v>320000</v>
      </c>
      <c r="I7" s="119"/>
      <c r="J7" s="120"/>
      <c r="K7" s="119">
        <v>994</v>
      </c>
      <c r="L7" s="120">
        <f>50+14000</f>
        <v>14050</v>
      </c>
      <c r="M7" s="56">
        <f>SUM(C7:L7)</f>
        <v>1607544</v>
      </c>
      <c r="N7" s="52">
        <v>1607544</v>
      </c>
      <c r="O7" s="53">
        <f>N7-M7</f>
        <v>0</v>
      </c>
      <c r="Q7" s="109"/>
      <c r="R7" s="123"/>
      <c r="S7" s="123"/>
      <c r="T7" s="106"/>
      <c r="U7" s="123" t="s">
        <v>33</v>
      </c>
      <c r="V7" s="67" t="s">
        <v>87</v>
      </c>
      <c r="X7" s="67" t="s">
        <v>92</v>
      </c>
      <c r="Z7" s="78"/>
      <c r="AB7" s="68" t="s">
        <v>82</v>
      </c>
    </row>
    <row r="8" spans="2:28" x14ac:dyDescent="0.25">
      <c r="B8" s="15">
        <f t="shared" ref="B8:B35" si="0">B7+1</f>
        <v>45324</v>
      </c>
      <c r="C8" s="121">
        <v>0</v>
      </c>
      <c r="D8" s="97">
        <v>0</v>
      </c>
      <c r="E8" s="102"/>
      <c r="F8" s="97">
        <v>5000</v>
      </c>
      <c r="G8" s="121">
        <f>360000+2000</f>
        <v>362000</v>
      </c>
      <c r="H8" s="97">
        <v>300000</v>
      </c>
      <c r="I8" s="121">
        <v>4150</v>
      </c>
      <c r="J8" s="97">
        <f>5000+10000</f>
        <v>15000</v>
      </c>
      <c r="K8" s="121">
        <v>3200</v>
      </c>
      <c r="L8" s="97">
        <v>10800</v>
      </c>
      <c r="M8" s="56">
        <f>SUM(C8:L8)</f>
        <v>700150</v>
      </c>
      <c r="N8" s="52">
        <v>700150</v>
      </c>
      <c r="O8" s="53">
        <f t="shared" ref="O8:O37" si="1">N8-M8</f>
        <v>0</v>
      </c>
      <c r="U8" s="68" t="s">
        <v>33</v>
      </c>
      <c r="V8" s="68" t="s">
        <v>87</v>
      </c>
      <c r="Z8" s="78"/>
      <c r="AB8" s="68" t="s">
        <v>78</v>
      </c>
    </row>
    <row r="9" spans="2:28" x14ac:dyDescent="0.25">
      <c r="B9" s="15">
        <f t="shared" si="0"/>
        <v>45325</v>
      </c>
      <c r="C9" s="102"/>
      <c r="D9" s="122"/>
      <c r="E9" s="102">
        <v>5000</v>
      </c>
      <c r="F9" s="97">
        <v>830000</v>
      </c>
      <c r="G9" s="102"/>
      <c r="H9" s="97">
        <v>11500</v>
      </c>
      <c r="I9" s="102"/>
      <c r="J9" s="97">
        <f>5000+10000</f>
        <v>15000</v>
      </c>
      <c r="K9" s="102"/>
      <c r="L9" s="97"/>
      <c r="M9" s="56">
        <f>SUM(C9:L9)</f>
        <v>861500</v>
      </c>
      <c r="N9" s="51">
        <v>861500</v>
      </c>
      <c r="O9" s="53">
        <f>N9-M9</f>
        <v>0</v>
      </c>
      <c r="U9" s="68" t="s">
        <v>33</v>
      </c>
      <c r="V9" s="68" t="s">
        <v>87</v>
      </c>
      <c r="Z9" s="78"/>
      <c r="AB9" s="68" t="s">
        <v>39</v>
      </c>
    </row>
    <row r="10" spans="2:28" x14ac:dyDescent="0.25">
      <c r="B10" s="15">
        <f t="shared" si="0"/>
        <v>45326</v>
      </c>
      <c r="C10" s="121">
        <v>570000</v>
      </c>
      <c r="D10" s="97"/>
      <c r="E10" s="102"/>
      <c r="F10" s="97"/>
      <c r="G10" s="121">
        <v>380000</v>
      </c>
      <c r="H10" s="97"/>
      <c r="I10" s="121"/>
      <c r="J10" s="97"/>
      <c r="K10" s="121"/>
      <c r="L10" s="97"/>
      <c r="M10" s="56">
        <f>SUM(C10:L10)</f>
        <v>950000</v>
      </c>
      <c r="N10" s="52">
        <v>950000</v>
      </c>
      <c r="O10" s="53">
        <f t="shared" si="1"/>
        <v>0</v>
      </c>
      <c r="Z10" s="78"/>
      <c r="AB10" s="68" t="s">
        <v>30</v>
      </c>
    </row>
    <row r="11" spans="2:28" x14ac:dyDescent="0.25">
      <c r="B11" s="15">
        <f t="shared" si="0"/>
        <v>45327</v>
      </c>
      <c r="C11" s="102"/>
      <c r="D11" s="97">
        <v>105000</v>
      </c>
      <c r="E11" s="102"/>
      <c r="F11" s="97"/>
      <c r="G11" s="102"/>
      <c r="H11" s="97">
        <f>320000+420000+360000</f>
        <v>1100000</v>
      </c>
      <c r="I11" s="102"/>
      <c r="J11" s="97">
        <v>15000</v>
      </c>
      <c r="K11" s="102"/>
      <c r="L11" s="97"/>
      <c r="M11" s="56">
        <f t="shared" ref="M11:M38" si="2">SUM(C11:L11)</f>
        <v>1220000</v>
      </c>
      <c r="N11" s="52">
        <v>1220000</v>
      </c>
      <c r="O11" s="53">
        <f t="shared" si="1"/>
        <v>0</v>
      </c>
      <c r="Q11" s="123"/>
      <c r="R11" s="67"/>
      <c r="T11" s="123"/>
      <c r="U11" s="123" t="s">
        <v>33</v>
      </c>
      <c r="V11" s="123" t="s">
        <v>87</v>
      </c>
      <c r="W11" s="123" t="s">
        <v>97</v>
      </c>
      <c r="X11" s="68" t="s">
        <v>92</v>
      </c>
      <c r="Y11" s="68"/>
      <c r="AB11" s="67" t="s">
        <v>32</v>
      </c>
    </row>
    <row r="12" spans="2:28" x14ac:dyDescent="0.25">
      <c r="B12" s="15">
        <f t="shared" si="0"/>
        <v>45328</v>
      </c>
      <c r="C12" s="102">
        <f>250000+300000</f>
        <v>550000</v>
      </c>
      <c r="D12" s="97">
        <v>150000</v>
      </c>
      <c r="E12" s="102">
        <v>720000</v>
      </c>
      <c r="F12" s="97">
        <f>1350000</f>
        <v>1350000</v>
      </c>
      <c r="G12" s="102">
        <f>390000+1500</f>
        <v>391500</v>
      </c>
      <c r="H12" s="97">
        <f>320000+1500+9000+10000</f>
        <v>340500</v>
      </c>
      <c r="I12" s="102"/>
      <c r="J12" s="97">
        <f>9611+30000</f>
        <v>39611</v>
      </c>
      <c r="K12" s="102"/>
      <c r="L12" s="97"/>
      <c r="M12" s="56">
        <f t="shared" si="2"/>
        <v>3541611</v>
      </c>
      <c r="N12" s="51">
        <v>3541611</v>
      </c>
      <c r="O12" s="53">
        <f t="shared" si="1"/>
        <v>0</v>
      </c>
      <c r="Q12" s="123"/>
      <c r="S12" s="124"/>
      <c r="T12" s="123"/>
      <c r="U12" s="123" t="s">
        <v>33</v>
      </c>
      <c r="V12" s="67" t="s">
        <v>87</v>
      </c>
      <c r="X12" s="67" t="s">
        <v>92</v>
      </c>
      <c r="Y12" s="67"/>
      <c r="AB12" s="68" t="s">
        <v>106</v>
      </c>
    </row>
    <row r="13" spans="2:28" x14ac:dyDescent="0.25">
      <c r="B13" s="15">
        <f t="shared" si="0"/>
        <v>45329</v>
      </c>
      <c r="C13" s="102"/>
      <c r="D13" s="97">
        <v>15000</v>
      </c>
      <c r="E13" s="102">
        <v>285000</v>
      </c>
      <c r="F13" s="97">
        <v>815000</v>
      </c>
      <c r="G13" s="102">
        <f>295000+90000</f>
        <v>385000</v>
      </c>
      <c r="H13" s="97">
        <f>75000+280000+6500</f>
        <v>361500</v>
      </c>
      <c r="I13" s="102">
        <v>2900</v>
      </c>
      <c r="J13" s="97"/>
      <c r="K13" s="102">
        <v>17100</v>
      </c>
      <c r="L13" s="97">
        <v>5000</v>
      </c>
      <c r="M13" s="56">
        <f t="shared" si="2"/>
        <v>1886500</v>
      </c>
      <c r="N13" s="52">
        <v>1886500</v>
      </c>
      <c r="O13" s="53">
        <f t="shared" si="1"/>
        <v>0</v>
      </c>
      <c r="U13" s="123" t="s">
        <v>33</v>
      </c>
      <c r="V13" s="123"/>
      <c r="W13" s="123"/>
      <c r="X13" s="68" t="s">
        <v>92</v>
      </c>
      <c r="Y13" s="67" t="s">
        <v>102</v>
      </c>
      <c r="AB13" s="68" t="s">
        <v>52</v>
      </c>
    </row>
    <row r="14" spans="2:28" x14ac:dyDescent="0.25">
      <c r="B14" s="15">
        <f t="shared" si="0"/>
        <v>45330</v>
      </c>
      <c r="C14" s="102"/>
      <c r="D14" s="97">
        <f>1030000-200000</f>
        <v>830000</v>
      </c>
      <c r="E14" s="102"/>
      <c r="F14" s="97"/>
      <c r="G14" s="102">
        <f>410000+520000</f>
        <v>930000</v>
      </c>
      <c r="H14" s="97">
        <f>250000+370000</f>
        <v>620000</v>
      </c>
      <c r="I14" s="102">
        <v>6450</v>
      </c>
      <c r="J14" s="97">
        <v>5500</v>
      </c>
      <c r="K14" s="102"/>
      <c r="L14" s="97">
        <v>29200</v>
      </c>
      <c r="M14" s="56">
        <f t="shared" si="2"/>
        <v>2421150</v>
      </c>
      <c r="N14" s="52">
        <v>2421150</v>
      </c>
      <c r="O14" s="53">
        <f t="shared" si="1"/>
        <v>0</v>
      </c>
      <c r="T14" s="123"/>
      <c r="U14" s="123"/>
      <c r="V14" s="78" t="s">
        <v>87</v>
      </c>
      <c r="W14" s="123"/>
      <c r="X14" s="68"/>
      <c r="Y14" s="68" t="s">
        <v>102</v>
      </c>
      <c r="AB14" s="68" t="s">
        <v>90</v>
      </c>
    </row>
    <row r="15" spans="2:28" x14ac:dyDescent="0.25">
      <c r="B15" s="15">
        <f t="shared" si="0"/>
        <v>45331</v>
      </c>
      <c r="C15" s="102">
        <v>350000</v>
      </c>
      <c r="D15" s="97"/>
      <c r="E15" s="102">
        <v>15000</v>
      </c>
      <c r="F15" s="97">
        <v>10000</v>
      </c>
      <c r="G15" s="102">
        <v>2000</v>
      </c>
      <c r="H15" s="97">
        <f>350000+3000+30000</f>
        <v>383000</v>
      </c>
      <c r="I15" s="102">
        <f>14240+14220</f>
        <v>28460</v>
      </c>
      <c r="J15" s="97">
        <f>5500+91970</f>
        <v>97470</v>
      </c>
      <c r="K15" s="102"/>
      <c r="L15" s="97">
        <f>6630+7000</f>
        <v>13630</v>
      </c>
      <c r="M15" s="56">
        <f t="shared" si="2"/>
        <v>899560</v>
      </c>
      <c r="N15" s="51">
        <v>899560</v>
      </c>
      <c r="O15" s="53">
        <f t="shared" si="1"/>
        <v>0</v>
      </c>
      <c r="P15" s="67"/>
      <c r="R15" s="109"/>
      <c r="S15" s="123"/>
      <c r="T15" s="123"/>
      <c r="U15" s="67" t="s">
        <v>33</v>
      </c>
      <c r="V15" s="123"/>
      <c r="W15" s="67"/>
      <c r="X15" s="123"/>
      <c r="Y15" s="68"/>
    </row>
    <row r="16" spans="2:28" x14ac:dyDescent="0.25">
      <c r="B16" s="15">
        <f t="shared" si="0"/>
        <v>45332</v>
      </c>
      <c r="C16" s="136"/>
      <c r="D16" s="137"/>
      <c r="E16" s="102"/>
      <c r="F16" s="97"/>
      <c r="G16" s="136"/>
      <c r="H16" s="97">
        <f>270000+4500</f>
        <v>274500</v>
      </c>
      <c r="I16" s="121"/>
      <c r="J16" s="97">
        <f>32950+11340</f>
        <v>44290</v>
      </c>
      <c r="K16" s="121"/>
      <c r="L16" s="97">
        <f>8960</f>
        <v>8960</v>
      </c>
      <c r="M16" s="56">
        <f t="shared" si="2"/>
        <v>327750</v>
      </c>
      <c r="N16" s="52">
        <v>327750</v>
      </c>
      <c r="O16" s="53">
        <f t="shared" si="1"/>
        <v>0</v>
      </c>
      <c r="R16" s="109"/>
      <c r="T16" s="123"/>
      <c r="U16" s="123" t="s">
        <v>33</v>
      </c>
      <c r="V16" s="78" t="s">
        <v>87</v>
      </c>
      <c r="W16" s="123"/>
      <c r="X16" s="68"/>
      <c r="Y16" s="68"/>
      <c r="AB16" s="94" t="s">
        <v>34</v>
      </c>
    </row>
    <row r="17" spans="2:28" x14ac:dyDescent="0.25">
      <c r="B17" s="15">
        <f t="shared" si="0"/>
        <v>45333</v>
      </c>
      <c r="C17" s="102"/>
      <c r="D17" s="97">
        <v>470000</v>
      </c>
      <c r="E17" s="121"/>
      <c r="F17" s="122"/>
      <c r="G17" s="102"/>
      <c r="H17" s="122">
        <v>1500</v>
      </c>
      <c r="I17" s="102"/>
      <c r="J17" s="122"/>
      <c r="K17" s="102"/>
      <c r="L17" s="122"/>
      <c r="M17" s="56">
        <f t="shared" si="2"/>
        <v>471500</v>
      </c>
      <c r="N17" s="52">
        <v>471500</v>
      </c>
      <c r="O17" s="53">
        <f t="shared" si="1"/>
        <v>0</v>
      </c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45334</v>
      </c>
      <c r="C18" s="121">
        <v>5000</v>
      </c>
      <c r="D18" s="97">
        <v>5000</v>
      </c>
      <c r="E18" s="102"/>
      <c r="F18" s="97"/>
      <c r="G18" s="121">
        <f>1500+340000</f>
        <v>341500</v>
      </c>
      <c r="H18" s="97">
        <f>1500+580000+4000</f>
        <v>585500</v>
      </c>
      <c r="I18" s="121"/>
      <c r="J18" s="97">
        <v>5500</v>
      </c>
      <c r="K18" s="121"/>
      <c r="L18" s="97">
        <v>15000</v>
      </c>
      <c r="M18" s="56">
        <f t="shared" si="2"/>
        <v>957500</v>
      </c>
      <c r="N18" s="51">
        <v>957500</v>
      </c>
      <c r="O18" s="53">
        <f t="shared" si="1"/>
        <v>0</v>
      </c>
      <c r="Q18" s="109"/>
      <c r="R18" s="127"/>
      <c r="S18" s="109"/>
      <c r="U18" s="67"/>
      <c r="V18" s="123"/>
      <c r="W18" s="128"/>
      <c r="X18" s="80"/>
      <c r="AB18" s="78" t="s">
        <v>92</v>
      </c>
    </row>
    <row r="19" spans="2:28" x14ac:dyDescent="0.25">
      <c r="B19" s="15">
        <f t="shared" si="0"/>
        <v>45335</v>
      </c>
      <c r="C19" s="102"/>
      <c r="D19" s="97">
        <v>1350000</v>
      </c>
      <c r="E19" s="102"/>
      <c r="F19" s="97"/>
      <c r="G19" s="102">
        <v>20000</v>
      </c>
      <c r="H19" s="97">
        <v>274000</v>
      </c>
      <c r="I19" s="102"/>
      <c r="J19" s="97">
        <v>5000</v>
      </c>
      <c r="K19" s="102"/>
      <c r="L19" s="97">
        <v>1558</v>
      </c>
      <c r="M19" s="56">
        <f>SUM(C19:L19)</f>
        <v>1650558</v>
      </c>
      <c r="N19" s="52">
        <v>1650558</v>
      </c>
      <c r="O19" s="53">
        <f t="shared" si="1"/>
        <v>0</v>
      </c>
      <c r="P19" s="123"/>
      <c r="R19" s="123"/>
      <c r="U19" s="128" t="s">
        <v>33</v>
      </c>
      <c r="V19" s="78" t="s">
        <v>87</v>
      </c>
      <c r="W19" s="67"/>
      <c r="X19" s="80"/>
      <c r="Y19" s="78"/>
      <c r="Z19" s="123"/>
      <c r="AB19" s="67" t="s">
        <v>49</v>
      </c>
    </row>
    <row r="20" spans="2:28" x14ac:dyDescent="0.25">
      <c r="B20" s="15">
        <f t="shared" si="0"/>
        <v>45336</v>
      </c>
      <c r="C20" s="102"/>
      <c r="D20" s="122"/>
      <c r="E20" s="102"/>
      <c r="F20" s="97"/>
      <c r="G20" s="102">
        <f>500000+370000</f>
        <v>870000</v>
      </c>
      <c r="H20" s="97"/>
      <c r="I20" s="102">
        <v>5500</v>
      </c>
      <c r="J20" s="97">
        <v>500</v>
      </c>
      <c r="K20" s="102"/>
      <c r="L20" s="97">
        <v>6300</v>
      </c>
      <c r="M20" s="56">
        <f t="shared" si="2"/>
        <v>882300</v>
      </c>
      <c r="N20" s="52">
        <v>882300</v>
      </c>
      <c r="O20" s="53">
        <f t="shared" si="1"/>
        <v>0</v>
      </c>
      <c r="Q20" s="67"/>
      <c r="T20" s="123"/>
      <c r="U20" s="123"/>
      <c r="V20" s="78" t="s">
        <v>87</v>
      </c>
      <c r="W20" s="123"/>
      <c r="X20" s="68"/>
      <c r="Y20" s="67"/>
      <c r="AB20" s="78" t="s">
        <v>33</v>
      </c>
    </row>
    <row r="21" spans="2:28" x14ac:dyDescent="0.25">
      <c r="B21" s="15">
        <f>B20+1</f>
        <v>45337</v>
      </c>
      <c r="C21" s="102"/>
      <c r="D21" s="97">
        <v>1300000</v>
      </c>
      <c r="E21" s="102"/>
      <c r="F21" s="97"/>
      <c r="G21" s="102">
        <f>200000+1500+294000</f>
        <v>495500</v>
      </c>
      <c r="H21" s="97">
        <f>180000+1500+4000</f>
        <v>185500</v>
      </c>
      <c r="I21" s="102">
        <v>4500</v>
      </c>
      <c r="J21" s="97">
        <f>4500+9400</f>
        <v>13900</v>
      </c>
      <c r="K21" s="102">
        <v>25000</v>
      </c>
      <c r="L21" s="97">
        <f>10000+1080</f>
        <v>11080</v>
      </c>
      <c r="M21" s="56">
        <f t="shared" si="2"/>
        <v>2035480</v>
      </c>
      <c r="N21" s="51">
        <v>2035480</v>
      </c>
      <c r="O21" s="53">
        <f t="shared" si="1"/>
        <v>0</v>
      </c>
      <c r="Q21" s="123"/>
      <c r="T21" s="123"/>
      <c r="U21" s="128" t="s">
        <v>33</v>
      </c>
      <c r="V21" s="78" t="s">
        <v>87</v>
      </c>
      <c r="W21" s="123"/>
      <c r="X21" s="68"/>
      <c r="Y21" s="67"/>
      <c r="AB21" s="123" t="s">
        <v>102</v>
      </c>
    </row>
    <row r="22" spans="2:28" x14ac:dyDescent="0.25">
      <c r="B22" s="15">
        <f t="shared" si="0"/>
        <v>45338</v>
      </c>
      <c r="C22" s="102">
        <f>460000</f>
        <v>460000</v>
      </c>
      <c r="D22" s="97"/>
      <c r="E22" s="102"/>
      <c r="F22" s="97"/>
      <c r="G22" s="102">
        <v>390000</v>
      </c>
      <c r="H22" s="97"/>
      <c r="I22" s="102"/>
      <c r="J22" s="97">
        <f>5500+4000+180000</f>
        <v>189500</v>
      </c>
      <c r="K22" s="102"/>
      <c r="L22" s="97">
        <v>3300</v>
      </c>
      <c r="M22" s="56">
        <f t="shared" si="2"/>
        <v>1042800</v>
      </c>
      <c r="N22" s="52">
        <v>1042800</v>
      </c>
      <c r="O22" s="53">
        <f t="shared" si="1"/>
        <v>0</v>
      </c>
      <c r="S22" s="67"/>
      <c r="T22" s="123"/>
      <c r="U22" s="123"/>
      <c r="V22" s="123"/>
      <c r="W22" s="123"/>
      <c r="X22" s="68"/>
      <c r="Y22" s="67"/>
      <c r="AB22" s="67" t="s">
        <v>87</v>
      </c>
    </row>
    <row r="23" spans="2:28" x14ac:dyDescent="0.25">
      <c r="B23" s="15">
        <f t="shared" si="0"/>
        <v>45339</v>
      </c>
      <c r="C23" s="102"/>
      <c r="D23" s="97"/>
      <c r="E23" s="102"/>
      <c r="F23" s="97"/>
      <c r="G23" s="102"/>
      <c r="H23" s="97">
        <v>310000</v>
      </c>
      <c r="I23" s="102"/>
      <c r="J23" s="97">
        <v>4500</v>
      </c>
      <c r="K23" s="102"/>
      <c r="L23" s="97"/>
      <c r="M23" s="56">
        <f t="shared" si="2"/>
        <v>314500</v>
      </c>
      <c r="N23" s="52">
        <v>314500</v>
      </c>
      <c r="O23" s="53">
        <f t="shared" si="1"/>
        <v>0</v>
      </c>
      <c r="S23" s="124"/>
      <c r="T23" s="123"/>
      <c r="U23" s="123"/>
      <c r="V23" s="123"/>
      <c r="W23" s="123"/>
      <c r="X23" s="68"/>
      <c r="Y23" s="67"/>
      <c r="AB23" s="78" t="s">
        <v>97</v>
      </c>
    </row>
    <row r="24" spans="2:28" x14ac:dyDescent="0.25">
      <c r="B24" s="15">
        <f t="shared" si="0"/>
        <v>45340</v>
      </c>
      <c r="C24" s="121">
        <v>340000</v>
      </c>
      <c r="D24" s="97"/>
      <c r="E24" s="102"/>
      <c r="F24" s="97"/>
      <c r="G24" s="121"/>
      <c r="H24" s="97">
        <v>180000</v>
      </c>
      <c r="I24" s="121"/>
      <c r="J24" s="97"/>
      <c r="K24" s="121"/>
      <c r="L24" s="97"/>
      <c r="M24" s="56">
        <f t="shared" si="2"/>
        <v>520000</v>
      </c>
      <c r="N24" s="51">
        <v>520000</v>
      </c>
      <c r="O24" s="53">
        <f t="shared" si="1"/>
        <v>0</v>
      </c>
      <c r="Q24" s="67"/>
      <c r="R24" s="123"/>
      <c r="S24" s="123"/>
      <c r="T24" s="123"/>
      <c r="U24" s="123" t="s">
        <v>33</v>
      </c>
      <c r="V24" s="123" t="s">
        <v>87</v>
      </c>
      <c r="W24" s="123"/>
      <c r="X24" s="68"/>
      <c r="AA24" s="78"/>
      <c r="AB24" s="68"/>
    </row>
    <row r="25" spans="2:28" x14ac:dyDescent="0.25">
      <c r="B25" s="15">
        <f t="shared" si="0"/>
        <v>45341</v>
      </c>
      <c r="C25" s="102"/>
      <c r="D25" s="97">
        <f>15000+700000</f>
        <v>715000</v>
      </c>
      <c r="E25" s="102"/>
      <c r="F25" s="97">
        <f>300000</f>
        <v>300000</v>
      </c>
      <c r="G25" s="102"/>
      <c r="H25" s="97">
        <f>350000+50000+370000</f>
        <v>770000</v>
      </c>
      <c r="I25" s="102"/>
      <c r="J25" s="97">
        <f>62870+30340</f>
        <v>93210</v>
      </c>
      <c r="K25" s="102">
        <v>3000</v>
      </c>
      <c r="L25" s="97">
        <f>3300+25000</f>
        <v>28300</v>
      </c>
      <c r="M25" s="56">
        <f t="shared" si="2"/>
        <v>1909510</v>
      </c>
      <c r="N25" s="52">
        <v>1909510</v>
      </c>
      <c r="O25" s="53">
        <f t="shared" si="1"/>
        <v>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45342</v>
      </c>
      <c r="C26" s="102"/>
      <c r="D26" s="97"/>
      <c r="E26" s="102">
        <v>470000</v>
      </c>
      <c r="F26" s="97">
        <v>645000</v>
      </c>
      <c r="G26" s="102">
        <f>460000+540000</f>
        <v>1000000</v>
      </c>
      <c r="H26" s="97">
        <f>100000+1500</f>
        <v>101500</v>
      </c>
      <c r="I26" s="102"/>
      <c r="J26" s="97">
        <f>39370+10000</f>
        <v>49370</v>
      </c>
      <c r="K26" s="102"/>
      <c r="L26" s="97"/>
      <c r="M26" s="56">
        <f t="shared" si="2"/>
        <v>2265870</v>
      </c>
      <c r="N26" s="52">
        <v>2265870</v>
      </c>
      <c r="O26" s="53">
        <f t="shared" si="1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45343</v>
      </c>
      <c r="C27" s="102"/>
      <c r="D27" s="97">
        <f>512500-300000</f>
        <v>212500</v>
      </c>
      <c r="E27" s="102">
        <v>123000</v>
      </c>
      <c r="F27" s="97">
        <v>487000</v>
      </c>
      <c r="G27" s="102">
        <f>290000</f>
        <v>290000</v>
      </c>
      <c r="H27" s="97">
        <f>330000+410000+3000+10000</f>
        <v>753000</v>
      </c>
      <c r="I27" s="102">
        <v>6950</v>
      </c>
      <c r="J27" s="137">
        <f>22350+500</f>
        <v>22850</v>
      </c>
      <c r="K27" s="102"/>
      <c r="L27" s="97"/>
      <c r="M27" s="153">
        <v>1895300</v>
      </c>
      <c r="N27" s="154">
        <v>1895300</v>
      </c>
      <c r="O27" s="155">
        <f t="shared" si="1"/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45344</v>
      </c>
      <c r="C28" s="102">
        <v>1000000</v>
      </c>
      <c r="D28" s="97">
        <v>180000</v>
      </c>
      <c r="E28" s="102">
        <v>850000</v>
      </c>
      <c r="F28" s="97">
        <v>660000</v>
      </c>
      <c r="G28" s="102"/>
      <c r="H28" s="97">
        <f>150000+370000</f>
        <v>520000</v>
      </c>
      <c r="I28" s="102"/>
      <c r="J28" s="97">
        <f>6500+10000</f>
        <v>16500</v>
      </c>
      <c r="K28" s="102">
        <v>3000</v>
      </c>
      <c r="L28" s="97">
        <v>14500</v>
      </c>
      <c r="M28" s="156">
        <f t="shared" si="2"/>
        <v>3244000</v>
      </c>
      <c r="N28" s="157">
        <v>3244000</v>
      </c>
      <c r="O28" s="155">
        <f t="shared" si="1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45345</v>
      </c>
      <c r="C29" s="102"/>
      <c r="D29" s="97">
        <v>700000</v>
      </c>
      <c r="E29" s="102"/>
      <c r="F29" s="97">
        <v>25000</v>
      </c>
      <c r="G29" s="102"/>
      <c r="H29" s="97">
        <f>200000+330000</f>
        <v>530000</v>
      </c>
      <c r="I29" s="102"/>
      <c r="J29" s="97">
        <v>7110</v>
      </c>
      <c r="K29" s="102"/>
      <c r="L29" s="97">
        <v>3200</v>
      </c>
      <c r="M29" s="56">
        <f t="shared" si="2"/>
        <v>1265310</v>
      </c>
      <c r="N29" s="52">
        <v>1265310</v>
      </c>
      <c r="O29" s="53">
        <f t="shared" si="1"/>
        <v>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45346</v>
      </c>
      <c r="C30" s="138"/>
      <c r="D30" s="137"/>
      <c r="E30" s="102"/>
      <c r="F30" s="97"/>
      <c r="G30" s="102"/>
      <c r="H30" s="97">
        <f>1500+2000</f>
        <v>3500</v>
      </c>
      <c r="I30" s="102">
        <v>5500</v>
      </c>
      <c r="J30" s="97"/>
      <c r="K30" s="138"/>
      <c r="L30" s="137"/>
      <c r="M30" s="56">
        <f t="shared" si="2"/>
        <v>9000</v>
      </c>
      <c r="N30" s="51">
        <v>9000</v>
      </c>
      <c r="O30" s="53">
        <f t="shared" si="1"/>
        <v>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45347</v>
      </c>
      <c r="C31" s="121"/>
      <c r="D31" s="97"/>
      <c r="E31" s="102"/>
      <c r="F31" s="97"/>
      <c r="G31" s="121">
        <v>2000</v>
      </c>
      <c r="H31" s="97">
        <f>820000+360000</f>
        <v>1180000</v>
      </c>
      <c r="I31" s="102">
        <v>5500</v>
      </c>
      <c r="J31" s="97">
        <v>2000</v>
      </c>
      <c r="K31" s="138"/>
      <c r="L31" s="137"/>
      <c r="M31" s="56">
        <f t="shared" si="2"/>
        <v>1189500</v>
      </c>
      <c r="N31" s="51">
        <v>1189500</v>
      </c>
      <c r="O31" s="53">
        <f t="shared" si="1"/>
        <v>0</v>
      </c>
      <c r="Q31" s="123"/>
      <c r="R31" s="127"/>
      <c r="T31" s="123"/>
      <c r="U31" s="123" t="s">
        <v>33</v>
      </c>
      <c r="V31" s="123" t="s">
        <v>87</v>
      </c>
      <c r="W31" s="78"/>
      <c r="X31" s="68"/>
      <c r="Z31" s="68"/>
      <c r="AA31" s="78"/>
      <c r="AB31" s="67"/>
    </row>
    <row r="32" spans="2:28" x14ac:dyDescent="0.25">
      <c r="B32" s="15">
        <f t="shared" si="0"/>
        <v>45348</v>
      </c>
      <c r="C32" s="102"/>
      <c r="D32" s="97"/>
      <c r="E32" s="102"/>
      <c r="F32" s="95"/>
      <c r="G32" s="102">
        <f>330000+370000+350000</f>
        <v>1050000</v>
      </c>
      <c r="H32" s="97">
        <f>1500+75000</f>
        <v>76500</v>
      </c>
      <c r="I32" s="102"/>
      <c r="J32" s="97">
        <v>5500</v>
      </c>
      <c r="K32" s="102"/>
      <c r="L32" s="97">
        <f>19990+3800+17000+160</f>
        <v>40950</v>
      </c>
      <c r="M32" s="156">
        <f t="shared" si="2"/>
        <v>1172950</v>
      </c>
      <c r="N32" s="157">
        <v>1172950</v>
      </c>
      <c r="O32" s="155">
        <f t="shared" si="1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45349</v>
      </c>
      <c r="C33" s="102"/>
      <c r="D33" s="97"/>
      <c r="E33" s="102">
        <f>1400000+500000</f>
        <v>1900000</v>
      </c>
      <c r="F33" s="97">
        <v>200000</v>
      </c>
      <c r="G33" s="102">
        <v>20000</v>
      </c>
      <c r="H33" s="97">
        <f>300000+408000+390000</f>
        <v>1098000</v>
      </c>
      <c r="I33" s="102">
        <v>18450</v>
      </c>
      <c r="J33" s="97">
        <f>5500+6500</f>
        <v>12000</v>
      </c>
      <c r="K33" s="102"/>
      <c r="L33" s="97">
        <v>3000</v>
      </c>
      <c r="M33" s="56">
        <f t="shared" si="2"/>
        <v>3251450</v>
      </c>
      <c r="N33" s="51">
        <v>3251450</v>
      </c>
      <c r="O33" s="53">
        <f t="shared" si="1"/>
        <v>0</v>
      </c>
      <c r="Q33" s="109"/>
      <c r="R33" s="111"/>
      <c r="S33" s="111"/>
      <c r="T33" s="109"/>
      <c r="U33" s="109" t="s">
        <v>33</v>
      </c>
      <c r="V33" s="109"/>
      <c r="X33" s="68"/>
      <c r="Z33" s="67"/>
      <c r="AA33" s="78"/>
      <c r="AB33" s="68"/>
    </row>
    <row r="34" spans="1:28" x14ac:dyDescent="0.25">
      <c r="B34" s="15">
        <f t="shared" si="0"/>
        <v>45350</v>
      </c>
      <c r="C34" s="102"/>
      <c r="D34" s="97"/>
      <c r="E34" s="102">
        <v>350000</v>
      </c>
      <c r="F34" s="97">
        <v>260000</v>
      </c>
      <c r="G34" s="138">
        <f>310000+350000+360000</f>
        <v>1020000</v>
      </c>
      <c r="H34" s="137">
        <f>150000+1500+4000+10000+430000</f>
        <v>595500</v>
      </c>
      <c r="I34" s="138"/>
      <c r="J34" s="137"/>
      <c r="K34" s="138">
        <v>5000</v>
      </c>
      <c r="L34" s="137">
        <f>20000+3800</f>
        <v>23800</v>
      </c>
      <c r="M34" s="156">
        <f t="shared" si="2"/>
        <v>2254300</v>
      </c>
      <c r="N34" s="157">
        <v>2254300</v>
      </c>
      <c r="O34" s="53">
        <f t="shared" si="1"/>
        <v>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45351</v>
      </c>
      <c r="C35" s="102"/>
      <c r="D35" s="97"/>
      <c r="E35" s="102"/>
      <c r="F35" s="97">
        <f>1030000+530000</f>
        <v>1560000</v>
      </c>
      <c r="G35" s="102">
        <v>80000</v>
      </c>
      <c r="H35" s="97">
        <f>1500+370000</f>
        <v>371500</v>
      </c>
      <c r="I35" s="102">
        <f>5500+15000</f>
        <v>20500</v>
      </c>
      <c r="J35" s="97">
        <f>7110+1020</f>
        <v>8130</v>
      </c>
      <c r="K35" s="102">
        <v>11500</v>
      </c>
      <c r="L35" s="97">
        <v>17000</v>
      </c>
      <c r="M35" s="56">
        <f t="shared" si="2"/>
        <v>2068630</v>
      </c>
      <c r="N35" s="54">
        <v>2068630</v>
      </c>
      <c r="O35" s="55">
        <f t="shared" si="1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/>
      <c r="C36" s="102"/>
      <c r="D36" s="97"/>
      <c r="E36" s="102"/>
      <c r="F36" s="97"/>
      <c r="G36" s="102"/>
      <c r="H36" s="97"/>
      <c r="I36" s="102"/>
      <c r="J36" s="97"/>
      <c r="K36" s="102"/>
      <c r="L36" s="97"/>
      <c r="M36" s="56">
        <f t="shared" si="2"/>
        <v>0</v>
      </c>
      <c r="N36" s="54"/>
      <c r="O36" s="55">
        <f t="shared" si="1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02"/>
      <c r="D37" s="97"/>
      <c r="E37" s="102"/>
      <c r="F37" s="97"/>
      <c r="G37" s="102"/>
      <c r="H37" s="97"/>
      <c r="I37" s="102"/>
      <c r="J37" s="97"/>
      <c r="K37" s="102"/>
      <c r="L37" s="97"/>
      <c r="M37" s="56">
        <f t="shared" si="2"/>
        <v>0</v>
      </c>
      <c r="N37" s="54"/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3275000</v>
      </c>
      <c r="D39" s="25">
        <f>SUM(D7:D38)</f>
        <v>6032500</v>
      </c>
      <c r="E39" s="24">
        <f t="shared" ref="E39:L39" si="3">SUM(E7:E38)</f>
        <v>5473000</v>
      </c>
      <c r="F39" s="59">
        <f t="shared" si="3"/>
        <v>7302000</v>
      </c>
      <c r="G39" s="24">
        <f t="shared" si="3"/>
        <v>8392000</v>
      </c>
      <c r="H39" s="25">
        <f t="shared" si="3"/>
        <v>11247000</v>
      </c>
      <c r="I39" s="24">
        <f t="shared" si="3"/>
        <v>108860</v>
      </c>
      <c r="J39" s="25">
        <f t="shared" si="3"/>
        <v>667441</v>
      </c>
      <c r="K39" s="24">
        <f t="shared" si="3"/>
        <v>68794</v>
      </c>
      <c r="L39" s="25">
        <f t="shared" si="3"/>
        <v>249628</v>
      </c>
      <c r="M39" s="28">
        <f>SUM(M7:M38)</f>
        <v>42816223</v>
      </c>
      <c r="N39" s="27">
        <f>SUM(N7:N38)</f>
        <v>42816223</v>
      </c>
      <c r="O39" s="26">
        <f>N39-M39</f>
        <v>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9307500</v>
      </c>
      <c r="D40" s="282"/>
      <c r="E40" s="267">
        <f>SUM(E39:F39)</f>
        <v>12775000</v>
      </c>
      <c r="F40" s="269"/>
      <c r="G40" s="281">
        <f>SUM(G39:H39)</f>
        <v>19639000</v>
      </c>
      <c r="H40" s="282"/>
      <c r="I40" s="267">
        <f>SUM(I39:J39)</f>
        <v>776301</v>
      </c>
      <c r="J40" s="268"/>
      <c r="K40" s="281">
        <f>SUM(K39:L39)</f>
        <v>318422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45322</v>
      </c>
      <c r="C45" s="3">
        <v>0</v>
      </c>
      <c r="D45" s="14">
        <v>0</v>
      </c>
      <c r="E45" s="3">
        <v>0</v>
      </c>
      <c r="F45" s="14">
        <v>20000</v>
      </c>
      <c r="G45" s="3">
        <v>0</v>
      </c>
      <c r="H45" s="14">
        <v>532500</v>
      </c>
      <c r="I45" s="3">
        <v>0</v>
      </c>
      <c r="J45" s="14">
        <v>0</v>
      </c>
      <c r="K45" s="134">
        <v>0</v>
      </c>
      <c r="L45" s="14">
        <v>4520</v>
      </c>
      <c r="M45" s="3">
        <f>SUM(C45:L45)</f>
        <v>557020</v>
      </c>
      <c r="N45" s="3">
        <v>557020</v>
      </c>
      <c r="O45" s="3">
        <f>N45-M45</f>
        <v>0</v>
      </c>
      <c r="P45" s="85">
        <v>45323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45351</v>
      </c>
      <c r="C48" s="3">
        <v>0</v>
      </c>
      <c r="D48" s="14">
        <f>D37</f>
        <v>0</v>
      </c>
      <c r="E48" s="3">
        <v>0</v>
      </c>
      <c r="F48" s="14">
        <f>1030000+530000</f>
        <v>1560000</v>
      </c>
      <c r="G48" s="3">
        <v>0</v>
      </c>
      <c r="H48" s="14">
        <v>371500</v>
      </c>
      <c r="I48" s="3">
        <v>0</v>
      </c>
      <c r="J48" s="14">
        <v>8130</v>
      </c>
      <c r="K48" s="134">
        <v>0</v>
      </c>
      <c r="L48" s="14">
        <v>17000</v>
      </c>
      <c r="M48" s="3">
        <f>SUM(C48:L48)</f>
        <v>1956630</v>
      </c>
      <c r="N48" s="3">
        <v>1956630</v>
      </c>
      <c r="O48" s="3">
        <f>N48-M48</f>
        <v>0</v>
      </c>
      <c r="P48" s="151">
        <v>45352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-1540000</v>
      </c>
      <c r="F50" s="263"/>
      <c r="G50" s="262">
        <f>H45+H46-H47-H48</f>
        <v>161000</v>
      </c>
      <c r="H50" s="263"/>
      <c r="I50" s="262">
        <f>J45+J46-J47-J48</f>
        <v>-8130</v>
      </c>
      <c r="J50" s="263"/>
      <c r="K50" s="262">
        <f>L45+L46-L47-L48</f>
        <v>-12480</v>
      </c>
      <c r="L50" s="263"/>
    </row>
    <row r="51" spans="2:28" x14ac:dyDescent="0.25">
      <c r="B51" s="264" t="s">
        <v>12</v>
      </c>
      <c r="C51" s="264"/>
      <c r="D51" s="31">
        <f>D39+D50</f>
        <v>6032500</v>
      </c>
      <c r="E51" s="265">
        <f>F39+E50</f>
        <v>5762000</v>
      </c>
      <c r="F51" s="266"/>
      <c r="G51" s="265">
        <f>H39+G50</f>
        <v>11408000</v>
      </c>
      <c r="H51" s="266"/>
      <c r="I51" s="286">
        <f>J39+I50</f>
        <v>659311</v>
      </c>
      <c r="J51" s="287"/>
      <c r="K51" s="265">
        <f>L39+K50</f>
        <v>237148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24098959</v>
      </c>
      <c r="E52" s="283"/>
      <c r="F52" s="283"/>
      <c r="G52" s="283"/>
      <c r="H52" s="283"/>
      <c r="I52" s="152"/>
      <c r="J52" s="152"/>
      <c r="K52" s="152"/>
      <c r="L52" s="152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57440</v>
      </c>
      <c r="P54" s="87"/>
      <c r="S54">
        <v>25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17317654</v>
      </c>
      <c r="D55" s="149">
        <f>D39+H39+F39+J39+L39</f>
        <v>25498569</v>
      </c>
      <c r="E55" s="58"/>
      <c r="F55" s="58"/>
      <c r="M55" s="63" t="s">
        <v>25</v>
      </c>
      <c r="N55" s="64">
        <v>55142</v>
      </c>
      <c r="P55" s="88"/>
      <c r="S55">
        <v>24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42816223</v>
      </c>
      <c r="D56" s="285"/>
      <c r="E56" s="57"/>
      <c r="F56" s="57"/>
      <c r="M56" s="63" t="s">
        <v>28</v>
      </c>
      <c r="N56" s="64">
        <v>107987</v>
      </c>
      <c r="R56" s="87"/>
      <c r="S56">
        <v>47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6893</v>
      </c>
      <c r="S57">
        <v>3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2298</v>
      </c>
      <c r="S58">
        <v>1</v>
      </c>
      <c r="Y58" s="4"/>
      <c r="AA58" s="78"/>
      <c r="AB58" s="68"/>
    </row>
    <row r="59" spans="2:28" x14ac:dyDescent="0.25">
      <c r="J59" t="s">
        <v>3</v>
      </c>
      <c r="N59" s="64">
        <v>229760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41416613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K50:L50"/>
    <mergeCell ref="B51:C51"/>
    <mergeCell ref="E51:F51"/>
    <mergeCell ref="G51:H51"/>
    <mergeCell ref="I51:J51"/>
    <mergeCell ref="K51:L51"/>
    <mergeCell ref="C60:D60"/>
    <mergeCell ref="B50:C50"/>
    <mergeCell ref="E50:F50"/>
    <mergeCell ref="G50:H50"/>
    <mergeCell ref="I50:J50"/>
    <mergeCell ref="Z56:AA56"/>
    <mergeCell ref="B52:C52"/>
    <mergeCell ref="D52:H52"/>
    <mergeCell ref="C56:D56"/>
    <mergeCell ref="T56:U56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72"/>
  <sheetViews>
    <sheetView topLeftCell="A25" workbookViewId="0">
      <selection activeCell="G50" sqref="G50:H50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53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45352</v>
      </c>
      <c r="C7" s="102"/>
      <c r="D7" s="97"/>
      <c r="E7" s="102"/>
      <c r="F7" s="97">
        <v>30000</v>
      </c>
      <c r="G7" s="119"/>
      <c r="H7" s="120">
        <v>1253500</v>
      </c>
      <c r="I7" s="119"/>
      <c r="J7" s="120">
        <v>103560</v>
      </c>
      <c r="K7" s="119"/>
      <c r="L7" s="120">
        <f>6630+44250</f>
        <v>50880</v>
      </c>
      <c r="M7" s="56">
        <f>SUM(C7:L7)</f>
        <v>1437940</v>
      </c>
      <c r="N7" s="52">
        <v>1437940</v>
      </c>
      <c r="O7" s="53">
        <f>N7-M7</f>
        <v>0</v>
      </c>
      <c r="Q7" s="109"/>
      <c r="R7" s="123"/>
      <c r="S7" s="123"/>
      <c r="T7" s="106"/>
      <c r="U7" s="123" t="s">
        <v>33</v>
      </c>
      <c r="V7" s="67" t="s">
        <v>87</v>
      </c>
      <c r="X7" s="67" t="s">
        <v>92</v>
      </c>
      <c r="Z7" s="78"/>
      <c r="AB7" s="68" t="s">
        <v>82</v>
      </c>
    </row>
    <row r="8" spans="2:28" x14ac:dyDescent="0.25">
      <c r="B8" s="15">
        <f t="shared" ref="B8:B35" si="0">B7+1</f>
        <v>45353</v>
      </c>
      <c r="C8" s="121">
        <v>180000</v>
      </c>
      <c r="D8" s="97"/>
      <c r="E8" s="102">
        <v>850000</v>
      </c>
      <c r="F8" s="97">
        <f>250000</f>
        <v>250000</v>
      </c>
      <c r="G8" s="121">
        <v>4000</v>
      </c>
      <c r="H8" s="97">
        <v>80000</v>
      </c>
      <c r="I8" s="121"/>
      <c r="J8" s="97"/>
      <c r="K8" s="121">
        <v>2880</v>
      </c>
      <c r="L8" s="97"/>
      <c r="M8" s="56">
        <f>SUM(C8:L8)</f>
        <v>1366880</v>
      </c>
      <c r="N8" s="52">
        <v>1366880</v>
      </c>
      <c r="O8" s="53">
        <f t="shared" ref="O8:O37" si="1">N8-M8</f>
        <v>0</v>
      </c>
      <c r="U8" s="68" t="s">
        <v>33</v>
      </c>
      <c r="V8" s="68" t="s">
        <v>87</v>
      </c>
      <c r="Z8" s="78"/>
      <c r="AB8" s="68" t="s">
        <v>78</v>
      </c>
    </row>
    <row r="9" spans="2:28" x14ac:dyDescent="0.25">
      <c r="B9" s="15">
        <f t="shared" si="0"/>
        <v>45354</v>
      </c>
      <c r="C9" s="102"/>
      <c r="D9" s="122">
        <v>600000</v>
      </c>
      <c r="E9" s="102"/>
      <c r="F9" s="95"/>
      <c r="G9" s="102"/>
      <c r="H9" s="97">
        <v>61500</v>
      </c>
      <c r="I9" s="102"/>
      <c r="J9" s="97">
        <v>14400</v>
      </c>
      <c r="K9" s="102"/>
      <c r="L9" s="97"/>
      <c r="M9" s="56">
        <f>SUM(C9:L9)</f>
        <v>675900</v>
      </c>
      <c r="N9" s="51">
        <v>675900</v>
      </c>
      <c r="O9" s="53">
        <f>N9-M9</f>
        <v>0</v>
      </c>
      <c r="P9" s="101"/>
      <c r="U9" s="68" t="s">
        <v>33</v>
      </c>
      <c r="V9" s="68" t="s">
        <v>87</v>
      </c>
      <c r="Z9" s="78"/>
      <c r="AB9" s="68" t="s">
        <v>39</v>
      </c>
    </row>
    <row r="10" spans="2:28" x14ac:dyDescent="0.25">
      <c r="B10" s="15">
        <f t="shared" si="0"/>
        <v>45355</v>
      </c>
      <c r="C10" s="121"/>
      <c r="D10" s="97">
        <v>610000</v>
      </c>
      <c r="E10" s="102"/>
      <c r="F10" s="97"/>
      <c r="G10" s="121">
        <f>400000+250000</f>
        <v>650000</v>
      </c>
      <c r="H10" s="97">
        <f>1193000+1500</f>
        <v>1194500</v>
      </c>
      <c r="I10" s="121"/>
      <c r="J10" s="97">
        <f>5500+5500</f>
        <v>11000</v>
      </c>
      <c r="K10" s="121"/>
      <c r="L10" s="97">
        <v>36300</v>
      </c>
      <c r="M10" s="56">
        <f>SUM(C10:L10)</f>
        <v>2501800</v>
      </c>
      <c r="N10" s="52">
        <v>2500300</v>
      </c>
      <c r="O10" s="53">
        <f t="shared" si="1"/>
        <v>-1500</v>
      </c>
      <c r="P10" s="101"/>
      <c r="Z10" s="78"/>
      <c r="AB10" s="68" t="s">
        <v>30</v>
      </c>
    </row>
    <row r="11" spans="2:28" x14ac:dyDescent="0.25">
      <c r="B11" s="15">
        <f t="shared" si="0"/>
        <v>45356</v>
      </c>
      <c r="C11" s="102">
        <v>1060000</v>
      </c>
      <c r="D11" s="97">
        <v>720000</v>
      </c>
      <c r="E11" s="102">
        <f>200000</f>
        <v>200000</v>
      </c>
      <c r="F11" s="97">
        <v>120000</v>
      </c>
      <c r="G11" s="102">
        <v>300400</v>
      </c>
      <c r="H11" s="97">
        <f>198500+39000</f>
        <v>237500</v>
      </c>
      <c r="I11" s="102"/>
      <c r="J11" s="97"/>
      <c r="K11" s="102"/>
      <c r="L11" s="97"/>
      <c r="M11" s="56">
        <f t="shared" ref="M11:M38" si="2">SUM(C11:L11)</f>
        <v>2637900</v>
      </c>
      <c r="N11" s="52">
        <v>2598900</v>
      </c>
      <c r="O11" s="53">
        <f t="shared" si="1"/>
        <v>-39000</v>
      </c>
      <c r="P11" s="101"/>
      <c r="Q11" s="123"/>
      <c r="R11" s="67"/>
      <c r="T11" s="123"/>
      <c r="U11" s="123" t="s">
        <v>33</v>
      </c>
      <c r="V11" s="123" t="s">
        <v>87</v>
      </c>
      <c r="W11" s="123" t="s">
        <v>97</v>
      </c>
      <c r="X11" s="68" t="s">
        <v>92</v>
      </c>
      <c r="Y11" s="68"/>
      <c r="AB11" s="67" t="s">
        <v>32</v>
      </c>
    </row>
    <row r="12" spans="2:28" x14ac:dyDescent="0.25">
      <c r="B12" s="15">
        <f t="shared" si="0"/>
        <v>45357</v>
      </c>
      <c r="C12" s="102"/>
      <c r="D12" s="97">
        <f>5000+890000</f>
        <v>895000</v>
      </c>
      <c r="E12" s="102">
        <v>300000</v>
      </c>
      <c r="F12" s="97"/>
      <c r="G12" s="102">
        <v>10000</v>
      </c>
      <c r="H12" s="97">
        <f>501500+2000</f>
        <v>503500</v>
      </c>
      <c r="I12" s="102"/>
      <c r="J12" s="97">
        <v>10610</v>
      </c>
      <c r="K12" s="102">
        <v>9000</v>
      </c>
      <c r="L12" s="97">
        <v>32260</v>
      </c>
      <c r="M12" s="56">
        <f t="shared" si="2"/>
        <v>1760370</v>
      </c>
      <c r="N12" s="51">
        <v>1758370</v>
      </c>
      <c r="O12" s="53">
        <f t="shared" si="1"/>
        <v>-2000</v>
      </c>
      <c r="P12" s="101"/>
      <c r="Q12" s="123"/>
      <c r="S12" s="124"/>
      <c r="T12" s="123"/>
      <c r="U12" s="123" t="s">
        <v>33</v>
      </c>
      <c r="V12" s="67" t="s">
        <v>87</v>
      </c>
      <c r="X12" s="67" t="s">
        <v>92</v>
      </c>
      <c r="Y12" s="67"/>
      <c r="AB12" s="68" t="s">
        <v>106</v>
      </c>
    </row>
    <row r="13" spans="2:28" x14ac:dyDescent="0.25">
      <c r="B13" s="15">
        <f t="shared" si="0"/>
        <v>45358</v>
      </c>
      <c r="C13" s="102">
        <v>500000</v>
      </c>
      <c r="D13" s="97">
        <v>750000</v>
      </c>
      <c r="E13" s="102"/>
      <c r="F13" s="97">
        <v>1140000</v>
      </c>
      <c r="G13" s="102">
        <v>427000</v>
      </c>
      <c r="H13" s="97">
        <f>1500+470000</f>
        <v>471500</v>
      </c>
      <c r="I13" s="102"/>
      <c r="J13" s="97">
        <f>4500+44290</f>
        <v>48790</v>
      </c>
      <c r="K13" s="102"/>
      <c r="L13" s="97"/>
      <c r="M13" s="56">
        <f t="shared" si="2"/>
        <v>3337290</v>
      </c>
      <c r="N13" s="52">
        <v>3337290</v>
      </c>
      <c r="O13" s="53">
        <f t="shared" si="1"/>
        <v>0</v>
      </c>
      <c r="P13" s="101"/>
      <c r="U13" s="123" t="s">
        <v>33</v>
      </c>
      <c r="V13" s="123"/>
      <c r="W13" s="123"/>
      <c r="X13" s="68" t="s">
        <v>92</v>
      </c>
      <c r="Y13" s="67" t="s">
        <v>102</v>
      </c>
      <c r="AB13" s="68" t="s">
        <v>52</v>
      </c>
    </row>
    <row r="14" spans="2:28" x14ac:dyDescent="0.25">
      <c r="B14" s="15">
        <f t="shared" si="0"/>
        <v>45359</v>
      </c>
      <c r="C14" s="102">
        <v>60000</v>
      </c>
      <c r="D14" s="97">
        <v>2500</v>
      </c>
      <c r="E14" s="102">
        <v>15000</v>
      </c>
      <c r="F14" s="97">
        <v>30000</v>
      </c>
      <c r="G14" s="102"/>
      <c r="H14" s="97">
        <f>290000+10000</f>
        <v>300000</v>
      </c>
      <c r="I14" s="102"/>
      <c r="J14" s="97">
        <f>5500+11340</f>
        <v>16840</v>
      </c>
      <c r="K14" s="102"/>
      <c r="L14" s="97"/>
      <c r="M14" s="56">
        <f t="shared" si="2"/>
        <v>424340</v>
      </c>
      <c r="N14" s="52">
        <v>414340</v>
      </c>
      <c r="O14" s="53">
        <f t="shared" si="1"/>
        <v>-10000</v>
      </c>
      <c r="T14" s="123"/>
      <c r="U14" s="123"/>
      <c r="V14" s="78" t="s">
        <v>87</v>
      </c>
      <c r="W14" s="123"/>
      <c r="X14" s="68"/>
      <c r="Y14" s="68" t="s">
        <v>102</v>
      </c>
      <c r="AB14" s="68" t="s">
        <v>90</v>
      </c>
    </row>
    <row r="15" spans="2:28" x14ac:dyDescent="0.25">
      <c r="B15" s="15">
        <f t="shared" si="0"/>
        <v>45360</v>
      </c>
      <c r="C15" s="102"/>
      <c r="D15" s="97"/>
      <c r="E15" s="102"/>
      <c r="F15" s="97"/>
      <c r="G15" s="102">
        <f>489000+7000</f>
        <v>496000</v>
      </c>
      <c r="H15" s="97">
        <f>351000+3000</f>
        <v>354000</v>
      </c>
      <c r="I15" s="102"/>
      <c r="J15" s="97">
        <f>12000</f>
        <v>12000</v>
      </c>
      <c r="K15" s="102"/>
      <c r="L15" s="97">
        <v>3800</v>
      </c>
      <c r="M15" s="56">
        <f t="shared" si="2"/>
        <v>865800</v>
      </c>
      <c r="N15" s="51">
        <v>865800</v>
      </c>
      <c r="O15" s="53">
        <f t="shared" si="1"/>
        <v>0</v>
      </c>
      <c r="P15" s="159"/>
      <c r="R15" s="109"/>
      <c r="S15" s="123"/>
      <c r="T15" s="123"/>
      <c r="U15" s="67" t="s">
        <v>33</v>
      </c>
      <c r="V15" s="123"/>
      <c r="W15" s="67"/>
      <c r="X15" s="123"/>
      <c r="Y15" s="68"/>
    </row>
    <row r="16" spans="2:28" x14ac:dyDescent="0.25">
      <c r="B16" s="15">
        <f t="shared" si="0"/>
        <v>45361</v>
      </c>
      <c r="C16" s="136"/>
      <c r="D16" s="97">
        <v>420000</v>
      </c>
      <c r="E16" s="102"/>
      <c r="F16" s="97"/>
      <c r="G16" s="136"/>
      <c r="H16" s="97">
        <f>10000+11500</f>
        <v>21500</v>
      </c>
      <c r="I16" s="121"/>
      <c r="J16" s="97"/>
      <c r="K16" s="121"/>
      <c r="L16" s="97"/>
      <c r="M16" s="56">
        <f t="shared" si="2"/>
        <v>441500</v>
      </c>
      <c r="N16" s="52">
        <v>430000</v>
      </c>
      <c r="O16" s="53">
        <f t="shared" si="1"/>
        <v>-11500</v>
      </c>
      <c r="P16" s="101"/>
      <c r="R16" s="109"/>
      <c r="T16" s="123"/>
      <c r="U16" s="123" t="s">
        <v>33</v>
      </c>
      <c r="V16" s="78" t="s">
        <v>87</v>
      </c>
      <c r="W16" s="123"/>
      <c r="X16" s="68"/>
      <c r="Y16" s="68"/>
      <c r="AB16" s="94" t="s">
        <v>34</v>
      </c>
    </row>
    <row r="17" spans="2:28" x14ac:dyDescent="0.25">
      <c r="B17" s="15">
        <f t="shared" si="0"/>
        <v>45362</v>
      </c>
      <c r="C17" s="102">
        <v>580000</v>
      </c>
      <c r="D17" s="97">
        <v>175000</v>
      </c>
      <c r="E17" s="121"/>
      <c r="F17" s="122">
        <v>700000</v>
      </c>
      <c r="G17" s="102">
        <v>410000</v>
      </c>
      <c r="H17" s="122">
        <f>630000+10000</f>
        <v>640000</v>
      </c>
      <c r="I17" s="102"/>
      <c r="J17" s="122">
        <f>17110+450</f>
        <v>17560</v>
      </c>
      <c r="K17" s="102">
        <v>2000</v>
      </c>
      <c r="L17" s="122">
        <f>15100+1467.5</f>
        <v>16567.5</v>
      </c>
      <c r="M17" s="56">
        <f t="shared" si="2"/>
        <v>2541127.5</v>
      </c>
      <c r="N17" s="52">
        <v>2531127.5</v>
      </c>
      <c r="O17" s="53">
        <f t="shared" si="1"/>
        <v>-10000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45363</v>
      </c>
      <c r="C18" s="121"/>
      <c r="D18" s="97">
        <v>1740000</v>
      </c>
      <c r="E18" s="102">
        <v>640000</v>
      </c>
      <c r="F18" s="97">
        <v>205000</v>
      </c>
      <c r="G18" s="121"/>
      <c r="H18" s="97">
        <v>855500</v>
      </c>
      <c r="I18" s="121"/>
      <c r="J18" s="97">
        <v>3500</v>
      </c>
      <c r="K18" s="121"/>
      <c r="L18" s="97">
        <v>4000</v>
      </c>
      <c r="M18" s="56">
        <f t="shared" si="2"/>
        <v>3448000</v>
      </c>
      <c r="N18" s="51">
        <v>3448000</v>
      </c>
      <c r="O18" s="53">
        <f t="shared" si="1"/>
        <v>0</v>
      </c>
      <c r="Q18" s="109"/>
      <c r="R18" s="127"/>
      <c r="S18" s="109"/>
      <c r="U18" s="67"/>
      <c r="V18" s="123"/>
      <c r="W18" s="128"/>
      <c r="X18" s="80"/>
      <c r="AB18" s="78" t="s">
        <v>92</v>
      </c>
    </row>
    <row r="19" spans="2:28" x14ac:dyDescent="0.25">
      <c r="B19" s="15">
        <f t="shared" si="0"/>
        <v>45364</v>
      </c>
      <c r="C19" s="102"/>
      <c r="D19" s="97">
        <v>620000</v>
      </c>
      <c r="E19" s="102"/>
      <c r="F19" s="97">
        <v>800000</v>
      </c>
      <c r="G19" s="102">
        <v>440000</v>
      </c>
      <c r="H19" s="97">
        <f>420000+10000</f>
        <v>430000</v>
      </c>
      <c r="I19" s="102">
        <f>9575</f>
        <v>9575</v>
      </c>
      <c r="J19" s="97">
        <f>14220+10000+20196+14220</f>
        <v>58636</v>
      </c>
      <c r="K19" s="102">
        <f>1425+42200</f>
        <v>43625</v>
      </c>
      <c r="L19" s="97">
        <v>69500</v>
      </c>
      <c r="M19" s="56">
        <f>SUM(C19:L19)</f>
        <v>2471336</v>
      </c>
      <c r="N19" s="52">
        <v>2471336</v>
      </c>
      <c r="O19" s="53">
        <f t="shared" si="1"/>
        <v>0</v>
      </c>
      <c r="P19" s="160"/>
      <c r="R19" s="123"/>
      <c r="U19" s="128" t="s">
        <v>33</v>
      </c>
      <c r="V19" s="78" t="s">
        <v>87</v>
      </c>
      <c r="W19" s="67"/>
      <c r="X19" s="80"/>
      <c r="Y19" s="78"/>
      <c r="Z19" s="123"/>
      <c r="AB19" s="67" t="s">
        <v>49</v>
      </c>
    </row>
    <row r="20" spans="2:28" x14ac:dyDescent="0.25">
      <c r="B20" s="15">
        <f t="shared" si="0"/>
        <v>45365</v>
      </c>
      <c r="C20" s="102"/>
      <c r="D20" s="122"/>
      <c r="E20" s="102">
        <v>1040000</v>
      </c>
      <c r="F20" s="97">
        <v>60000</v>
      </c>
      <c r="G20" s="102"/>
      <c r="H20" s="97">
        <f>1500+10000</f>
        <v>11500</v>
      </c>
      <c r="I20" s="102"/>
      <c r="J20" s="97">
        <f>5500+20550+15000</f>
        <v>41050</v>
      </c>
      <c r="K20" s="102"/>
      <c r="L20" s="97">
        <v>1800</v>
      </c>
      <c r="M20" s="56">
        <f t="shared" si="2"/>
        <v>1154350</v>
      </c>
      <c r="N20" s="52">
        <v>1154350</v>
      </c>
      <c r="O20" s="53">
        <f t="shared" si="1"/>
        <v>0</v>
      </c>
      <c r="P20" s="101"/>
      <c r="Q20" s="67"/>
      <c r="T20" s="123"/>
      <c r="U20" s="123"/>
      <c r="V20" s="78" t="s">
        <v>87</v>
      </c>
      <c r="W20" s="123"/>
      <c r="X20" s="68"/>
      <c r="Y20" s="67"/>
      <c r="AB20" s="78" t="s">
        <v>33</v>
      </c>
    </row>
    <row r="21" spans="2:28" x14ac:dyDescent="0.25">
      <c r="B21" s="15">
        <f>B20+1</f>
        <v>45366</v>
      </c>
      <c r="C21" s="102">
        <v>1320000</v>
      </c>
      <c r="D21" s="97"/>
      <c r="E21" s="102">
        <v>5000</v>
      </c>
      <c r="F21" s="97">
        <v>25000</v>
      </c>
      <c r="G21" s="102">
        <v>640000</v>
      </c>
      <c r="H21" s="97">
        <f>11500</f>
        <v>11500</v>
      </c>
      <c r="I21" s="102"/>
      <c r="J21" s="97">
        <f>10000+15000</f>
        <v>25000</v>
      </c>
      <c r="K21" s="102">
        <v>3300</v>
      </c>
      <c r="L21" s="97">
        <v>28300</v>
      </c>
      <c r="M21" s="56">
        <f t="shared" si="2"/>
        <v>2058100</v>
      </c>
      <c r="N21" s="51">
        <v>2046600</v>
      </c>
      <c r="O21" s="53">
        <f t="shared" si="1"/>
        <v>-11500</v>
      </c>
      <c r="P21" s="101"/>
      <c r="Q21" s="123"/>
      <c r="T21" s="123"/>
      <c r="U21" s="128" t="s">
        <v>33</v>
      </c>
      <c r="V21" s="78" t="s">
        <v>87</v>
      </c>
      <c r="W21" s="123"/>
      <c r="X21" s="68"/>
      <c r="Y21" s="67"/>
      <c r="AB21" s="123" t="s">
        <v>102</v>
      </c>
    </row>
    <row r="22" spans="2:28" x14ac:dyDescent="0.25">
      <c r="B22" s="15">
        <f t="shared" si="0"/>
        <v>45367</v>
      </c>
      <c r="C22" s="102"/>
      <c r="D22" s="97"/>
      <c r="E22" s="102"/>
      <c r="F22" s="97">
        <v>7800</v>
      </c>
      <c r="G22" s="102"/>
      <c r="H22" s="97">
        <f>250000+2000+1500</f>
        <v>253500</v>
      </c>
      <c r="I22" s="102"/>
      <c r="J22" s="97">
        <f>2100+34370</f>
        <v>36470</v>
      </c>
      <c r="K22" s="102"/>
      <c r="L22" s="97">
        <v>13335</v>
      </c>
      <c r="M22" s="56">
        <f t="shared" si="2"/>
        <v>311105</v>
      </c>
      <c r="N22" s="52">
        <v>309605</v>
      </c>
      <c r="O22" s="53">
        <f t="shared" si="1"/>
        <v>-1500</v>
      </c>
      <c r="S22" s="67"/>
      <c r="T22" s="123"/>
      <c r="U22" s="123"/>
      <c r="V22" s="123"/>
      <c r="W22" s="123"/>
      <c r="X22" s="68"/>
      <c r="Y22" s="67"/>
      <c r="AB22" s="67" t="s">
        <v>87</v>
      </c>
    </row>
    <row r="23" spans="2:28" x14ac:dyDescent="0.25">
      <c r="B23" s="15">
        <f t="shared" si="0"/>
        <v>45368</v>
      </c>
      <c r="C23" s="102"/>
      <c r="D23" s="97">
        <v>570000</v>
      </c>
      <c r="E23" s="102"/>
      <c r="F23" s="97"/>
      <c r="G23" s="102"/>
      <c r="H23" s="97">
        <v>150000</v>
      </c>
      <c r="I23" s="102"/>
      <c r="J23" s="97"/>
      <c r="K23" s="102">
        <v>7900</v>
      </c>
      <c r="L23" s="97">
        <v>24800</v>
      </c>
      <c r="M23" s="56">
        <f t="shared" si="2"/>
        <v>752700</v>
      </c>
      <c r="N23" s="52">
        <v>752700</v>
      </c>
      <c r="O23" s="53">
        <f t="shared" si="1"/>
        <v>0</v>
      </c>
      <c r="S23" s="124"/>
      <c r="T23" s="123"/>
      <c r="U23" s="123"/>
      <c r="V23" s="123"/>
      <c r="W23" s="123"/>
      <c r="X23" s="68"/>
      <c r="Y23" s="67"/>
      <c r="AB23" s="78" t="s">
        <v>97</v>
      </c>
    </row>
    <row r="24" spans="2:28" x14ac:dyDescent="0.25">
      <c r="B24" s="15">
        <f t="shared" si="0"/>
        <v>45369</v>
      </c>
      <c r="C24" s="121"/>
      <c r="D24" s="97">
        <v>10000</v>
      </c>
      <c r="E24" s="102"/>
      <c r="F24" s="97">
        <v>670000</v>
      </c>
      <c r="G24" s="121">
        <v>550000</v>
      </c>
      <c r="H24" s="97">
        <f>410000+10000</f>
        <v>420000</v>
      </c>
      <c r="I24" s="121"/>
      <c r="J24" s="97">
        <v>6000</v>
      </c>
      <c r="K24" s="121"/>
      <c r="L24" s="97">
        <f>6300+15382+5500</f>
        <v>27182</v>
      </c>
      <c r="M24" s="56">
        <f t="shared" si="2"/>
        <v>1683182</v>
      </c>
      <c r="N24" s="51">
        <v>1683182</v>
      </c>
      <c r="O24" s="53">
        <f t="shared" si="1"/>
        <v>0</v>
      </c>
      <c r="P24" s="101"/>
      <c r="Q24" s="67"/>
      <c r="R24" s="123"/>
      <c r="S24" s="123"/>
      <c r="T24" s="123"/>
      <c r="U24" s="123" t="s">
        <v>33</v>
      </c>
      <c r="V24" s="123" t="s">
        <v>87</v>
      </c>
      <c r="W24" s="123"/>
      <c r="X24" s="68"/>
      <c r="AA24" s="78"/>
      <c r="AB24" s="68"/>
    </row>
    <row r="25" spans="2:28" x14ac:dyDescent="0.25">
      <c r="B25" s="15">
        <f t="shared" si="0"/>
        <v>45370</v>
      </c>
      <c r="C25" s="102">
        <v>230000</v>
      </c>
      <c r="D25" s="97"/>
      <c r="E25" s="102"/>
      <c r="F25" s="97">
        <v>970000</v>
      </c>
      <c r="G25" s="102"/>
      <c r="H25" s="97">
        <v>320000</v>
      </c>
      <c r="I25" s="102"/>
      <c r="J25" s="97">
        <v>13210</v>
      </c>
      <c r="K25" s="102">
        <v>7800</v>
      </c>
      <c r="L25" s="97">
        <v>9800</v>
      </c>
      <c r="M25" s="56">
        <f t="shared" si="2"/>
        <v>1550810</v>
      </c>
      <c r="N25" s="52">
        <v>1550810</v>
      </c>
      <c r="O25" s="53">
        <f t="shared" si="1"/>
        <v>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45371</v>
      </c>
      <c r="C26" s="102">
        <v>570000</v>
      </c>
      <c r="D26" s="97"/>
      <c r="E26" s="102">
        <v>1005000</v>
      </c>
      <c r="F26" s="97">
        <v>305000</v>
      </c>
      <c r="G26" s="102">
        <v>301500</v>
      </c>
      <c r="H26" s="97">
        <f>380000+1500+330000+191500+10000</f>
        <v>913000</v>
      </c>
      <c r="I26" s="102">
        <v>5500</v>
      </c>
      <c r="J26" s="97">
        <v>7900</v>
      </c>
      <c r="K26" s="102">
        <v>6000</v>
      </c>
      <c r="L26" s="97">
        <f>7000+14850</f>
        <v>21850</v>
      </c>
      <c r="M26" s="56">
        <f t="shared" si="2"/>
        <v>3135750</v>
      </c>
      <c r="N26" s="52">
        <v>3135750</v>
      </c>
      <c r="O26" s="53">
        <f t="shared" si="1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45372</v>
      </c>
      <c r="C27" s="102"/>
      <c r="D27" s="97">
        <v>1210000</v>
      </c>
      <c r="E27" s="102">
        <v>590000</v>
      </c>
      <c r="F27" s="97">
        <v>605000</v>
      </c>
      <c r="G27" s="102">
        <f>320000+300000+250000</f>
        <v>870000</v>
      </c>
      <c r="H27" s="97">
        <f>310000+420000+80000</f>
        <v>810000</v>
      </c>
      <c r="I27" s="102"/>
      <c r="J27" s="137">
        <v>4500</v>
      </c>
      <c r="K27" s="102"/>
      <c r="L27" s="97">
        <f>6095+21000+15000+2051.1</f>
        <v>44146.1</v>
      </c>
      <c r="M27" s="56">
        <f t="shared" si="2"/>
        <v>4133646.1</v>
      </c>
      <c r="N27" s="154">
        <f>3563646.1+570000</f>
        <v>4133646.1</v>
      </c>
      <c r="O27" s="155">
        <f t="shared" si="1"/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45373</v>
      </c>
      <c r="C28" s="102"/>
      <c r="D28" s="97">
        <v>470000</v>
      </c>
      <c r="E28" s="102">
        <v>15000</v>
      </c>
      <c r="F28" s="97">
        <v>20000</v>
      </c>
      <c r="G28" s="102">
        <v>340000</v>
      </c>
      <c r="H28" s="97">
        <f>380000+440000+1500+100000</f>
        <v>921500</v>
      </c>
      <c r="I28" s="102"/>
      <c r="J28" s="97">
        <f>16300+5500</f>
        <v>21800</v>
      </c>
      <c r="K28" s="102"/>
      <c r="L28" s="97">
        <v>8500</v>
      </c>
      <c r="M28" s="156">
        <f t="shared" si="2"/>
        <v>1796800</v>
      </c>
      <c r="N28" s="157">
        <v>1796800</v>
      </c>
      <c r="O28" s="155">
        <f t="shared" si="1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45374</v>
      </c>
      <c r="C29" s="102"/>
      <c r="D29" s="97"/>
      <c r="E29" s="102"/>
      <c r="F29" s="97"/>
      <c r="G29" s="102"/>
      <c r="H29" s="97">
        <f>10000+1500+1500</f>
        <v>13000</v>
      </c>
      <c r="I29" s="102">
        <f>5500+1000</f>
        <v>6500</v>
      </c>
      <c r="J29" s="97">
        <v>11700</v>
      </c>
      <c r="K29" s="102">
        <v>7000</v>
      </c>
      <c r="L29" s="97">
        <f>28500+3000</f>
        <v>31500</v>
      </c>
      <c r="M29" s="56">
        <f t="shared" si="2"/>
        <v>69700</v>
      </c>
      <c r="N29" s="52">
        <v>69700</v>
      </c>
      <c r="O29" s="53">
        <f t="shared" si="1"/>
        <v>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45375</v>
      </c>
      <c r="C30" s="138"/>
      <c r="D30" s="137"/>
      <c r="E30" s="102"/>
      <c r="F30" s="97"/>
      <c r="G30" s="102"/>
      <c r="H30" s="97">
        <f>1500+1500</f>
        <v>3000</v>
      </c>
      <c r="I30" s="102"/>
      <c r="J30" s="97"/>
      <c r="K30" s="138"/>
      <c r="L30" s="137">
        <v>3800</v>
      </c>
      <c r="M30" s="56">
        <f t="shared" si="2"/>
        <v>6800</v>
      </c>
      <c r="N30" s="51">
        <v>3800</v>
      </c>
      <c r="O30" s="53">
        <f t="shared" si="1"/>
        <v>-3000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45376</v>
      </c>
      <c r="C31" s="121"/>
      <c r="D31" s="97"/>
      <c r="E31" s="102"/>
      <c r="F31" s="97"/>
      <c r="G31" s="121"/>
      <c r="H31" s="97">
        <v>90000</v>
      </c>
      <c r="I31" s="102">
        <v>5500</v>
      </c>
      <c r="J31" s="97">
        <f>13950+11450</f>
        <v>25400</v>
      </c>
      <c r="K31" s="138">
        <v>7900</v>
      </c>
      <c r="L31" s="137">
        <v>14000</v>
      </c>
      <c r="M31" s="56">
        <f t="shared" si="2"/>
        <v>142800</v>
      </c>
      <c r="N31" s="51">
        <v>142800</v>
      </c>
      <c r="O31" s="53">
        <f t="shared" si="1"/>
        <v>0</v>
      </c>
      <c r="Q31" s="123"/>
      <c r="R31" s="127"/>
      <c r="T31" s="123"/>
      <c r="U31" s="123" t="s">
        <v>33</v>
      </c>
      <c r="V31" s="123" t="s">
        <v>87</v>
      </c>
      <c r="W31" s="78"/>
      <c r="X31" s="68"/>
      <c r="Z31" s="68"/>
      <c r="AA31" s="78"/>
      <c r="AB31" s="67"/>
    </row>
    <row r="32" spans="2:28" x14ac:dyDescent="0.25">
      <c r="B32" s="15">
        <f t="shared" si="0"/>
        <v>45377</v>
      </c>
      <c r="C32" s="102"/>
      <c r="D32" s="97"/>
      <c r="E32" s="102">
        <v>100000</v>
      </c>
      <c r="F32" s="97">
        <v>550000</v>
      </c>
      <c r="G32" s="102">
        <f>390000+440000</f>
        <v>830000</v>
      </c>
      <c r="H32" s="97">
        <f>800000+50000</f>
        <v>850000</v>
      </c>
      <c r="I32" s="102">
        <v>4900</v>
      </c>
      <c r="J32" s="97">
        <v>5500</v>
      </c>
      <c r="K32" s="102">
        <f>6500+5800</f>
        <v>12300</v>
      </c>
      <c r="L32" s="97">
        <f>10000+10760</f>
        <v>20760</v>
      </c>
      <c r="M32" s="156">
        <f t="shared" si="2"/>
        <v>2373460</v>
      </c>
      <c r="N32" s="157">
        <v>2373460</v>
      </c>
      <c r="O32" s="155">
        <f t="shared" si="1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45378</v>
      </c>
      <c r="C33" s="102"/>
      <c r="D33" s="97"/>
      <c r="E33" s="102">
        <f>900000+1400000</f>
        <v>2300000</v>
      </c>
      <c r="F33" s="97"/>
      <c r="G33" s="102">
        <f>110000+1500</f>
        <v>111500</v>
      </c>
      <c r="H33" s="97">
        <f>65000+1500+380000+13000</f>
        <v>459500</v>
      </c>
      <c r="I33" s="102"/>
      <c r="J33" s="97">
        <f>13060+3500+15000</f>
        <v>31560</v>
      </c>
      <c r="K33" s="102">
        <f>5000+300000</f>
        <v>305000</v>
      </c>
      <c r="L33" s="97">
        <f>35440+500+86000</f>
        <v>121940</v>
      </c>
      <c r="M33" s="56">
        <f t="shared" si="2"/>
        <v>3329500</v>
      </c>
      <c r="N33" s="51">
        <v>3316500</v>
      </c>
      <c r="O33" s="53">
        <f t="shared" si="1"/>
        <v>-13000</v>
      </c>
      <c r="Q33" s="109"/>
      <c r="R33" s="111"/>
      <c r="S33" s="111"/>
      <c r="T33" s="109"/>
      <c r="U33" s="109" t="s">
        <v>33</v>
      </c>
      <c r="V33" s="109"/>
      <c r="X33" s="68"/>
      <c r="Z33" s="67"/>
      <c r="AA33" s="78"/>
      <c r="AB33" s="68"/>
    </row>
    <row r="34" spans="1:28" x14ac:dyDescent="0.25">
      <c r="B34" s="15">
        <f t="shared" si="0"/>
        <v>45379</v>
      </c>
      <c r="C34" s="102"/>
      <c r="D34" s="97"/>
      <c r="E34" s="102"/>
      <c r="F34" s="97"/>
      <c r="G34" s="138">
        <v>3800</v>
      </c>
      <c r="H34" s="137">
        <f>3800+410000+2000+1500</f>
        <v>417300</v>
      </c>
      <c r="I34" s="138"/>
      <c r="J34" s="137">
        <f>18000+15000</f>
        <v>33000</v>
      </c>
      <c r="K34" s="138"/>
      <c r="L34" s="137"/>
      <c r="M34" s="156">
        <f t="shared" si="2"/>
        <v>454100</v>
      </c>
      <c r="N34" s="157">
        <v>452600</v>
      </c>
      <c r="O34" s="53">
        <f t="shared" si="1"/>
        <v>-1500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45380</v>
      </c>
      <c r="C35" s="102"/>
      <c r="D35" s="97"/>
      <c r="E35" s="102">
        <v>25000</v>
      </c>
      <c r="F35" s="97">
        <v>590000</v>
      </c>
      <c r="G35" s="102">
        <v>25000</v>
      </c>
      <c r="H35" s="97">
        <f>90000+580000+420000+290000+76000</f>
        <v>1456000</v>
      </c>
      <c r="I35" s="102"/>
      <c r="J35" s="97">
        <f>7110+5500</f>
        <v>12610</v>
      </c>
      <c r="K35" s="102">
        <v>4600</v>
      </c>
      <c r="L35" s="97">
        <v>9000</v>
      </c>
      <c r="M35" s="56">
        <f t="shared" si="2"/>
        <v>2122210</v>
      </c>
      <c r="N35" s="54">
        <v>2046210</v>
      </c>
      <c r="O35" s="55">
        <f t="shared" si="1"/>
        <v>-76000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v>45381</v>
      </c>
      <c r="C36" s="102"/>
      <c r="D36" s="97"/>
      <c r="E36" s="102"/>
      <c r="F36" s="97"/>
      <c r="G36" s="102"/>
      <c r="H36" s="97"/>
      <c r="I36" s="102"/>
      <c r="J36" s="97"/>
      <c r="K36" s="102"/>
      <c r="L36" s="97"/>
      <c r="M36" s="56">
        <f t="shared" si="2"/>
        <v>0</v>
      </c>
      <c r="N36" s="54"/>
      <c r="O36" s="55">
        <f t="shared" si="1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45382</v>
      </c>
      <c r="C37" s="102"/>
      <c r="D37" s="97"/>
      <c r="E37" s="102">
        <f>30000+300000</f>
        <v>330000</v>
      </c>
      <c r="F37" s="97">
        <f>500000+400000</f>
        <v>900000</v>
      </c>
      <c r="G37" s="102"/>
      <c r="H37" s="97">
        <f>390000+80000</f>
        <v>470000</v>
      </c>
      <c r="I37" s="102"/>
      <c r="J37" s="97"/>
      <c r="K37" s="102"/>
      <c r="L37" s="97">
        <v>3800</v>
      </c>
      <c r="M37" s="56">
        <f t="shared" si="2"/>
        <v>1703800</v>
      </c>
      <c r="N37" s="54">
        <v>1703800</v>
      </c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4500000</v>
      </c>
      <c r="D39" s="25">
        <f>SUM(D7:D38)</f>
        <v>8792500</v>
      </c>
      <c r="E39" s="24">
        <f t="shared" ref="E39:L39" si="3">SUM(E7:E38)</f>
        <v>7415000</v>
      </c>
      <c r="F39" s="59">
        <f t="shared" si="3"/>
        <v>7977800</v>
      </c>
      <c r="G39" s="24">
        <f t="shared" si="3"/>
        <v>6409200</v>
      </c>
      <c r="H39" s="25">
        <f t="shared" si="3"/>
        <v>13972800</v>
      </c>
      <c r="I39" s="24">
        <f t="shared" si="3"/>
        <v>31975</v>
      </c>
      <c r="J39" s="25">
        <f t="shared" si="3"/>
        <v>572596</v>
      </c>
      <c r="K39" s="24">
        <f t="shared" si="3"/>
        <v>419305</v>
      </c>
      <c r="L39" s="25">
        <f t="shared" si="3"/>
        <v>597820.6</v>
      </c>
      <c r="M39" s="28">
        <f>SUM(M7:M38)</f>
        <v>50688996.600000001</v>
      </c>
      <c r="N39" s="27">
        <f>SUM(N7:N38)</f>
        <v>50508496.600000001</v>
      </c>
      <c r="O39" s="26">
        <f>N39-M39</f>
        <v>-180500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13292500</v>
      </c>
      <c r="D40" s="282"/>
      <c r="E40" s="267">
        <f>SUM(E39:F39)</f>
        <v>15392800</v>
      </c>
      <c r="F40" s="269"/>
      <c r="G40" s="281">
        <f>SUM(G39:H39)</f>
        <v>20382000</v>
      </c>
      <c r="H40" s="282"/>
      <c r="I40" s="267">
        <f>SUM(I39:J39)</f>
        <v>604571</v>
      </c>
      <c r="J40" s="268"/>
      <c r="K40" s="281">
        <f>SUM(K39:L39)</f>
        <v>1017125.6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45351</v>
      </c>
      <c r="C45" s="3">
        <v>0</v>
      </c>
      <c r="D45" s="14">
        <v>0</v>
      </c>
      <c r="E45" s="3">
        <v>0</v>
      </c>
      <c r="F45" s="14">
        <v>1010000</v>
      </c>
      <c r="G45" s="3">
        <v>0</v>
      </c>
      <c r="H45" s="14">
        <v>371500</v>
      </c>
      <c r="I45" s="3">
        <v>0</v>
      </c>
      <c r="J45" s="14">
        <v>7110</v>
      </c>
      <c r="K45" s="134">
        <v>0</v>
      </c>
      <c r="L45" s="14">
        <v>13520</v>
      </c>
      <c r="M45" s="3">
        <f>SUM(C45:L45)</f>
        <v>1402130</v>
      </c>
      <c r="N45" s="3">
        <v>1402130</v>
      </c>
      <c r="O45" s="3">
        <f>N45-M45</f>
        <v>0</v>
      </c>
      <c r="P45" s="85">
        <v>45352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45382</v>
      </c>
      <c r="C48" s="3">
        <v>0</v>
      </c>
      <c r="D48" s="14">
        <f>D37</f>
        <v>0</v>
      </c>
      <c r="E48" s="3">
        <v>0</v>
      </c>
      <c r="F48" s="14">
        <v>500000</v>
      </c>
      <c r="G48" s="3">
        <v>0</v>
      </c>
      <c r="H48" s="14"/>
      <c r="I48" s="3">
        <v>0</v>
      </c>
      <c r="J48" s="14"/>
      <c r="K48" s="134">
        <v>0</v>
      </c>
      <c r="L48" s="14"/>
      <c r="M48" s="3">
        <f>SUM(C48:L48)</f>
        <v>500000</v>
      </c>
      <c r="N48" s="3">
        <v>500000</v>
      </c>
      <c r="O48" s="3">
        <f>N48-M48</f>
        <v>0</v>
      </c>
      <c r="P48" s="151">
        <v>45383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510000</v>
      </c>
      <c r="F50" s="263"/>
      <c r="G50" s="262">
        <f>H45+H46-H47-H48</f>
        <v>371500</v>
      </c>
      <c r="H50" s="263"/>
      <c r="I50" s="262">
        <f>J45+J46-J47-J48</f>
        <v>7110</v>
      </c>
      <c r="J50" s="263"/>
      <c r="K50" s="262">
        <f>L45+L46-L47-L48</f>
        <v>13520</v>
      </c>
      <c r="L50" s="263"/>
    </row>
    <row r="51" spans="2:28" x14ac:dyDescent="0.25">
      <c r="B51" s="264" t="s">
        <v>12</v>
      </c>
      <c r="C51" s="264"/>
      <c r="D51" s="31">
        <f>D39+D50</f>
        <v>8792500</v>
      </c>
      <c r="E51" s="265">
        <f>F39+E50</f>
        <v>8487800</v>
      </c>
      <c r="F51" s="266"/>
      <c r="G51" s="265">
        <f>H39+G50</f>
        <v>14344300</v>
      </c>
      <c r="H51" s="266"/>
      <c r="I51" s="286">
        <f>J39+I50</f>
        <v>579706</v>
      </c>
      <c r="J51" s="287"/>
      <c r="K51" s="265">
        <f>L39+K50</f>
        <v>611340.6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32815646.600000001</v>
      </c>
      <c r="E52" s="283"/>
      <c r="F52" s="283"/>
      <c r="G52" s="283"/>
      <c r="H52" s="283"/>
      <c r="I52" s="158"/>
      <c r="J52" s="158"/>
      <c r="K52" s="158"/>
      <c r="L52" s="158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72795</v>
      </c>
      <c r="P54" s="87"/>
      <c r="S54">
        <v>26.8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18775480</v>
      </c>
      <c r="D55" s="149">
        <f>D39+H39+F39+J39+L39</f>
        <v>31913516.600000001</v>
      </c>
      <c r="E55" s="58"/>
      <c r="F55" s="58"/>
      <c r="M55" s="63" t="s">
        <v>25</v>
      </c>
      <c r="N55" s="64">
        <v>70080</v>
      </c>
      <c r="P55" s="88"/>
      <c r="S55">
        <v>25.8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50688996.600000001</v>
      </c>
      <c r="D56" s="285"/>
      <c r="E56" s="57"/>
      <c r="F56" s="57"/>
      <c r="M56" s="63" t="s">
        <v>28</v>
      </c>
      <c r="N56" s="64">
        <v>118701</v>
      </c>
      <c r="R56" s="87"/>
      <c r="S56">
        <v>43.7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4889</v>
      </c>
      <c r="S57">
        <v>1.8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5161</v>
      </c>
      <c r="S58">
        <v>1.9</v>
      </c>
      <c r="Y58" s="4"/>
      <c r="AA58" s="78"/>
      <c r="AB58" s="68"/>
    </row>
    <row r="59" spans="2:28" x14ac:dyDescent="0.25">
      <c r="J59" t="s">
        <v>3</v>
      </c>
      <c r="N59" s="64">
        <v>271626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51591126.600000001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72"/>
  <sheetViews>
    <sheetView topLeftCell="A25" workbookViewId="0">
      <selection activeCell="G57" sqref="G57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3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62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45383</v>
      </c>
      <c r="C7" s="102"/>
      <c r="D7" s="97">
        <v>830000</v>
      </c>
      <c r="E7" s="102"/>
      <c r="F7" s="97">
        <v>1250000</v>
      </c>
      <c r="G7" s="119"/>
      <c r="H7" s="120">
        <f>10000+2000</f>
        <v>12000</v>
      </c>
      <c r="I7" s="119"/>
      <c r="J7" s="120">
        <f>2100+11000+16500</f>
        <v>29600</v>
      </c>
      <c r="K7" s="119"/>
      <c r="L7" s="120">
        <f>3800+774+7100</f>
        <v>11674</v>
      </c>
      <c r="M7" s="56">
        <f>SUM(C7:L7)</f>
        <v>2133274</v>
      </c>
      <c r="N7" s="52">
        <v>2131274</v>
      </c>
      <c r="O7" s="53">
        <f>N7-M7</f>
        <v>-2000</v>
      </c>
      <c r="Q7" s="109"/>
      <c r="R7" s="123"/>
      <c r="S7" s="123"/>
      <c r="T7" s="106"/>
      <c r="U7" s="123" t="s">
        <v>33</v>
      </c>
      <c r="V7" s="67" t="s">
        <v>87</v>
      </c>
      <c r="X7" s="67" t="s">
        <v>92</v>
      </c>
      <c r="Z7" s="78"/>
      <c r="AB7" s="68" t="s">
        <v>82</v>
      </c>
    </row>
    <row r="8" spans="2:28" x14ac:dyDescent="0.25">
      <c r="B8" s="15">
        <f t="shared" ref="B8:B36" si="0">B7+1</f>
        <v>45384</v>
      </c>
      <c r="C8" s="121">
        <v>220000</v>
      </c>
      <c r="D8" s="97">
        <f>380000+740000</f>
        <v>1120000</v>
      </c>
      <c r="E8" s="102">
        <v>700000</v>
      </c>
      <c r="F8" s="97">
        <v>5000</v>
      </c>
      <c r="G8" s="121">
        <f>5000+2000</f>
        <v>7000</v>
      </c>
      <c r="H8" s="97"/>
      <c r="I8" s="121">
        <f>3500</f>
        <v>3500</v>
      </c>
      <c r="J8" s="97">
        <f>5500</f>
        <v>5500</v>
      </c>
      <c r="K8" s="121">
        <f>3800+6950</f>
        <v>10750</v>
      </c>
      <c r="L8" s="97">
        <f>20300</f>
        <v>20300</v>
      </c>
      <c r="M8" s="56">
        <f>SUM(C8:L8)</f>
        <v>2092050</v>
      </c>
      <c r="N8" s="52">
        <v>2092050</v>
      </c>
      <c r="O8" s="53">
        <f t="shared" ref="O8:O37" si="1">N8-M8</f>
        <v>0</v>
      </c>
      <c r="U8" s="68" t="s">
        <v>33</v>
      </c>
      <c r="V8" s="68" t="s">
        <v>87</v>
      </c>
      <c r="Z8" s="78"/>
      <c r="AB8" s="68" t="s">
        <v>78</v>
      </c>
    </row>
    <row r="9" spans="2:28" x14ac:dyDescent="0.25">
      <c r="B9" s="15">
        <f t="shared" si="0"/>
        <v>45385</v>
      </c>
      <c r="C9" s="102">
        <f>600000+5000</f>
        <v>605000</v>
      </c>
      <c r="D9" s="122"/>
      <c r="E9" s="102">
        <v>550000</v>
      </c>
      <c r="F9" s="97">
        <v>30000</v>
      </c>
      <c r="G9" s="102">
        <f>440000+60000</f>
        <v>500000</v>
      </c>
      <c r="H9" s="97">
        <f>440000+1500+100000+310000+1500</f>
        <v>853000</v>
      </c>
      <c r="I9" s="102">
        <v>3000</v>
      </c>
      <c r="J9" s="97">
        <f>21330+55580</f>
        <v>76910</v>
      </c>
      <c r="K9" s="102">
        <f>3000</f>
        <v>3000</v>
      </c>
      <c r="L9" s="97">
        <f>15200+7000</f>
        <v>22200</v>
      </c>
      <c r="M9" s="56">
        <f>SUM(C9:L9)</f>
        <v>2643110</v>
      </c>
      <c r="N9" s="51">
        <v>2641610</v>
      </c>
      <c r="O9" s="53">
        <f>N9-M9</f>
        <v>-1500</v>
      </c>
      <c r="P9" s="101"/>
      <c r="U9" s="68" t="s">
        <v>33</v>
      </c>
      <c r="V9" s="68" t="s">
        <v>87</v>
      </c>
      <c r="Z9" s="78"/>
      <c r="AB9" s="68" t="s">
        <v>39</v>
      </c>
    </row>
    <row r="10" spans="2:28" x14ac:dyDescent="0.25">
      <c r="B10" s="15">
        <f t="shared" si="0"/>
        <v>45386</v>
      </c>
      <c r="C10" s="121">
        <v>850000</v>
      </c>
      <c r="D10" s="97"/>
      <c r="E10" s="102">
        <v>250000</v>
      </c>
      <c r="F10" s="97"/>
      <c r="G10" s="121">
        <v>1000</v>
      </c>
      <c r="H10" s="97">
        <f>360000+420000+10000+1500+1500</f>
        <v>793000</v>
      </c>
      <c r="I10" s="121"/>
      <c r="J10" s="97">
        <f>15800+3468</f>
        <v>19268</v>
      </c>
      <c r="K10" s="121">
        <v>5000</v>
      </c>
      <c r="L10" s="97">
        <v>22600</v>
      </c>
      <c r="M10" s="56">
        <f>SUM(C10:L10)</f>
        <v>1940868</v>
      </c>
      <c r="N10" s="52">
        <v>1927868</v>
      </c>
      <c r="O10" s="53">
        <f t="shared" si="1"/>
        <v>-13000</v>
      </c>
      <c r="P10" s="101"/>
      <c r="Z10" s="78"/>
      <c r="AB10" s="68" t="s">
        <v>30</v>
      </c>
    </row>
    <row r="11" spans="2:28" x14ac:dyDescent="0.25">
      <c r="B11" s="15">
        <f t="shared" si="0"/>
        <v>45387</v>
      </c>
      <c r="C11" s="102">
        <v>750000</v>
      </c>
      <c r="D11" s="97"/>
      <c r="E11" s="102"/>
      <c r="F11" s="97"/>
      <c r="G11" s="102">
        <f>1500+380000</f>
        <v>381500</v>
      </c>
      <c r="H11" s="97">
        <f>352000+26000</f>
        <v>378000</v>
      </c>
      <c r="I11" s="102">
        <v>5500</v>
      </c>
      <c r="J11" s="97">
        <f>5500+5500+10000+10000+10000</f>
        <v>41000</v>
      </c>
      <c r="K11" s="102"/>
      <c r="L11" s="97">
        <f>10500+15125</f>
        <v>25625</v>
      </c>
      <c r="M11" s="56">
        <f t="shared" ref="M11:M38" si="2">SUM(C11:L11)</f>
        <v>1581625</v>
      </c>
      <c r="N11" s="52">
        <v>1551625</v>
      </c>
      <c r="O11" s="53">
        <f t="shared" si="1"/>
        <v>-30000</v>
      </c>
      <c r="P11" s="101"/>
      <c r="Q11" s="123"/>
      <c r="R11" s="67"/>
      <c r="T11" s="123"/>
      <c r="U11" s="123" t="s">
        <v>33</v>
      </c>
      <c r="V11" s="123" t="s">
        <v>87</v>
      </c>
      <c r="W11" s="123" t="s">
        <v>97</v>
      </c>
      <c r="X11" s="68" t="s">
        <v>92</v>
      </c>
      <c r="Y11" s="68"/>
      <c r="AB11" s="67" t="s">
        <v>32</v>
      </c>
    </row>
    <row r="12" spans="2:28" x14ac:dyDescent="0.25">
      <c r="B12" s="15">
        <f t="shared" si="0"/>
        <v>45388</v>
      </c>
      <c r="C12" s="102"/>
      <c r="D12" s="97"/>
      <c r="E12" s="102"/>
      <c r="F12" s="97"/>
      <c r="G12" s="102">
        <f>10000+450000</f>
        <v>460000</v>
      </c>
      <c r="H12" s="97">
        <f>344000+1500</f>
        <v>345500</v>
      </c>
      <c r="I12" s="102"/>
      <c r="J12" s="97"/>
      <c r="K12" s="102"/>
      <c r="L12" s="97">
        <v>7000</v>
      </c>
      <c r="M12" s="56">
        <f t="shared" si="2"/>
        <v>812500</v>
      </c>
      <c r="N12" s="51">
        <v>812500</v>
      </c>
      <c r="O12" s="53">
        <f t="shared" si="1"/>
        <v>0</v>
      </c>
      <c r="P12" s="101"/>
      <c r="Q12" s="123"/>
      <c r="S12" s="124"/>
      <c r="T12" s="123"/>
      <c r="U12" s="123" t="s">
        <v>33</v>
      </c>
      <c r="V12" s="67" t="s">
        <v>87</v>
      </c>
      <c r="X12" s="67" t="s">
        <v>92</v>
      </c>
      <c r="Y12" s="67"/>
      <c r="AB12" s="68" t="s">
        <v>106</v>
      </c>
    </row>
    <row r="13" spans="2:28" x14ac:dyDescent="0.25">
      <c r="B13" s="15">
        <f t="shared" si="0"/>
        <v>45389</v>
      </c>
      <c r="C13" s="102">
        <v>550000</v>
      </c>
      <c r="D13" s="97"/>
      <c r="E13" s="102"/>
      <c r="F13" s="97"/>
      <c r="G13" s="102">
        <f>310000+120000</f>
        <v>430000</v>
      </c>
      <c r="H13" s="97">
        <f>10000+10000+10000+10000</f>
        <v>40000</v>
      </c>
      <c r="I13" s="102"/>
      <c r="J13" s="97">
        <f>26856+1444</f>
        <v>28300</v>
      </c>
      <c r="K13" s="102"/>
      <c r="L13" s="97">
        <v>17000</v>
      </c>
      <c r="M13" s="56">
        <f t="shared" si="2"/>
        <v>1065300</v>
      </c>
      <c r="N13" s="52">
        <v>1025300</v>
      </c>
      <c r="O13" s="53">
        <f t="shared" si="1"/>
        <v>-40000</v>
      </c>
      <c r="P13" s="101"/>
      <c r="U13" s="123" t="s">
        <v>33</v>
      </c>
      <c r="V13" s="123"/>
      <c r="W13" s="123"/>
      <c r="X13" s="68" t="s">
        <v>92</v>
      </c>
      <c r="Y13" s="67" t="s">
        <v>102</v>
      </c>
      <c r="AB13" s="68" t="s">
        <v>52</v>
      </c>
    </row>
    <row r="14" spans="2:28" x14ac:dyDescent="0.25">
      <c r="B14" s="15">
        <f t="shared" si="0"/>
        <v>45390</v>
      </c>
      <c r="C14" s="102">
        <v>8000</v>
      </c>
      <c r="D14" s="97">
        <v>47000</v>
      </c>
      <c r="E14" s="102"/>
      <c r="F14" s="97"/>
      <c r="G14" s="102">
        <v>150000</v>
      </c>
      <c r="H14" s="97">
        <f>30000+350000+320000+150000</f>
        <v>850000</v>
      </c>
      <c r="I14" s="102"/>
      <c r="J14" s="97">
        <f>3500+15750</f>
        <v>19250</v>
      </c>
      <c r="K14" s="102"/>
      <c r="L14" s="97">
        <f>3000</f>
        <v>3000</v>
      </c>
      <c r="M14" s="56">
        <f t="shared" si="2"/>
        <v>1077250</v>
      </c>
      <c r="N14" s="52">
        <v>1077250</v>
      </c>
      <c r="O14" s="53">
        <f t="shared" si="1"/>
        <v>0</v>
      </c>
      <c r="T14" s="123"/>
      <c r="U14" s="123"/>
      <c r="V14" s="78" t="s">
        <v>87</v>
      </c>
      <c r="W14" s="123"/>
      <c r="X14" s="68"/>
      <c r="Y14" s="68" t="s">
        <v>102</v>
      </c>
      <c r="AB14" s="68" t="s">
        <v>90</v>
      </c>
    </row>
    <row r="15" spans="2:28" x14ac:dyDescent="0.25">
      <c r="B15" s="15">
        <f t="shared" si="0"/>
        <v>45391</v>
      </c>
      <c r="C15" s="102">
        <v>400000</v>
      </c>
      <c r="D15" s="97">
        <v>450000</v>
      </c>
      <c r="E15" s="102"/>
      <c r="F15" s="97"/>
      <c r="G15" s="102">
        <v>430000</v>
      </c>
      <c r="H15" s="97">
        <f>1500+340000+140000+1500+1500+1500+1500-320000</f>
        <v>167500</v>
      </c>
      <c r="I15" s="102"/>
      <c r="J15" s="97">
        <f>12000+9649.6</f>
        <v>21649.599999999999</v>
      </c>
      <c r="K15" s="102">
        <v>45000</v>
      </c>
      <c r="L15" s="97"/>
      <c r="M15" s="56">
        <f t="shared" si="2"/>
        <v>1514149.6</v>
      </c>
      <c r="N15" s="51">
        <v>1508149.6</v>
      </c>
      <c r="O15" s="53">
        <f t="shared" si="1"/>
        <v>-6000</v>
      </c>
      <c r="P15" s="159"/>
      <c r="R15" s="109"/>
      <c r="S15" s="123"/>
      <c r="T15" s="123"/>
      <c r="U15" s="67" t="s">
        <v>33</v>
      </c>
      <c r="V15" s="123"/>
      <c r="W15" s="67"/>
      <c r="X15" s="123"/>
      <c r="Y15" s="68"/>
    </row>
    <row r="16" spans="2:28" x14ac:dyDescent="0.25">
      <c r="B16" s="15">
        <f t="shared" si="0"/>
        <v>45392</v>
      </c>
      <c r="C16" s="136"/>
      <c r="D16" s="97">
        <v>10000</v>
      </c>
      <c r="E16" s="102"/>
      <c r="F16" s="97"/>
      <c r="G16" s="136">
        <f>1500+2000-1500</f>
        <v>2000</v>
      </c>
      <c r="H16" s="97">
        <f>710000+405300+10000+2000+10000+1500</f>
        <v>1138800</v>
      </c>
      <c r="I16" s="121">
        <v>34800</v>
      </c>
      <c r="J16" s="97">
        <f>20500+6500</f>
        <v>27000</v>
      </c>
      <c r="K16" s="121"/>
      <c r="L16" s="97">
        <v>89300</v>
      </c>
      <c r="M16" s="56">
        <f t="shared" si="2"/>
        <v>1301900</v>
      </c>
      <c r="N16" s="52">
        <v>1279900</v>
      </c>
      <c r="O16" s="53">
        <f t="shared" si="1"/>
        <v>-22000</v>
      </c>
      <c r="P16" s="101"/>
      <c r="R16" s="109"/>
      <c r="T16" s="123"/>
      <c r="U16" s="123" t="s">
        <v>33</v>
      </c>
      <c r="V16" s="78" t="s">
        <v>87</v>
      </c>
      <c r="W16" s="123"/>
      <c r="X16" s="68"/>
      <c r="Y16" s="68"/>
      <c r="AB16" s="94" t="s">
        <v>34</v>
      </c>
    </row>
    <row r="17" spans="2:28" x14ac:dyDescent="0.25">
      <c r="B17" s="15">
        <f t="shared" si="0"/>
        <v>45393</v>
      </c>
      <c r="C17" s="102"/>
      <c r="D17" s="97"/>
      <c r="E17" s="121"/>
      <c r="F17" s="122"/>
      <c r="G17" s="102">
        <f>1500+190000</f>
        <v>191500</v>
      </c>
      <c r="H17" s="122">
        <f>100000+81500+1500+10000</f>
        <v>193000</v>
      </c>
      <c r="I17" s="102">
        <f>250+7400+6400</f>
        <v>14050</v>
      </c>
      <c r="J17" s="122">
        <f>3500+1200</f>
        <v>4700</v>
      </c>
      <c r="K17" s="102"/>
      <c r="L17" s="122"/>
      <c r="M17" s="56">
        <f t="shared" si="2"/>
        <v>403250</v>
      </c>
      <c r="N17" s="52">
        <v>393250</v>
      </c>
      <c r="O17" s="53">
        <f t="shared" si="1"/>
        <v>-10000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45394</v>
      </c>
      <c r="C18" s="121"/>
      <c r="D18" s="97"/>
      <c r="E18" s="102"/>
      <c r="F18" s="97"/>
      <c r="G18" s="121">
        <f>110000+320000+200000</f>
        <v>630000</v>
      </c>
      <c r="H18" s="97">
        <f>121500+2000+30000+10000+2000+10000</f>
        <v>175500</v>
      </c>
      <c r="I18" s="121"/>
      <c r="J18" s="97">
        <f>11340</f>
        <v>11340</v>
      </c>
      <c r="K18" s="121"/>
      <c r="L18" s="97">
        <f>9000+2000</f>
        <v>11000</v>
      </c>
      <c r="M18" s="56">
        <f t="shared" si="2"/>
        <v>827840</v>
      </c>
      <c r="N18" s="51">
        <v>805840</v>
      </c>
      <c r="O18" s="53">
        <f t="shared" si="1"/>
        <v>-22000</v>
      </c>
      <c r="Q18" s="109"/>
      <c r="R18" s="127"/>
      <c r="S18" s="109"/>
      <c r="U18" s="67"/>
      <c r="V18" s="123"/>
      <c r="W18" s="128"/>
      <c r="X18" s="80"/>
      <c r="AB18" s="78" t="s">
        <v>92</v>
      </c>
    </row>
    <row r="19" spans="2:28" x14ac:dyDescent="0.25">
      <c r="B19" s="15">
        <f t="shared" si="0"/>
        <v>45395</v>
      </c>
      <c r="C19" s="102"/>
      <c r="D19" s="97"/>
      <c r="E19" s="102"/>
      <c r="F19" s="97"/>
      <c r="G19" s="102">
        <v>2000</v>
      </c>
      <c r="H19" s="97">
        <f>3000+1500+1500+2000+2000</f>
        <v>10000</v>
      </c>
      <c r="I19" s="102"/>
      <c r="J19" s="97">
        <f>5500</f>
        <v>5500</v>
      </c>
      <c r="K19" s="102"/>
      <c r="L19" s="97">
        <f>16760</f>
        <v>16760</v>
      </c>
      <c r="M19" s="56">
        <f>SUM(C19:L19)</f>
        <v>34260</v>
      </c>
      <c r="N19" s="52">
        <v>28760</v>
      </c>
      <c r="O19" s="53">
        <f t="shared" si="1"/>
        <v>-5500</v>
      </c>
      <c r="P19" s="160"/>
      <c r="R19" s="123"/>
      <c r="U19" s="128" t="s">
        <v>33</v>
      </c>
      <c r="V19" s="78" t="s">
        <v>87</v>
      </c>
      <c r="W19" s="67"/>
      <c r="X19" s="80"/>
      <c r="Y19" s="78"/>
      <c r="Z19" s="123"/>
      <c r="AB19" s="67" t="s">
        <v>49</v>
      </c>
    </row>
    <row r="20" spans="2:28" x14ac:dyDescent="0.25">
      <c r="B20" s="15">
        <f t="shared" si="0"/>
        <v>45396</v>
      </c>
      <c r="C20" s="102"/>
      <c r="D20" s="122"/>
      <c r="E20" s="102"/>
      <c r="F20" s="97"/>
      <c r="G20" s="102"/>
      <c r="H20" s="97">
        <v>1500</v>
      </c>
      <c r="I20" s="102"/>
      <c r="J20" s="97"/>
      <c r="K20" s="102"/>
      <c r="L20" s="97"/>
      <c r="M20" s="56">
        <f t="shared" si="2"/>
        <v>1500</v>
      </c>
      <c r="N20" s="52">
        <v>1500</v>
      </c>
      <c r="O20" s="53">
        <f t="shared" si="1"/>
        <v>0</v>
      </c>
      <c r="P20" s="101"/>
      <c r="Q20" s="67"/>
      <c r="T20" s="123"/>
      <c r="U20" s="123"/>
      <c r="V20" s="78" t="s">
        <v>87</v>
      </c>
      <c r="W20" s="123"/>
      <c r="X20" s="68"/>
      <c r="Y20" s="67"/>
      <c r="AB20" s="78" t="s">
        <v>33</v>
      </c>
    </row>
    <row r="21" spans="2:28" x14ac:dyDescent="0.25">
      <c r="B21" s="15">
        <f>B20+1</f>
        <v>45397</v>
      </c>
      <c r="C21" s="102"/>
      <c r="D21" s="97"/>
      <c r="E21" s="102"/>
      <c r="F21" s="97"/>
      <c r="G21" s="102">
        <f>400000+600000</f>
        <v>1000000</v>
      </c>
      <c r="H21" s="97">
        <f>430000+420000+1500+10000</f>
        <v>861500</v>
      </c>
      <c r="I21" s="102">
        <v>7000</v>
      </c>
      <c r="J21" s="97">
        <f>5500+3500</f>
        <v>9000</v>
      </c>
      <c r="K21" s="102"/>
      <c r="L21" s="97"/>
      <c r="M21" s="56">
        <f t="shared" si="2"/>
        <v>1877500</v>
      </c>
      <c r="N21" s="51">
        <v>1867500</v>
      </c>
      <c r="O21" s="53">
        <f t="shared" si="1"/>
        <v>-10000</v>
      </c>
      <c r="P21" s="101"/>
      <c r="Q21" s="123"/>
      <c r="T21" s="123"/>
      <c r="U21" s="128" t="s">
        <v>33</v>
      </c>
      <c r="V21" s="78" t="s">
        <v>87</v>
      </c>
      <c r="W21" s="123"/>
      <c r="X21" s="68"/>
      <c r="Y21" s="67"/>
      <c r="AB21" s="123" t="s">
        <v>102</v>
      </c>
    </row>
    <row r="22" spans="2:28" x14ac:dyDescent="0.25">
      <c r="B22" s="15">
        <f t="shared" si="0"/>
        <v>45398</v>
      </c>
      <c r="C22" s="102"/>
      <c r="D22" s="97"/>
      <c r="E22" s="102"/>
      <c r="F22" s="97"/>
      <c r="G22" s="102"/>
      <c r="H22" s="97">
        <f>1500+420000+360000</f>
        <v>781500</v>
      </c>
      <c r="I22" s="102">
        <v>7110</v>
      </c>
      <c r="J22" s="97">
        <f>3900</f>
        <v>3900</v>
      </c>
      <c r="K22" s="102"/>
      <c r="L22" s="97">
        <v>3300</v>
      </c>
      <c r="M22" s="56">
        <f t="shared" si="2"/>
        <v>795810</v>
      </c>
      <c r="N22" s="52">
        <v>795810</v>
      </c>
      <c r="O22" s="53">
        <f t="shared" si="1"/>
        <v>0</v>
      </c>
      <c r="S22" s="67"/>
      <c r="T22" s="123"/>
      <c r="U22" s="123"/>
      <c r="V22" s="123"/>
      <c r="W22" s="123"/>
      <c r="X22" s="68"/>
      <c r="Y22" s="67"/>
      <c r="AB22" s="67" t="s">
        <v>87</v>
      </c>
    </row>
    <row r="23" spans="2:28" x14ac:dyDescent="0.25">
      <c r="B23" s="15">
        <f t="shared" si="0"/>
        <v>45399</v>
      </c>
      <c r="C23" s="102"/>
      <c r="D23" s="97"/>
      <c r="E23" s="102">
        <v>155000</v>
      </c>
      <c r="F23" s="97">
        <v>880000</v>
      </c>
      <c r="G23" s="102">
        <f>31500+410000+1500+1500</f>
        <v>444500</v>
      </c>
      <c r="H23" s="97">
        <f>241500+2000+3000</f>
        <v>246500</v>
      </c>
      <c r="I23" s="102"/>
      <c r="J23" s="97">
        <f>53550+8560</f>
        <v>62110</v>
      </c>
      <c r="K23" s="102"/>
      <c r="L23" s="97">
        <v>10300</v>
      </c>
      <c r="M23" s="56">
        <f t="shared" si="2"/>
        <v>1798410</v>
      </c>
      <c r="N23" s="52">
        <v>1798410</v>
      </c>
      <c r="O23" s="53">
        <f t="shared" si="1"/>
        <v>0</v>
      </c>
      <c r="S23" s="124"/>
      <c r="T23" s="123"/>
      <c r="U23" s="123"/>
      <c r="V23" s="123"/>
      <c r="W23" s="123"/>
      <c r="X23" s="68"/>
      <c r="Y23" s="67"/>
      <c r="AB23" s="78" t="s">
        <v>97</v>
      </c>
    </row>
    <row r="24" spans="2:28" x14ac:dyDescent="0.25">
      <c r="B24" s="15">
        <f t="shared" si="0"/>
        <v>45400</v>
      </c>
      <c r="C24" s="121"/>
      <c r="D24" s="97"/>
      <c r="E24" s="102"/>
      <c r="F24" s="97">
        <f>1050000</f>
        <v>1050000</v>
      </c>
      <c r="G24" s="121"/>
      <c r="H24" s="97">
        <f>2000+420000+500000+1500</f>
        <v>923500</v>
      </c>
      <c r="I24" s="121"/>
      <c r="J24" s="97"/>
      <c r="K24" s="121">
        <v>3000</v>
      </c>
      <c r="L24" s="97"/>
      <c r="M24" s="56">
        <f t="shared" si="2"/>
        <v>1976500</v>
      </c>
      <c r="N24" s="51">
        <v>1974500</v>
      </c>
      <c r="O24" s="53">
        <f t="shared" si="1"/>
        <v>-2000</v>
      </c>
      <c r="P24" s="101"/>
      <c r="Q24" s="67"/>
      <c r="R24" s="123"/>
      <c r="S24" s="123"/>
      <c r="T24" s="123"/>
      <c r="U24" s="123" t="s">
        <v>33</v>
      </c>
      <c r="V24" s="123" t="s">
        <v>87</v>
      </c>
      <c r="W24" s="123"/>
      <c r="X24" s="68"/>
      <c r="AA24" s="78"/>
      <c r="AB24" s="68"/>
    </row>
    <row r="25" spans="2:28" x14ac:dyDescent="0.25">
      <c r="B25" s="15">
        <f t="shared" si="0"/>
        <v>45401</v>
      </c>
      <c r="C25" s="102"/>
      <c r="D25" s="97"/>
      <c r="E25" s="102">
        <v>5000</v>
      </c>
      <c r="F25" s="97">
        <v>15000</v>
      </c>
      <c r="G25" s="102"/>
      <c r="H25" s="97">
        <f>370000</f>
        <v>370000</v>
      </c>
      <c r="I25" s="102">
        <v>11340</v>
      </c>
      <c r="J25" s="97">
        <f>7110+6618</f>
        <v>13728</v>
      </c>
      <c r="K25" s="102"/>
      <c r="L25" s="97">
        <v>15800</v>
      </c>
      <c r="M25" s="56">
        <f t="shared" si="2"/>
        <v>430868</v>
      </c>
      <c r="N25" s="52">
        <v>430868</v>
      </c>
      <c r="O25" s="53">
        <f t="shared" si="1"/>
        <v>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45402</v>
      </c>
      <c r="C26" s="102"/>
      <c r="D26" s="97"/>
      <c r="E26" s="102"/>
      <c r="F26" s="97">
        <f>1480000</f>
        <v>1480000</v>
      </c>
      <c r="G26" s="102">
        <f>320000+2000</f>
        <v>322000</v>
      </c>
      <c r="H26" s="97">
        <f>2000+1500+10000</f>
        <v>13500</v>
      </c>
      <c r="I26" s="102">
        <v>2090</v>
      </c>
      <c r="J26" s="97"/>
      <c r="K26" s="102"/>
      <c r="L26" s="97">
        <f>3800</f>
        <v>3800</v>
      </c>
      <c r="M26" s="56">
        <f t="shared" si="2"/>
        <v>1821390</v>
      </c>
      <c r="N26" s="52">
        <v>1809889.8</v>
      </c>
      <c r="O26" s="53">
        <f t="shared" si="1"/>
        <v>-11500.199999999953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45403</v>
      </c>
      <c r="C27" s="102"/>
      <c r="D27" s="97"/>
      <c r="E27" s="102"/>
      <c r="F27" s="97"/>
      <c r="G27" s="102"/>
      <c r="H27" s="97">
        <f>10000+420000+2000</f>
        <v>432000</v>
      </c>
      <c r="I27" s="102"/>
      <c r="J27" s="137"/>
      <c r="K27" s="102"/>
      <c r="L27" s="97">
        <f>3000</f>
        <v>3000</v>
      </c>
      <c r="M27" s="56">
        <f t="shared" si="2"/>
        <v>435000</v>
      </c>
      <c r="N27" s="154">
        <v>425000</v>
      </c>
      <c r="O27" s="155">
        <f t="shared" si="1"/>
        <v>-10000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45404</v>
      </c>
      <c r="C28" s="102"/>
      <c r="D28" s="97"/>
      <c r="E28" s="102">
        <v>550000</v>
      </c>
      <c r="F28" s="97"/>
      <c r="G28" s="102">
        <v>100000</v>
      </c>
      <c r="H28" s="97">
        <f>690000+1500</f>
        <v>691500</v>
      </c>
      <c r="I28" s="102"/>
      <c r="J28" s="97"/>
      <c r="K28" s="102">
        <v>50000</v>
      </c>
      <c r="L28" s="97">
        <v>25300</v>
      </c>
      <c r="M28" s="156">
        <f t="shared" si="2"/>
        <v>1416800</v>
      </c>
      <c r="N28" s="157">
        <v>1416800</v>
      </c>
      <c r="O28" s="155">
        <f t="shared" si="1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45405</v>
      </c>
      <c r="C29" s="102"/>
      <c r="D29" s="97"/>
      <c r="E29" s="102">
        <v>700000</v>
      </c>
      <c r="F29" s="97">
        <v>225000</v>
      </c>
      <c r="G29" s="102"/>
      <c r="H29" s="97">
        <f>2000</f>
        <v>2000</v>
      </c>
      <c r="I29" s="102">
        <v>5700</v>
      </c>
      <c r="J29" s="97">
        <v>16100</v>
      </c>
      <c r="K29" s="102">
        <v>7000</v>
      </c>
      <c r="L29" s="97">
        <v>3300</v>
      </c>
      <c r="M29" s="56">
        <f t="shared" si="2"/>
        <v>959100</v>
      </c>
      <c r="N29" s="52">
        <v>959100</v>
      </c>
      <c r="O29" s="53">
        <f t="shared" si="1"/>
        <v>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45406</v>
      </c>
      <c r="C30" s="138"/>
      <c r="D30" s="137"/>
      <c r="E30" s="102">
        <f>720000+845000</f>
        <v>1565000</v>
      </c>
      <c r="F30" s="97">
        <v>660000</v>
      </c>
      <c r="G30" s="102">
        <f>300000+350000+420000</f>
        <v>1070000</v>
      </c>
      <c r="H30" s="97">
        <f>400000+1500+10000</f>
        <v>411500</v>
      </c>
      <c r="I30" s="102">
        <v>15000</v>
      </c>
      <c r="J30" s="97">
        <v>3908.7</v>
      </c>
      <c r="K30" s="138">
        <v>60000</v>
      </c>
      <c r="L30" s="137">
        <v>3300</v>
      </c>
      <c r="M30" s="56">
        <f t="shared" si="2"/>
        <v>3788708.7</v>
      </c>
      <c r="N30" s="51">
        <v>3777208.7</v>
      </c>
      <c r="O30" s="53">
        <f t="shared" si="1"/>
        <v>-11500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45407</v>
      </c>
      <c r="C31" s="121"/>
      <c r="D31" s="97"/>
      <c r="E31" s="102"/>
      <c r="F31" s="97">
        <v>575000</v>
      </c>
      <c r="G31" s="121"/>
      <c r="H31" s="97">
        <f>2000+2000+10000+2000</f>
        <v>16000</v>
      </c>
      <c r="I31" s="102"/>
      <c r="J31" s="97">
        <f>12600+9400+15000+7900</f>
        <v>44900</v>
      </c>
      <c r="K31" s="138"/>
      <c r="L31" s="137">
        <v>2000</v>
      </c>
      <c r="M31" s="56">
        <f t="shared" si="2"/>
        <v>637900</v>
      </c>
      <c r="N31" s="51">
        <v>621900</v>
      </c>
      <c r="O31" s="53">
        <f t="shared" si="1"/>
        <v>-16000</v>
      </c>
      <c r="Q31" s="123"/>
      <c r="R31" s="127"/>
      <c r="T31" s="123"/>
      <c r="U31" s="123" t="s">
        <v>33</v>
      </c>
      <c r="V31" s="123" t="s">
        <v>87</v>
      </c>
      <c r="W31" s="78"/>
      <c r="X31" s="68"/>
      <c r="Z31" s="68"/>
      <c r="AA31" s="78"/>
      <c r="AB31" s="67"/>
    </row>
    <row r="32" spans="2:28" x14ac:dyDescent="0.25">
      <c r="B32" s="15">
        <f t="shared" si="0"/>
        <v>45408</v>
      </c>
      <c r="C32" s="102"/>
      <c r="D32" s="97"/>
      <c r="E32" s="102">
        <v>15000</v>
      </c>
      <c r="F32" s="97">
        <v>15000</v>
      </c>
      <c r="G32" s="102">
        <f>320000+2000</f>
        <v>322000</v>
      </c>
      <c r="H32" s="97">
        <f>1500+2000+1500+25500+30000+3000</f>
        <v>63500</v>
      </c>
      <c r="I32" s="102"/>
      <c r="J32" s="97">
        <f>11340+5500+1625.4+346.73</f>
        <v>18812.13</v>
      </c>
      <c r="K32" s="102"/>
      <c r="L32" s="97"/>
      <c r="M32" s="156">
        <f t="shared" si="2"/>
        <v>434312.13</v>
      </c>
      <c r="N32" s="157">
        <v>429312</v>
      </c>
      <c r="O32" s="155">
        <f t="shared" si="1"/>
        <v>-5000.1300000000047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45409</v>
      </c>
      <c r="C33" s="102"/>
      <c r="D33" s="97"/>
      <c r="E33" s="102"/>
      <c r="F33" s="97">
        <v>5000</v>
      </c>
      <c r="G33" s="102">
        <f>580000</f>
        <v>580000</v>
      </c>
      <c r="H33" s="97">
        <f>2000+10000+2000+360000</f>
        <v>374000</v>
      </c>
      <c r="I33" s="102"/>
      <c r="J33" s="97"/>
      <c r="K33" s="102"/>
      <c r="L33" s="97">
        <v>2000</v>
      </c>
      <c r="M33" s="56">
        <f t="shared" si="2"/>
        <v>961000</v>
      </c>
      <c r="N33" s="51">
        <v>949000</v>
      </c>
      <c r="O33" s="53">
        <f t="shared" si="1"/>
        <v>-12000</v>
      </c>
      <c r="Q33" s="109"/>
      <c r="R33" s="111"/>
      <c r="S33" s="111"/>
      <c r="T33" s="109"/>
      <c r="U33" s="109" t="s">
        <v>33</v>
      </c>
      <c r="V33" s="109"/>
      <c r="X33" s="68"/>
      <c r="Z33" s="67"/>
      <c r="AA33" s="78"/>
      <c r="AB33" s="68"/>
    </row>
    <row r="34" spans="1:28" x14ac:dyDescent="0.25">
      <c r="B34" s="15">
        <f t="shared" si="0"/>
        <v>45410</v>
      </c>
      <c r="C34" s="102"/>
      <c r="D34" s="97">
        <v>1450000</v>
      </c>
      <c r="E34" s="102"/>
      <c r="F34" s="97"/>
      <c r="G34" s="138">
        <f>470000+113000</f>
        <v>583000</v>
      </c>
      <c r="H34" s="137">
        <f>302000+10000+2000+10000</f>
        <v>324000</v>
      </c>
      <c r="I34" s="138"/>
      <c r="J34" s="137">
        <f>3500+1625.4</f>
        <v>5125.3999999999996</v>
      </c>
      <c r="K34" s="138">
        <f>119500+16000</f>
        <v>135500</v>
      </c>
      <c r="L34" s="137">
        <f>6600</f>
        <v>6600</v>
      </c>
      <c r="M34" s="156">
        <f>SUM(C34:L34)</f>
        <v>2504225.4</v>
      </c>
      <c r="N34" s="157">
        <v>2482225</v>
      </c>
      <c r="O34" s="53">
        <f t="shared" si="1"/>
        <v>-22000.399999999907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45411</v>
      </c>
      <c r="C35" s="102">
        <v>5000</v>
      </c>
      <c r="D35" s="97">
        <v>100000</v>
      </c>
      <c r="E35" s="102">
        <v>880000</v>
      </c>
      <c r="F35" s="97"/>
      <c r="G35" s="102">
        <v>190000</v>
      </c>
      <c r="H35" s="97">
        <f>150000+1500+435000+350000</f>
        <v>936500</v>
      </c>
      <c r="I35" s="102"/>
      <c r="J35" s="97"/>
      <c r="K35" s="102">
        <v>7000</v>
      </c>
      <c r="L35" s="97">
        <f>94750-6300</f>
        <v>88450</v>
      </c>
      <c r="M35" s="56">
        <f t="shared" si="2"/>
        <v>2206950</v>
      </c>
      <c r="N35" s="54">
        <v>2206950</v>
      </c>
      <c r="O35" s="55">
        <f t="shared" si="1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45412</v>
      </c>
      <c r="C36" s="102"/>
      <c r="D36" s="97">
        <v>850000</v>
      </c>
      <c r="E36" s="102"/>
      <c r="F36" s="97">
        <v>5000</v>
      </c>
      <c r="G36" s="102"/>
      <c r="H36" s="97">
        <f>10000+400000+1500+10000+10000</f>
        <v>431500</v>
      </c>
      <c r="I36" s="102">
        <v>1200</v>
      </c>
      <c r="J36" s="97">
        <f>15000+34120+16900</f>
        <v>66020</v>
      </c>
      <c r="K36" s="102">
        <v>500</v>
      </c>
      <c r="L36" s="97">
        <v>7600</v>
      </c>
      <c r="M36" s="56">
        <f t="shared" si="2"/>
        <v>1361820</v>
      </c>
      <c r="N36" s="54">
        <v>1331820</v>
      </c>
      <c r="O36" s="55">
        <f t="shared" si="1"/>
        <v>-30000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02"/>
      <c r="D37" s="97"/>
      <c r="E37" s="102"/>
      <c r="F37" s="97"/>
      <c r="G37" s="102"/>
      <c r="H37" s="97"/>
      <c r="I37" s="102"/>
      <c r="J37" s="97"/>
      <c r="K37" s="102"/>
      <c r="L37" s="97"/>
      <c r="M37" s="56">
        <f t="shared" si="2"/>
        <v>0</v>
      </c>
      <c r="N37" s="54"/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3388000</v>
      </c>
      <c r="D39" s="25">
        <f>SUM(D7:D38)</f>
        <v>4857000</v>
      </c>
      <c r="E39" s="24">
        <f t="shared" ref="E39:K39" si="3">SUM(E7:E38)</f>
        <v>5370000</v>
      </c>
      <c r="F39" s="59">
        <f t="shared" si="3"/>
        <v>6195000</v>
      </c>
      <c r="G39" s="24">
        <f t="shared" si="3"/>
        <v>7796500</v>
      </c>
      <c r="H39" s="25">
        <f t="shared" si="3"/>
        <v>11836800</v>
      </c>
      <c r="I39" s="24">
        <f t="shared" si="3"/>
        <v>110290</v>
      </c>
      <c r="J39" s="25">
        <f t="shared" si="3"/>
        <v>533621.83000000007</v>
      </c>
      <c r="K39" s="24">
        <f t="shared" si="3"/>
        <v>326750</v>
      </c>
      <c r="L39" s="25">
        <f>SUM(L7:L38)</f>
        <v>421209</v>
      </c>
      <c r="M39" s="28">
        <f>SUM(M7:M38)</f>
        <v>40835170.829999998</v>
      </c>
      <c r="N39" s="27">
        <f>SUM(N7:N38)</f>
        <v>40553170.100000001</v>
      </c>
      <c r="O39" s="26">
        <f>N39-M39</f>
        <v>-282000.72999999672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8245000</v>
      </c>
      <c r="D40" s="282"/>
      <c r="E40" s="267">
        <f>SUM(E39:F39)</f>
        <v>11565000</v>
      </c>
      <c r="F40" s="269"/>
      <c r="G40" s="281">
        <f>SUM(G39:H39)</f>
        <v>19633300</v>
      </c>
      <c r="H40" s="282"/>
      <c r="I40" s="267">
        <f>SUM(I39:J39)</f>
        <v>643911.83000000007</v>
      </c>
      <c r="J40" s="268"/>
      <c r="K40" s="281">
        <f>SUM(K39:L39)</f>
        <v>747959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45382</v>
      </c>
      <c r="C45" s="3">
        <v>0</v>
      </c>
      <c r="D45" s="14">
        <v>0</v>
      </c>
      <c r="E45" s="3">
        <v>0</v>
      </c>
      <c r="F45" s="14">
        <v>500000</v>
      </c>
      <c r="G45" s="3">
        <v>0</v>
      </c>
      <c r="H45" s="14"/>
      <c r="I45" s="3">
        <v>0</v>
      </c>
      <c r="J45" s="14"/>
      <c r="K45" s="134">
        <v>0</v>
      </c>
      <c r="L45" s="14"/>
      <c r="M45" s="3">
        <f>SUM(C45:L45)</f>
        <v>500000</v>
      </c>
      <c r="N45" s="3">
        <v>500000</v>
      </c>
      <c r="O45" s="3">
        <f>N45-M45</f>
        <v>0</v>
      </c>
      <c r="P45" s="85">
        <v>45383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45412</v>
      </c>
      <c r="C48" s="3">
        <v>0</v>
      </c>
      <c r="D48" s="14">
        <v>850000</v>
      </c>
      <c r="E48" s="3">
        <v>0</v>
      </c>
      <c r="F48" s="14">
        <f>5000-5000</f>
        <v>0</v>
      </c>
      <c r="G48" s="3">
        <v>0</v>
      </c>
      <c r="H48" s="14">
        <f>411500-30000</f>
        <v>381500</v>
      </c>
      <c r="I48" s="3">
        <v>0</v>
      </c>
      <c r="J48" s="14">
        <v>86020</v>
      </c>
      <c r="K48" s="134">
        <v>0</v>
      </c>
      <c r="L48" s="14">
        <v>7600</v>
      </c>
      <c r="M48" s="3">
        <f>SUM(C48:L48)</f>
        <v>1325120</v>
      </c>
      <c r="N48" s="3">
        <v>1325120</v>
      </c>
      <c r="O48" s="3">
        <f>N48-M48</f>
        <v>0</v>
      </c>
      <c r="P48" s="151">
        <v>45413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-850000</v>
      </c>
      <c r="E50" s="262">
        <f>F45+F46-F47-F48</f>
        <v>500000</v>
      </c>
      <c r="F50" s="263"/>
      <c r="G50" s="262">
        <f>H45+H46-H47-H48</f>
        <v>-381500</v>
      </c>
      <c r="H50" s="263"/>
      <c r="I50" s="262">
        <f>J45+J46-J47-J48</f>
        <v>-86020</v>
      </c>
      <c r="J50" s="263"/>
      <c r="K50" s="262">
        <f>L45+L46-L47-L48</f>
        <v>-7600</v>
      </c>
      <c r="L50" s="263"/>
    </row>
    <row r="51" spans="2:28" x14ac:dyDescent="0.25">
      <c r="B51" s="264" t="s">
        <v>12</v>
      </c>
      <c r="C51" s="264"/>
      <c r="D51" s="31">
        <f>D39+D50</f>
        <v>4007000</v>
      </c>
      <c r="E51" s="265">
        <f>F39+E50</f>
        <v>6695000</v>
      </c>
      <c r="F51" s="266"/>
      <c r="G51" s="265">
        <f>H39+G50</f>
        <v>11455300</v>
      </c>
      <c r="H51" s="266"/>
      <c r="I51" s="286">
        <f>J39+I50</f>
        <v>447601.83000000007</v>
      </c>
      <c r="J51" s="287"/>
      <c r="K51" s="265">
        <f>L39+K50</f>
        <v>413609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23018510.829999998</v>
      </c>
      <c r="E52" s="283"/>
      <c r="F52" s="283"/>
      <c r="G52" s="283"/>
      <c r="H52" s="283"/>
      <c r="I52" s="161"/>
      <c r="J52" s="161"/>
      <c r="K52" s="161"/>
      <c r="L52" s="161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35491</v>
      </c>
      <c r="P54" s="87"/>
      <c r="S54">
        <v>17.399999999999999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16991540</v>
      </c>
      <c r="D55" s="149">
        <f>D39+H39+F39+J39+L39</f>
        <v>23843630.829999998</v>
      </c>
      <c r="E55" s="58"/>
      <c r="F55" s="58"/>
      <c r="M55" s="63" t="s">
        <v>25</v>
      </c>
      <c r="N55" s="64">
        <v>59357</v>
      </c>
      <c r="P55" s="88"/>
      <c r="S55">
        <v>29.1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40835170.829999998</v>
      </c>
      <c r="D56" s="285"/>
      <c r="E56" s="57"/>
      <c r="F56" s="57"/>
      <c r="M56" s="63" t="s">
        <v>28</v>
      </c>
      <c r="N56" s="64">
        <v>101580</v>
      </c>
      <c r="R56" s="87"/>
      <c r="S56">
        <v>49.8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3875</v>
      </c>
      <c r="S57">
        <v>1.9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3671</v>
      </c>
      <c r="S58">
        <v>1.8</v>
      </c>
      <c r="Y58" s="4"/>
      <c r="AA58" s="78"/>
      <c r="AB58" s="68"/>
    </row>
    <row r="59" spans="2:28" x14ac:dyDescent="0.25">
      <c r="J59" t="s">
        <v>3</v>
      </c>
      <c r="N59" s="64">
        <v>203974.1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40010050.829999998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72"/>
  <sheetViews>
    <sheetView topLeftCell="A33" workbookViewId="0">
      <selection activeCell="L39" sqref="L39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67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45413</v>
      </c>
      <c r="C7" s="102"/>
      <c r="D7" s="97">
        <v>1255000</v>
      </c>
      <c r="E7" s="102"/>
      <c r="F7" s="97">
        <v>115000</v>
      </c>
      <c r="G7" s="119">
        <f>530000+340000</f>
        <v>870000</v>
      </c>
      <c r="H7" s="120"/>
      <c r="I7" s="119"/>
      <c r="J7" s="120">
        <v>5500</v>
      </c>
      <c r="K7" s="119">
        <v>31500</v>
      </c>
      <c r="L7" s="120">
        <v>38500</v>
      </c>
      <c r="M7" s="56">
        <f>SUM(C7:L7)</f>
        <v>2315500</v>
      </c>
      <c r="N7" s="52">
        <v>2315500</v>
      </c>
      <c r="O7" s="53">
        <f>N7-M7</f>
        <v>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7" si="0">B7+1</f>
        <v>45414</v>
      </c>
      <c r="C8" s="121"/>
      <c r="D8" s="97"/>
      <c r="E8" s="102"/>
      <c r="F8" s="97"/>
      <c r="G8" s="121">
        <v>490000</v>
      </c>
      <c r="H8" s="97">
        <f>400000+630000+430000+390000</f>
        <v>1850000</v>
      </c>
      <c r="I8" s="121">
        <v>17900</v>
      </c>
      <c r="J8" s="97">
        <v>12000</v>
      </c>
      <c r="K8" s="121">
        <v>7000</v>
      </c>
      <c r="L8" s="97">
        <v>5000</v>
      </c>
      <c r="M8" s="56">
        <f>SUM(C8:L8)</f>
        <v>2381900</v>
      </c>
      <c r="N8" s="52">
        <v>2381900</v>
      </c>
      <c r="O8" s="53">
        <f t="shared" ref="O8:O37" si="1">N8-M8</f>
        <v>0</v>
      </c>
      <c r="Z8" s="78"/>
      <c r="AB8" s="68"/>
    </row>
    <row r="9" spans="2:28" x14ac:dyDescent="0.25">
      <c r="B9" s="15">
        <f t="shared" si="0"/>
        <v>45415</v>
      </c>
      <c r="C9" s="102"/>
      <c r="D9" s="122"/>
      <c r="E9" s="102"/>
      <c r="F9" s="97"/>
      <c r="G9" s="102"/>
      <c r="H9" s="97">
        <f>320000+10000+10000+10000</f>
        <v>350000</v>
      </c>
      <c r="I9" s="102">
        <v>5000</v>
      </c>
      <c r="J9" s="97">
        <f>11340+7110+30000</f>
        <v>48450</v>
      </c>
      <c r="K9" s="102"/>
      <c r="L9" s="97"/>
      <c r="M9" s="56">
        <f>SUM(C9:L9)</f>
        <v>403450</v>
      </c>
      <c r="N9" s="51">
        <v>373450</v>
      </c>
      <c r="O9" s="53">
        <f>N9-M9</f>
        <v>-30000</v>
      </c>
      <c r="P9" s="101"/>
      <c r="Z9" s="78"/>
      <c r="AB9" s="68"/>
    </row>
    <row r="10" spans="2:28" x14ac:dyDescent="0.25">
      <c r="B10" s="15">
        <f t="shared" si="0"/>
        <v>45416</v>
      </c>
      <c r="C10" s="121"/>
      <c r="D10" s="97">
        <v>12500</v>
      </c>
      <c r="E10" s="102"/>
      <c r="F10" s="97"/>
      <c r="G10" s="121">
        <v>410000</v>
      </c>
      <c r="H10" s="97">
        <f>10000+10000</f>
        <v>20000</v>
      </c>
      <c r="I10" s="121"/>
      <c r="J10" s="97">
        <f>5500+11340</f>
        <v>16840</v>
      </c>
      <c r="K10" s="121"/>
      <c r="L10" s="97"/>
      <c r="M10" s="56">
        <f>SUM(C10:L10)</f>
        <v>459340</v>
      </c>
      <c r="N10" s="52">
        <v>439340</v>
      </c>
      <c r="O10" s="53">
        <f t="shared" si="1"/>
        <v>-20000</v>
      </c>
      <c r="P10" s="101"/>
      <c r="Z10" s="78"/>
      <c r="AB10" s="68"/>
    </row>
    <row r="11" spans="2:28" x14ac:dyDescent="0.25">
      <c r="B11" s="15">
        <f t="shared" si="0"/>
        <v>45417</v>
      </c>
      <c r="C11" s="102"/>
      <c r="D11" s="97"/>
      <c r="E11" s="102"/>
      <c r="F11" s="97"/>
      <c r="G11" s="102"/>
      <c r="H11" s="97"/>
      <c r="I11" s="102"/>
      <c r="J11" s="97"/>
      <c r="K11" s="102"/>
      <c r="L11" s="97"/>
      <c r="M11" s="56">
        <f t="shared" ref="M11:M38" si="2">SUM(C11:L11)</f>
        <v>0</v>
      </c>
      <c r="N11" s="52"/>
      <c r="O11" s="53">
        <f t="shared" si="1"/>
        <v>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45418</v>
      </c>
      <c r="C12" s="102"/>
      <c r="D12" s="97">
        <f>5000+115000</f>
        <v>120000</v>
      </c>
      <c r="E12" s="102">
        <v>80000</v>
      </c>
      <c r="F12" s="97">
        <v>120000</v>
      </c>
      <c r="G12" s="102">
        <f>90000+410000</f>
        <v>500000</v>
      </c>
      <c r="H12" s="97">
        <f>490000+410000+315000</f>
        <v>1215000</v>
      </c>
      <c r="I12" s="102"/>
      <c r="J12" s="97">
        <f>14220+2100</f>
        <v>16320</v>
      </c>
      <c r="K12" s="102"/>
      <c r="L12" s="97">
        <f>15000+5000+4230+11000</f>
        <v>35230</v>
      </c>
      <c r="M12" s="56">
        <f t="shared" si="2"/>
        <v>2086550</v>
      </c>
      <c r="N12" s="51">
        <v>2086550</v>
      </c>
      <c r="O12" s="53">
        <f t="shared" si="1"/>
        <v>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45419</v>
      </c>
      <c r="C13" s="102"/>
      <c r="D13" s="97"/>
      <c r="E13" s="102">
        <v>500000</v>
      </c>
      <c r="F13" s="97">
        <f>570000+30000</f>
        <v>600000</v>
      </c>
      <c r="G13" s="102"/>
      <c r="H13" s="97">
        <f>540000+10000</f>
        <v>550000</v>
      </c>
      <c r="I13" s="102"/>
      <c r="J13" s="97">
        <f>5500+14050</f>
        <v>19550</v>
      </c>
      <c r="K13" s="102"/>
      <c r="L13" s="97">
        <f>21000</f>
        <v>21000</v>
      </c>
      <c r="M13" s="56">
        <f t="shared" si="2"/>
        <v>1690550</v>
      </c>
      <c r="N13" s="52">
        <v>1680550</v>
      </c>
      <c r="O13" s="53">
        <f t="shared" si="1"/>
        <v>-10000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45420</v>
      </c>
      <c r="C14" s="102">
        <v>900000</v>
      </c>
      <c r="D14" s="97">
        <v>5000</v>
      </c>
      <c r="E14" s="102"/>
      <c r="F14" s="97">
        <v>60000</v>
      </c>
      <c r="G14" s="102"/>
      <c r="H14" s="97">
        <f>10000+45000</f>
        <v>55000</v>
      </c>
      <c r="I14" s="102"/>
      <c r="J14" s="97"/>
      <c r="K14" s="102">
        <v>10000</v>
      </c>
      <c r="L14" s="97">
        <v>14200</v>
      </c>
      <c r="M14" s="56">
        <f t="shared" si="2"/>
        <v>1044200</v>
      </c>
      <c r="N14" s="52">
        <v>1034200</v>
      </c>
      <c r="O14" s="53">
        <f t="shared" si="1"/>
        <v>-10000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45421</v>
      </c>
      <c r="C15" s="102"/>
      <c r="D15" s="97"/>
      <c r="E15" s="102"/>
      <c r="F15" s="97"/>
      <c r="G15" s="102"/>
      <c r="H15" s="97"/>
      <c r="I15" s="102"/>
      <c r="J15" s="97"/>
      <c r="K15" s="102"/>
      <c r="L15" s="97"/>
      <c r="M15" s="56">
        <f t="shared" si="2"/>
        <v>0</v>
      </c>
      <c r="N15" s="51"/>
      <c r="O15" s="53">
        <f t="shared" si="1"/>
        <v>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45422</v>
      </c>
      <c r="C16" s="136"/>
      <c r="D16" s="97"/>
      <c r="E16" s="102"/>
      <c r="F16" s="97">
        <v>665000</v>
      </c>
      <c r="G16" s="136">
        <v>340000</v>
      </c>
      <c r="H16" s="97">
        <v>10000</v>
      </c>
      <c r="I16" s="121"/>
      <c r="J16" s="97">
        <f>5500+24750</f>
        <v>30250</v>
      </c>
      <c r="K16" s="121"/>
      <c r="L16" s="97"/>
      <c r="M16" s="56">
        <f t="shared" si="2"/>
        <v>1045250</v>
      </c>
      <c r="N16" s="52">
        <v>1035250</v>
      </c>
      <c r="O16" s="53">
        <f t="shared" si="1"/>
        <v>-10000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45423</v>
      </c>
      <c r="C17" s="102"/>
      <c r="D17" s="97"/>
      <c r="E17" s="121"/>
      <c r="F17" s="122"/>
      <c r="G17" s="102"/>
      <c r="H17" s="122">
        <f>710000+10000+10000</f>
        <v>730000</v>
      </c>
      <c r="I17" s="102">
        <v>4950</v>
      </c>
      <c r="J17" s="122">
        <f>3500+4950</f>
        <v>8450</v>
      </c>
      <c r="K17" s="102"/>
      <c r="L17" s="122"/>
      <c r="M17" s="56">
        <f t="shared" si="2"/>
        <v>743400</v>
      </c>
      <c r="N17" s="52">
        <v>723400</v>
      </c>
      <c r="O17" s="53">
        <f t="shared" si="1"/>
        <v>-20000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45424</v>
      </c>
      <c r="C18" s="121">
        <v>600000</v>
      </c>
      <c r="D18" s="97"/>
      <c r="E18" s="102"/>
      <c r="F18" s="97"/>
      <c r="G18" s="121"/>
      <c r="H18" s="97"/>
      <c r="I18" s="121"/>
      <c r="J18" s="97"/>
      <c r="K18" s="121"/>
      <c r="L18" s="97"/>
      <c r="M18" s="56">
        <f t="shared" si="2"/>
        <v>600000</v>
      </c>
      <c r="N18" s="51">
        <v>600000</v>
      </c>
      <c r="O18" s="53">
        <f t="shared" si="1"/>
        <v>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45425</v>
      </c>
      <c r="C19" s="102">
        <v>15000</v>
      </c>
      <c r="D19" s="97">
        <f>600000+10000</f>
        <v>610000</v>
      </c>
      <c r="E19" s="102"/>
      <c r="F19" s="97"/>
      <c r="G19" s="102">
        <f>360000+250000</f>
        <v>610000</v>
      </c>
      <c r="H19" s="97">
        <f>500000+450000+10000</f>
        <v>960000</v>
      </c>
      <c r="I19" s="102">
        <v>11340</v>
      </c>
      <c r="J19" s="97">
        <v>2000</v>
      </c>
      <c r="K19" s="102"/>
      <c r="L19" s="97">
        <v>500</v>
      </c>
      <c r="M19" s="56">
        <f>SUM(C19:L19)</f>
        <v>2208840</v>
      </c>
      <c r="N19" s="52">
        <v>2208840</v>
      </c>
      <c r="O19" s="53">
        <f t="shared" si="1"/>
        <v>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45426</v>
      </c>
      <c r="C20" s="102"/>
      <c r="D20" s="122">
        <f>750000+650000</f>
        <v>1400000</v>
      </c>
      <c r="E20" s="102">
        <v>10000</v>
      </c>
      <c r="F20" s="97">
        <v>540000</v>
      </c>
      <c r="G20" s="102"/>
      <c r="H20" s="97">
        <f>10000+150000+580000+210000</f>
        <v>950000</v>
      </c>
      <c r="I20" s="102">
        <f>200+500</f>
        <v>700</v>
      </c>
      <c r="J20" s="97">
        <v>5500</v>
      </c>
      <c r="K20" s="102">
        <v>7900</v>
      </c>
      <c r="L20" s="97">
        <v>8500</v>
      </c>
      <c r="M20" s="56">
        <f t="shared" si="2"/>
        <v>2922600</v>
      </c>
      <c r="N20" s="52">
        <v>2922600</v>
      </c>
      <c r="O20" s="53">
        <f t="shared" si="1"/>
        <v>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4.25" customHeight="1" x14ac:dyDescent="0.25">
      <c r="B21" s="15">
        <f>B20+1</f>
        <v>45427</v>
      </c>
      <c r="C21" s="102">
        <v>5000</v>
      </c>
      <c r="D21" s="97">
        <f>770000-750000</f>
        <v>20000</v>
      </c>
      <c r="E21" s="102">
        <v>905000</v>
      </c>
      <c r="F21" s="97">
        <v>840000</v>
      </c>
      <c r="G21" s="102">
        <f>100000</f>
        <v>100000</v>
      </c>
      <c r="H21" s="97">
        <f>970000+425000-350000+275000</f>
        <v>1320000</v>
      </c>
      <c r="I21" s="102">
        <v>15000</v>
      </c>
      <c r="J21" s="97">
        <f>12000+5500</f>
        <v>17500</v>
      </c>
      <c r="K21" s="102"/>
      <c r="L21" s="97">
        <f>12200</f>
        <v>12200</v>
      </c>
      <c r="M21" s="56">
        <f t="shared" si="2"/>
        <v>3234700</v>
      </c>
      <c r="N21" s="51">
        <v>3234700</v>
      </c>
      <c r="O21" s="53">
        <f t="shared" si="1"/>
        <v>0</v>
      </c>
      <c r="P21" s="101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0"/>
        <v>45428</v>
      </c>
      <c r="C22" s="102"/>
      <c r="D22" s="97"/>
      <c r="E22" s="102"/>
      <c r="F22" s="97">
        <v>5000</v>
      </c>
      <c r="G22" s="102"/>
      <c r="H22" s="97">
        <f>4950+5000</f>
        <v>9950</v>
      </c>
      <c r="I22" s="102"/>
      <c r="J22" s="97"/>
      <c r="K22" s="102"/>
      <c r="L22" s="97"/>
      <c r="M22" s="56">
        <f t="shared" si="2"/>
        <v>14950</v>
      </c>
      <c r="N22" s="52">
        <v>9950</v>
      </c>
      <c r="O22" s="53">
        <f t="shared" si="1"/>
        <v>-5000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45429</v>
      </c>
      <c r="C23" s="102"/>
      <c r="D23" s="97"/>
      <c r="E23" s="102"/>
      <c r="F23" s="97"/>
      <c r="G23" s="102"/>
      <c r="H23" s="97">
        <f>165000+460000+350000+10000</f>
        <v>985000</v>
      </c>
      <c r="I23" s="102"/>
      <c r="J23" s="97">
        <v>12360</v>
      </c>
      <c r="K23" s="102"/>
      <c r="L23" s="97"/>
      <c r="M23" s="56">
        <f t="shared" si="2"/>
        <v>997360</v>
      </c>
      <c r="N23" s="52">
        <v>987360</v>
      </c>
      <c r="O23" s="53">
        <f t="shared" si="1"/>
        <v>-10000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45430</v>
      </c>
      <c r="C24" s="121"/>
      <c r="D24" s="97">
        <v>800000</v>
      </c>
      <c r="E24" s="102"/>
      <c r="F24" s="97"/>
      <c r="G24" s="121"/>
      <c r="H24" s="97">
        <f>10000</f>
        <v>10000</v>
      </c>
      <c r="I24" s="121"/>
      <c r="J24" s="97">
        <f>2100+5500+5112</f>
        <v>12712</v>
      </c>
      <c r="K24" s="121">
        <v>4000</v>
      </c>
      <c r="L24" s="97">
        <v>99000</v>
      </c>
      <c r="M24" s="56">
        <f t="shared" si="2"/>
        <v>925712</v>
      </c>
      <c r="N24" s="51">
        <v>915712</v>
      </c>
      <c r="O24" s="53">
        <f t="shared" si="1"/>
        <v>-10000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45431</v>
      </c>
      <c r="C25" s="102">
        <v>50000</v>
      </c>
      <c r="D25" s="97">
        <v>490000</v>
      </c>
      <c r="E25" s="102"/>
      <c r="F25" s="97"/>
      <c r="G25" s="102"/>
      <c r="H25" s="97">
        <v>350000</v>
      </c>
      <c r="I25" s="102"/>
      <c r="J25" s="97"/>
      <c r="K25" s="102"/>
      <c r="L25" s="97"/>
      <c r="M25" s="56">
        <f t="shared" si="2"/>
        <v>890000</v>
      </c>
      <c r="N25" s="52">
        <v>890000</v>
      </c>
      <c r="O25" s="53">
        <f t="shared" si="1"/>
        <v>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45432</v>
      </c>
      <c r="C26" s="102">
        <v>5000</v>
      </c>
      <c r="D26" s="97">
        <v>5000</v>
      </c>
      <c r="E26" s="102"/>
      <c r="F26" s="97"/>
      <c r="G26" s="102">
        <v>180000</v>
      </c>
      <c r="H26" s="97">
        <v>190000</v>
      </c>
      <c r="I26" s="102">
        <v>3500</v>
      </c>
      <c r="J26" s="97">
        <f>7800</f>
        <v>7800</v>
      </c>
      <c r="K26" s="102">
        <v>5000</v>
      </c>
      <c r="L26" s="97">
        <f>8359.2+38851+9459</f>
        <v>56669.2</v>
      </c>
      <c r="M26" s="56">
        <f t="shared" si="2"/>
        <v>452969.2</v>
      </c>
      <c r="N26" s="52">
        <v>452969.2</v>
      </c>
      <c r="O26" s="53">
        <f t="shared" si="1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45433</v>
      </c>
      <c r="C27" s="102">
        <v>600000</v>
      </c>
      <c r="D27" s="97">
        <v>760000</v>
      </c>
      <c r="E27" s="102">
        <v>595000</v>
      </c>
      <c r="F27" s="97">
        <v>1250000</v>
      </c>
      <c r="G27" s="102"/>
      <c r="H27" s="97">
        <f>1500+340000+2000+10000+10000+1500</f>
        <v>365000</v>
      </c>
      <c r="I27" s="102"/>
      <c r="J27" s="137">
        <v>14150</v>
      </c>
      <c r="K27" s="102">
        <v>33475</v>
      </c>
      <c r="L27" s="97">
        <f>89480+20500</f>
        <v>109980</v>
      </c>
      <c r="M27" s="56">
        <f t="shared" si="2"/>
        <v>3727605</v>
      </c>
      <c r="N27" s="154">
        <v>3704105</v>
      </c>
      <c r="O27" s="155">
        <f t="shared" si="1"/>
        <v>-23500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45434</v>
      </c>
      <c r="C28" s="102"/>
      <c r="D28" s="97">
        <v>10000</v>
      </c>
      <c r="E28" s="102"/>
      <c r="F28" s="97">
        <v>580000</v>
      </c>
      <c r="G28" s="102">
        <v>340000</v>
      </c>
      <c r="H28" s="97">
        <f>360000+4500+61500+10000+10000+10000+1500+10000+1500+10000</f>
        <v>479000</v>
      </c>
      <c r="I28" s="102"/>
      <c r="J28" s="97">
        <f>350+15950+6600+5500</f>
        <v>28400</v>
      </c>
      <c r="K28" s="102"/>
      <c r="L28" s="97">
        <f>59500+12600</f>
        <v>72100</v>
      </c>
      <c r="M28" s="156">
        <f t="shared" si="2"/>
        <v>1509500</v>
      </c>
      <c r="N28" s="157">
        <v>1456500</v>
      </c>
      <c r="O28" s="155">
        <f t="shared" si="1"/>
        <v>-53000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45435</v>
      </c>
      <c r="C29" s="102">
        <v>30000</v>
      </c>
      <c r="D29" s="97">
        <v>800000</v>
      </c>
      <c r="E29" s="102">
        <v>85000</v>
      </c>
      <c r="F29" s="97">
        <v>280000</v>
      </c>
      <c r="G29" s="102">
        <v>720000</v>
      </c>
      <c r="H29" s="97">
        <f>2000+164000+10000</f>
        <v>176000</v>
      </c>
      <c r="I29" s="102">
        <v>3500</v>
      </c>
      <c r="J29" s="97">
        <v>9000</v>
      </c>
      <c r="K29" s="102"/>
      <c r="L29" s="97">
        <f>11000+25000</f>
        <v>36000</v>
      </c>
      <c r="M29" s="56">
        <f t="shared" si="2"/>
        <v>2139500</v>
      </c>
      <c r="N29" s="52">
        <v>2129500</v>
      </c>
      <c r="O29" s="53">
        <f t="shared" si="1"/>
        <v>-10000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45436</v>
      </c>
      <c r="C30" s="138"/>
      <c r="D30" s="137"/>
      <c r="E30" s="102">
        <v>10001</v>
      </c>
      <c r="F30" s="97">
        <v>10000</v>
      </c>
      <c r="G30" s="102">
        <f>400000+1500</f>
        <v>401500</v>
      </c>
      <c r="H30" s="97">
        <f>370000+5000</f>
        <v>375000</v>
      </c>
      <c r="I30" s="102"/>
      <c r="J30" s="97">
        <f>11400+6700</f>
        <v>18100</v>
      </c>
      <c r="K30" s="138">
        <f>25000+12000</f>
        <v>37000</v>
      </c>
      <c r="L30" s="137">
        <f>46000+7000</f>
        <v>53000</v>
      </c>
      <c r="M30" s="56">
        <f t="shared" si="2"/>
        <v>904601</v>
      </c>
      <c r="N30" s="51">
        <v>899601</v>
      </c>
      <c r="O30" s="53">
        <f t="shared" si="1"/>
        <v>-5000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45437</v>
      </c>
      <c r="C31" s="121"/>
      <c r="D31" s="97"/>
      <c r="E31" s="102"/>
      <c r="F31" s="97"/>
      <c r="G31" s="121">
        <v>170000</v>
      </c>
      <c r="H31" s="97">
        <f>10000+1500</f>
        <v>11500</v>
      </c>
      <c r="I31" s="102"/>
      <c r="J31" s="97">
        <v>3500</v>
      </c>
      <c r="K31" s="138"/>
      <c r="L31" s="137"/>
      <c r="M31" s="56">
        <f t="shared" si="2"/>
        <v>185000</v>
      </c>
      <c r="N31" s="51">
        <v>173500</v>
      </c>
      <c r="O31" s="53">
        <f t="shared" si="1"/>
        <v>-11500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45438</v>
      </c>
      <c r="C32" s="102"/>
      <c r="D32" s="97"/>
      <c r="E32" s="102"/>
      <c r="F32" s="97"/>
      <c r="G32" s="102"/>
      <c r="H32" s="97">
        <v>2000</v>
      </c>
      <c r="I32" s="102"/>
      <c r="J32" s="97"/>
      <c r="K32" s="102"/>
      <c r="L32" s="97"/>
      <c r="M32" s="156">
        <f t="shared" si="2"/>
        <v>2000</v>
      </c>
      <c r="N32" s="157">
        <v>2000</v>
      </c>
      <c r="O32" s="155">
        <f t="shared" si="1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45439</v>
      </c>
      <c r="C33" s="102"/>
      <c r="D33" s="97"/>
      <c r="E33" s="102"/>
      <c r="F33" s="97"/>
      <c r="G33" s="102"/>
      <c r="H33" s="97">
        <f>2000+1500</f>
        <v>3500</v>
      </c>
      <c r="I33" s="102"/>
      <c r="J33" s="97">
        <v>100000</v>
      </c>
      <c r="K33" s="102"/>
      <c r="L33" s="97"/>
      <c r="M33" s="56">
        <f t="shared" si="2"/>
        <v>103500</v>
      </c>
      <c r="N33" s="51">
        <v>102000</v>
      </c>
      <c r="O33" s="53">
        <f t="shared" si="1"/>
        <v>-1500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45440</v>
      </c>
      <c r="C34" s="102"/>
      <c r="D34" s="97"/>
      <c r="E34" s="102">
        <v>430000</v>
      </c>
      <c r="F34" s="97">
        <v>640000</v>
      </c>
      <c r="G34" s="138">
        <f>430000</f>
        <v>430000</v>
      </c>
      <c r="H34" s="137">
        <f>1500+590000+410000+10000+10000+10000+2000+10000</f>
        <v>1043500</v>
      </c>
      <c r="I34" s="138"/>
      <c r="J34" s="137">
        <v>17400</v>
      </c>
      <c r="K34" s="138">
        <v>5000</v>
      </c>
      <c r="L34" s="137">
        <v>12000</v>
      </c>
      <c r="M34" s="156">
        <f>SUM(C34:L34)</f>
        <v>2577900</v>
      </c>
      <c r="N34" s="157">
        <v>2535900</v>
      </c>
      <c r="O34" s="53">
        <f t="shared" si="1"/>
        <v>-42000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45441</v>
      </c>
      <c r="C35" s="102"/>
      <c r="D35" s="97"/>
      <c r="E35" s="102">
        <v>530000</v>
      </c>
      <c r="F35" s="97"/>
      <c r="G35" s="102">
        <v>370000</v>
      </c>
      <c r="H35" s="97">
        <f>2000+1500</f>
        <v>3500</v>
      </c>
      <c r="I35" s="102"/>
      <c r="J35" s="97"/>
      <c r="K35" s="102"/>
      <c r="L35" s="97">
        <v>14000</v>
      </c>
      <c r="M35" s="56">
        <f t="shared" si="2"/>
        <v>917500</v>
      </c>
      <c r="N35" s="54">
        <v>914000</v>
      </c>
      <c r="O35" s="55">
        <f t="shared" si="1"/>
        <v>-3500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45442</v>
      </c>
      <c r="C36" s="102"/>
      <c r="D36" s="97"/>
      <c r="E36" s="102"/>
      <c r="F36" s="97">
        <v>5000</v>
      </c>
      <c r="G36" s="102"/>
      <c r="H36" s="97">
        <f>310000+420000</f>
        <v>730000</v>
      </c>
      <c r="I36" s="102">
        <v>4000</v>
      </c>
      <c r="J36" s="97">
        <v>3300</v>
      </c>
      <c r="K36" s="102">
        <v>28500</v>
      </c>
      <c r="L36" s="97">
        <f>36700+24750</f>
        <v>61450</v>
      </c>
      <c r="M36" s="56">
        <f t="shared" si="2"/>
        <v>832250</v>
      </c>
      <c r="N36" s="54">
        <v>832250</v>
      </c>
      <c r="O36" s="55">
        <f t="shared" si="1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0"/>
        <v>45443</v>
      </c>
      <c r="C37" s="102"/>
      <c r="D37" s="97"/>
      <c r="E37" s="102">
        <v>10000</v>
      </c>
      <c r="F37" s="97">
        <f>350000+1165000</f>
        <v>1515000</v>
      </c>
      <c r="G37" s="102"/>
      <c r="H37" s="97">
        <f>160000+2000</f>
        <v>162000</v>
      </c>
      <c r="I37" s="102"/>
      <c r="J37" s="97">
        <v>1450</v>
      </c>
      <c r="K37" s="102"/>
      <c r="L37" s="97">
        <f>12000+290000</f>
        <v>302000</v>
      </c>
      <c r="M37" s="56">
        <f t="shared" si="2"/>
        <v>1990450</v>
      </c>
      <c r="N37" s="54">
        <v>1990450</v>
      </c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2205000</v>
      </c>
      <c r="D39" s="25">
        <f>SUM(D7:D38)</f>
        <v>6287500</v>
      </c>
      <c r="E39" s="24">
        <f t="shared" ref="E39:K39" si="3">SUM(E7:E38)</f>
        <v>3155001</v>
      </c>
      <c r="F39" s="59">
        <f t="shared" si="3"/>
        <v>7225000</v>
      </c>
      <c r="G39" s="24">
        <f t="shared" si="3"/>
        <v>5931500</v>
      </c>
      <c r="H39" s="25">
        <f t="shared" si="3"/>
        <v>12905950</v>
      </c>
      <c r="I39" s="24">
        <f t="shared" si="3"/>
        <v>65890</v>
      </c>
      <c r="J39" s="25">
        <f t="shared" si="3"/>
        <v>410532</v>
      </c>
      <c r="K39" s="24">
        <f t="shared" si="3"/>
        <v>169375</v>
      </c>
      <c r="L39" s="25">
        <f>SUM(L7:L38)</f>
        <v>951329.2</v>
      </c>
      <c r="M39" s="28">
        <f>SUM(M7:M38)</f>
        <v>39307077.200000003</v>
      </c>
      <c r="N39" s="27">
        <f>SUM(N7:N38)</f>
        <v>39032077.200000003</v>
      </c>
      <c r="O39" s="26">
        <f>N39-M39</f>
        <v>-275000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8492500</v>
      </c>
      <c r="D40" s="282"/>
      <c r="E40" s="267">
        <f>SUM(E39:F39)</f>
        <v>10380001</v>
      </c>
      <c r="F40" s="269"/>
      <c r="G40" s="281">
        <f>SUM(G39:H39)</f>
        <v>18837450</v>
      </c>
      <c r="H40" s="282"/>
      <c r="I40" s="267">
        <f>SUM(I39:J39)</f>
        <v>476422</v>
      </c>
      <c r="J40" s="268"/>
      <c r="K40" s="281">
        <f>SUM(K39:L39)</f>
        <v>1120704.2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45412</v>
      </c>
      <c r="C45" s="3">
        <v>0</v>
      </c>
      <c r="D45" s="14">
        <v>850000</v>
      </c>
      <c r="E45" s="3">
        <v>0</v>
      </c>
      <c r="F45" s="14"/>
      <c r="G45" s="3">
        <v>0</v>
      </c>
      <c r="H45" s="14">
        <v>381500</v>
      </c>
      <c r="I45" s="3">
        <v>0</v>
      </c>
      <c r="J45" s="14">
        <v>86020</v>
      </c>
      <c r="K45" s="134">
        <v>0</v>
      </c>
      <c r="L45" s="14">
        <v>7600</v>
      </c>
      <c r="M45" s="3">
        <f>SUM(C45:L45)</f>
        <v>1325120</v>
      </c>
      <c r="N45" s="3">
        <v>1325120</v>
      </c>
      <c r="O45" s="3">
        <f>N45-M45</f>
        <v>0</v>
      </c>
      <c r="P45" s="85">
        <v>45413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45443</v>
      </c>
      <c r="C48" s="3">
        <v>0</v>
      </c>
      <c r="D48" s="14"/>
      <c r="E48" s="3">
        <v>0</v>
      </c>
      <c r="F48" s="14">
        <v>1515000</v>
      </c>
      <c r="G48" s="3">
        <v>0</v>
      </c>
      <c r="H48" s="14">
        <v>162000</v>
      </c>
      <c r="I48" s="3">
        <v>0</v>
      </c>
      <c r="J48" s="14"/>
      <c r="K48" s="134">
        <v>0</v>
      </c>
      <c r="L48" s="14">
        <v>302000</v>
      </c>
      <c r="M48" s="3">
        <f>SUM(C48:L48)</f>
        <v>1979000</v>
      </c>
      <c r="N48" s="3">
        <v>1980450</v>
      </c>
      <c r="O48" s="3">
        <f>N48-M48</f>
        <v>1450</v>
      </c>
      <c r="P48" s="151">
        <v>45444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850000</v>
      </c>
      <c r="E50" s="262">
        <f>F45+F46-F47-F48</f>
        <v>-1515000</v>
      </c>
      <c r="F50" s="263"/>
      <c r="G50" s="262">
        <f>H45+H46-H47-H48</f>
        <v>219500</v>
      </c>
      <c r="H50" s="263"/>
      <c r="I50" s="262">
        <f>J45+J46-J47-J48</f>
        <v>86020</v>
      </c>
      <c r="J50" s="263"/>
      <c r="K50" s="262">
        <f>L45+L46-L47-L48</f>
        <v>-294400</v>
      </c>
      <c r="L50" s="263"/>
    </row>
    <row r="51" spans="2:28" x14ac:dyDescent="0.25">
      <c r="B51" s="264" t="s">
        <v>12</v>
      </c>
      <c r="C51" s="264"/>
      <c r="D51" s="31">
        <f>D39+D50</f>
        <v>7137500</v>
      </c>
      <c r="E51" s="265">
        <f>F39+E50</f>
        <v>5710000</v>
      </c>
      <c r="F51" s="266"/>
      <c r="G51" s="265">
        <f>H39+G50</f>
        <v>13125450</v>
      </c>
      <c r="H51" s="266"/>
      <c r="I51" s="286">
        <f>J39+I50</f>
        <v>496552</v>
      </c>
      <c r="J51" s="287"/>
      <c r="K51" s="265">
        <f>L39+K50</f>
        <v>656929.19999999995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27126431.199999999</v>
      </c>
      <c r="E52" s="283"/>
      <c r="F52" s="283"/>
      <c r="G52" s="283"/>
      <c r="H52" s="283"/>
      <c r="I52" s="162"/>
      <c r="J52" s="162"/>
      <c r="K52" s="162"/>
      <c r="L52" s="162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48695.64</v>
      </c>
      <c r="P54" s="87"/>
      <c r="S54">
        <v>17.399999999999999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11526766</v>
      </c>
      <c r="D55" s="149">
        <f>D39+H39+F39+J39+L39</f>
        <v>27780311.199999999</v>
      </c>
      <c r="E55" s="58"/>
      <c r="F55" s="58"/>
      <c r="M55" s="63" t="s">
        <v>25</v>
      </c>
      <c r="N55" s="64">
        <v>59516.89</v>
      </c>
      <c r="P55" s="88"/>
      <c r="S55">
        <v>29.1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39307077.200000003</v>
      </c>
      <c r="D56" s="285"/>
      <c r="E56" s="57"/>
      <c r="F56" s="57"/>
      <c r="M56" s="63" t="s">
        <v>28</v>
      </c>
      <c r="N56" s="64">
        <v>107987.09</v>
      </c>
      <c r="R56" s="87"/>
      <c r="S56">
        <v>49.8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2705.31</v>
      </c>
      <c r="S57">
        <v>1.9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6537.84</v>
      </c>
      <c r="S58">
        <v>1.8</v>
      </c>
      <c r="Y58" s="4"/>
      <c r="AA58" s="78"/>
      <c r="AB58" s="68"/>
    </row>
    <row r="59" spans="2:28" x14ac:dyDescent="0.25">
      <c r="J59" t="s">
        <v>3</v>
      </c>
      <c r="N59" s="64">
        <v>225442.78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38653197.200000003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72"/>
  <sheetViews>
    <sheetView topLeftCell="A25" workbookViewId="0">
      <selection activeCell="A34" sqref="A34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77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45444</v>
      </c>
      <c r="C7" s="102"/>
      <c r="D7" s="97"/>
      <c r="E7" s="102"/>
      <c r="F7" s="97"/>
      <c r="G7" s="119"/>
      <c r="H7" s="120">
        <f>1500+6000+10000+2000</f>
        <v>19500</v>
      </c>
      <c r="I7" s="119">
        <v>5500</v>
      </c>
      <c r="J7" s="120">
        <v>7950</v>
      </c>
      <c r="K7" s="119"/>
      <c r="L7" s="120">
        <v>57700</v>
      </c>
      <c r="M7" s="56">
        <f>SUM(C7:L7)</f>
        <v>90650</v>
      </c>
      <c r="N7" s="52">
        <v>78650</v>
      </c>
      <c r="O7" s="53">
        <f>N7-M7</f>
        <v>-12000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0">B7+1</f>
        <v>45445</v>
      </c>
      <c r="C8" s="121"/>
      <c r="D8" s="97"/>
      <c r="E8" s="102"/>
      <c r="F8" s="97"/>
      <c r="G8" s="121">
        <f>230000+320000</f>
        <v>550000</v>
      </c>
      <c r="H8" s="97">
        <f>70000+10000</f>
        <v>80000</v>
      </c>
      <c r="I8" s="121"/>
      <c r="J8" s="97"/>
      <c r="K8" s="121"/>
      <c r="L8" s="97">
        <v>7000</v>
      </c>
      <c r="M8" s="56">
        <f>SUM(C8:L8)</f>
        <v>637000</v>
      </c>
      <c r="N8" s="52">
        <v>627000</v>
      </c>
      <c r="O8" s="53">
        <f t="shared" ref="O8:O37" si="1">N8-M8</f>
        <v>-10000</v>
      </c>
      <c r="Z8" s="78"/>
      <c r="AB8" s="68"/>
    </row>
    <row r="9" spans="2:28" x14ac:dyDescent="0.25">
      <c r="B9" s="15">
        <f t="shared" si="0"/>
        <v>45446</v>
      </c>
      <c r="C9" s="102"/>
      <c r="D9" s="122">
        <v>560000</v>
      </c>
      <c r="E9" s="102">
        <f>700000+605000</f>
        <v>1305000</v>
      </c>
      <c r="F9" s="97">
        <v>740000</v>
      </c>
      <c r="G9" s="102">
        <f>300000+410000</f>
        <v>710000</v>
      </c>
      <c r="H9" s="97">
        <f>1500+1500+5000+10000+10000</f>
        <v>28000</v>
      </c>
      <c r="I9" s="102">
        <f>10500+3500</f>
        <v>14000</v>
      </c>
      <c r="J9" s="97"/>
      <c r="K9" s="102"/>
      <c r="L9" s="97">
        <f>10000+16560</f>
        <v>26560</v>
      </c>
      <c r="M9" s="56">
        <f>SUM(C9:L9)</f>
        <v>3383560</v>
      </c>
      <c r="N9" s="51">
        <v>3358560</v>
      </c>
      <c r="O9" s="53">
        <f>N9-M9</f>
        <v>-25000</v>
      </c>
      <c r="P9" s="101"/>
      <c r="Z9" s="78"/>
      <c r="AB9" s="68"/>
    </row>
    <row r="10" spans="2:28" x14ac:dyDescent="0.25">
      <c r="B10" s="15">
        <f t="shared" si="0"/>
        <v>45447</v>
      </c>
      <c r="C10" s="121"/>
      <c r="D10" s="97">
        <f>1620000</f>
        <v>1620000</v>
      </c>
      <c r="E10" s="102"/>
      <c r="F10" s="97">
        <v>900000</v>
      </c>
      <c r="G10" s="121">
        <f>291500</f>
        <v>291500</v>
      </c>
      <c r="H10" s="121">
        <f>590000+401500+1500+2000+10000+10000+2000+3900</f>
        <v>1020900</v>
      </c>
      <c r="I10" s="121"/>
      <c r="J10" s="97">
        <v>15000</v>
      </c>
      <c r="K10" s="121"/>
      <c r="L10" s="97">
        <f>29200</f>
        <v>29200</v>
      </c>
      <c r="M10" s="56">
        <f>SUM(C10:L10)</f>
        <v>3876600</v>
      </c>
      <c r="N10" s="52">
        <v>3852600</v>
      </c>
      <c r="O10" s="53">
        <f t="shared" si="1"/>
        <v>-24000</v>
      </c>
      <c r="P10" s="101"/>
      <c r="Z10" s="78"/>
      <c r="AB10" s="68"/>
    </row>
    <row r="11" spans="2:28" x14ac:dyDescent="0.25">
      <c r="B11" s="15">
        <f t="shared" si="0"/>
        <v>45448</v>
      </c>
      <c r="C11" s="102">
        <v>500000</v>
      </c>
      <c r="D11" s="97">
        <f>350000+600000</f>
        <v>950000</v>
      </c>
      <c r="E11" s="102">
        <v>435000</v>
      </c>
      <c r="F11" s="97">
        <f>700000+370000</f>
        <v>1070000</v>
      </c>
      <c r="G11" s="102">
        <f>370000</f>
        <v>370000</v>
      </c>
      <c r="H11" s="97">
        <f>440000+10000+10000+10000+5000</f>
        <v>475000</v>
      </c>
      <c r="I11" s="102">
        <v>5500</v>
      </c>
      <c r="J11" s="97">
        <f>6000+5520+15000</f>
        <v>26520</v>
      </c>
      <c r="K11" s="102">
        <v>7000</v>
      </c>
      <c r="L11" s="97">
        <v>45140</v>
      </c>
      <c r="M11" s="56">
        <f t="shared" ref="M11:M38" si="2">SUM(C11:L11)</f>
        <v>3884160</v>
      </c>
      <c r="N11" s="52">
        <v>3849160</v>
      </c>
      <c r="O11" s="53">
        <f t="shared" si="1"/>
        <v>-35000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45449</v>
      </c>
      <c r="C12" s="102"/>
      <c r="D12" s="97">
        <v>650000</v>
      </c>
      <c r="E12" s="102"/>
      <c r="F12" s="97">
        <v>550000</v>
      </c>
      <c r="G12" s="102">
        <f>430000</f>
        <v>430000</v>
      </c>
      <c r="H12" s="97">
        <f>25000+10000+2000+1500</f>
        <v>38500</v>
      </c>
      <c r="I12" s="102">
        <v>8500</v>
      </c>
      <c r="J12" s="97">
        <v>6000</v>
      </c>
      <c r="K12" s="102"/>
      <c r="L12" s="97">
        <v>9000</v>
      </c>
      <c r="M12" s="56">
        <f t="shared" si="2"/>
        <v>1692000</v>
      </c>
      <c r="N12" s="51">
        <v>1678500</v>
      </c>
      <c r="O12" s="53">
        <f t="shared" si="1"/>
        <v>-13500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45450</v>
      </c>
      <c r="C13" s="102">
        <v>570000</v>
      </c>
      <c r="D13" s="97">
        <f>1350000</f>
        <v>1350000</v>
      </c>
      <c r="E13" s="102"/>
      <c r="F13" s="97"/>
      <c r="G13" s="102">
        <f>790000</f>
        <v>790000</v>
      </c>
      <c r="H13" s="97">
        <f>1500+1500+110000</f>
        <v>113000</v>
      </c>
      <c r="I13" s="102"/>
      <c r="J13" s="97">
        <f>3500+17200+46307-10200</f>
        <v>56807</v>
      </c>
      <c r="K13" s="102">
        <f>4600+110000</f>
        <v>114600</v>
      </c>
      <c r="L13" s="97">
        <v>5500</v>
      </c>
      <c r="M13" s="56">
        <f t="shared" si="2"/>
        <v>2999907</v>
      </c>
      <c r="N13" s="52">
        <v>2996907</v>
      </c>
      <c r="O13" s="53">
        <f t="shared" si="1"/>
        <v>-3000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45451</v>
      </c>
      <c r="C14" s="102"/>
      <c r="D14" s="97"/>
      <c r="E14" s="102"/>
      <c r="F14" s="97"/>
      <c r="G14" s="102">
        <v>1500</v>
      </c>
      <c r="H14" s="97">
        <f>1500+1500+2000+10000+10000+10000</f>
        <v>35000</v>
      </c>
      <c r="I14" s="102"/>
      <c r="J14" s="97">
        <v>6000</v>
      </c>
      <c r="K14" s="102">
        <v>12500</v>
      </c>
      <c r="L14" s="97">
        <f>5500+5000</f>
        <v>10500</v>
      </c>
      <c r="M14" s="56">
        <f t="shared" si="2"/>
        <v>65500</v>
      </c>
      <c r="N14" s="52">
        <v>35500</v>
      </c>
      <c r="O14" s="53">
        <f t="shared" si="1"/>
        <v>-30000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45452</v>
      </c>
      <c r="C15" s="102"/>
      <c r="D15" s="97"/>
      <c r="E15" s="102"/>
      <c r="F15" s="97"/>
      <c r="G15" s="102"/>
      <c r="H15" s="97">
        <f>1500+10000</f>
        <v>11500</v>
      </c>
      <c r="I15" s="102"/>
      <c r="J15" s="97"/>
      <c r="K15" s="102"/>
      <c r="L15" s="97">
        <v>10500</v>
      </c>
      <c r="M15" s="56">
        <f t="shared" si="2"/>
        <v>22000</v>
      </c>
      <c r="N15" s="51">
        <v>10500</v>
      </c>
      <c r="O15" s="53">
        <f t="shared" si="1"/>
        <v>-11500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45453</v>
      </c>
      <c r="C16" s="136"/>
      <c r="D16" s="97"/>
      <c r="E16" s="102"/>
      <c r="F16" s="97"/>
      <c r="G16" s="136">
        <f>80000+450000</f>
        <v>530000</v>
      </c>
      <c r="H16" s="97">
        <f>101500+340000+1500+10000</f>
        <v>453000</v>
      </c>
      <c r="I16" s="121"/>
      <c r="J16" s="97"/>
      <c r="K16" s="121"/>
      <c r="L16" s="97">
        <f>36500+3289.5</f>
        <v>39789.5</v>
      </c>
      <c r="M16" s="56">
        <f t="shared" si="2"/>
        <v>1022789.5</v>
      </c>
      <c r="N16" s="52">
        <v>1011289.5</v>
      </c>
      <c r="O16" s="53">
        <f t="shared" si="1"/>
        <v>-11500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45454</v>
      </c>
      <c r="C17" s="102"/>
      <c r="D17" s="97">
        <f>850000+650000</f>
        <v>1500000</v>
      </c>
      <c r="E17" s="121">
        <f>700000+100000</f>
        <v>800000</v>
      </c>
      <c r="F17" s="122">
        <v>1110000</v>
      </c>
      <c r="G17" s="102"/>
      <c r="H17" s="122">
        <f>1500+330000+1500+1500</f>
        <v>334500</v>
      </c>
      <c r="I17" s="102"/>
      <c r="J17" s="122">
        <f>4500</f>
        <v>4500</v>
      </c>
      <c r="K17" s="102">
        <f>29.4+20500+1470.6</f>
        <v>22000</v>
      </c>
      <c r="L17" s="122">
        <f>11000</f>
        <v>11000</v>
      </c>
      <c r="M17" s="56">
        <f t="shared" si="2"/>
        <v>3782000</v>
      </c>
      <c r="N17" s="52">
        <v>3779000</v>
      </c>
      <c r="O17" s="53">
        <f t="shared" si="1"/>
        <v>-3000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45455</v>
      </c>
      <c r="C18" s="121">
        <v>2500</v>
      </c>
      <c r="D18" s="97">
        <v>10000</v>
      </c>
      <c r="E18" s="102">
        <v>125000</v>
      </c>
      <c r="F18" s="97">
        <v>5000</v>
      </c>
      <c r="G18" s="121"/>
      <c r="H18" s="97">
        <f>1500+1500+3000+401500+10000</f>
        <v>417500</v>
      </c>
      <c r="I18" s="121">
        <v>3500</v>
      </c>
      <c r="J18" s="97">
        <v>6000</v>
      </c>
      <c r="K18" s="121">
        <v>7000</v>
      </c>
      <c r="L18" s="97">
        <f>12000+24000</f>
        <v>36000</v>
      </c>
      <c r="M18" s="56">
        <f t="shared" si="2"/>
        <v>612500</v>
      </c>
      <c r="N18" s="51">
        <v>602500</v>
      </c>
      <c r="O18" s="53">
        <f t="shared" si="1"/>
        <v>-10000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45456</v>
      </c>
      <c r="C19" s="102"/>
      <c r="D19" s="97">
        <v>750000</v>
      </c>
      <c r="E19" s="102">
        <v>150000</v>
      </c>
      <c r="F19" s="97">
        <v>85000</v>
      </c>
      <c r="G19" s="102"/>
      <c r="H19" s="97">
        <f>10000+1500+3000+1500+1500</f>
        <v>17500</v>
      </c>
      <c r="I19" s="102"/>
      <c r="J19" s="97"/>
      <c r="K19" s="102">
        <v>4000</v>
      </c>
      <c r="L19" s="97">
        <v>3785</v>
      </c>
      <c r="M19" s="56">
        <f>SUM(C19:L19)</f>
        <v>1010285</v>
      </c>
      <c r="N19" s="52">
        <v>1007285</v>
      </c>
      <c r="O19" s="53">
        <f t="shared" si="1"/>
        <v>-3000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45457</v>
      </c>
      <c r="C20" s="102">
        <v>1800000</v>
      </c>
      <c r="D20" s="122"/>
      <c r="E20" s="102">
        <v>10000</v>
      </c>
      <c r="F20" s="97">
        <v>15000</v>
      </c>
      <c r="G20" s="102"/>
      <c r="H20" s="97">
        <f>1500+320000+2000+10000+10000</f>
        <v>343500</v>
      </c>
      <c r="I20" s="102"/>
      <c r="J20" s="97">
        <v>17000</v>
      </c>
      <c r="K20" s="102"/>
      <c r="L20" s="97">
        <v>25600</v>
      </c>
      <c r="M20" s="56">
        <f t="shared" si="2"/>
        <v>2211100</v>
      </c>
      <c r="N20" s="52">
        <v>2191100</v>
      </c>
      <c r="O20" s="53">
        <f t="shared" si="1"/>
        <v>-20000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4.25" customHeight="1" x14ac:dyDescent="0.25">
      <c r="B21" s="15">
        <f>B20+1</f>
        <v>45458</v>
      </c>
      <c r="C21" s="102"/>
      <c r="D21" s="97"/>
      <c r="E21" s="102"/>
      <c r="F21" s="97"/>
      <c r="G21" s="102">
        <f>790000</f>
        <v>790000</v>
      </c>
      <c r="H21" s="97">
        <f>1500+1500+2000</f>
        <v>5000</v>
      </c>
      <c r="I21" s="102"/>
      <c r="J21" s="97"/>
      <c r="K21" s="102">
        <v>7000</v>
      </c>
      <c r="L21" s="97">
        <v>500</v>
      </c>
      <c r="M21" s="56">
        <f t="shared" si="2"/>
        <v>802500</v>
      </c>
      <c r="N21" s="51">
        <v>800500</v>
      </c>
      <c r="O21" s="53">
        <f t="shared" si="1"/>
        <v>-2000</v>
      </c>
      <c r="P21" s="101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0"/>
        <v>45459</v>
      </c>
      <c r="C22" s="102"/>
      <c r="D22" s="97">
        <v>600000</v>
      </c>
      <c r="E22" s="102"/>
      <c r="F22" s="97"/>
      <c r="G22" s="102"/>
      <c r="H22" s="97">
        <f>390000+1500</f>
        <v>391500</v>
      </c>
      <c r="I22" s="102"/>
      <c r="J22" s="97">
        <v>3500</v>
      </c>
      <c r="K22" s="102"/>
      <c r="L22" s="97">
        <v>29750</v>
      </c>
      <c r="M22" s="56">
        <f t="shared" si="2"/>
        <v>1024750</v>
      </c>
      <c r="N22" s="52">
        <v>1023250</v>
      </c>
      <c r="O22" s="53">
        <f t="shared" si="1"/>
        <v>-1500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45460</v>
      </c>
      <c r="C23" s="102"/>
      <c r="D23" s="97"/>
      <c r="E23" s="102"/>
      <c r="F23" s="97">
        <v>630000</v>
      </c>
      <c r="G23" s="102">
        <v>300000</v>
      </c>
      <c r="H23" s="97">
        <f>1500+1500+430000+3000+3000+1500+2000+1500+10000</f>
        <v>454000</v>
      </c>
      <c r="I23" s="102">
        <v>7110</v>
      </c>
      <c r="J23" s="97">
        <v>8200</v>
      </c>
      <c r="K23" s="102"/>
      <c r="L23" s="97">
        <v>13500</v>
      </c>
      <c r="M23" s="56">
        <f t="shared" si="2"/>
        <v>1412810</v>
      </c>
      <c r="N23" s="52">
        <v>1397810</v>
      </c>
      <c r="O23" s="53">
        <f t="shared" si="1"/>
        <v>-15000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45461</v>
      </c>
      <c r="C24" s="121">
        <v>803000</v>
      </c>
      <c r="D24" s="97">
        <f>300000+97000</f>
        <v>397000</v>
      </c>
      <c r="E24" s="102">
        <v>900000</v>
      </c>
      <c r="F24" s="97"/>
      <c r="G24" s="121"/>
      <c r="H24" s="97">
        <f>1500+430000+1500+10000</f>
        <v>443000</v>
      </c>
      <c r="I24" s="121"/>
      <c r="J24" s="97"/>
      <c r="K24" s="121">
        <f>6000+700</f>
        <v>6700</v>
      </c>
      <c r="L24" s="97">
        <f>11000+19640+5000</f>
        <v>35640</v>
      </c>
      <c r="M24" s="56">
        <f t="shared" si="2"/>
        <v>2585340</v>
      </c>
      <c r="N24" s="51">
        <v>2575340</v>
      </c>
      <c r="O24" s="53">
        <f t="shared" si="1"/>
        <v>-10000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45462</v>
      </c>
      <c r="C25" s="102"/>
      <c r="D25" s="97">
        <f>30000+5000</f>
        <v>35000</v>
      </c>
      <c r="E25" s="102"/>
      <c r="F25" s="97">
        <v>1145000</v>
      </c>
      <c r="G25" s="102">
        <v>470000</v>
      </c>
      <c r="H25" s="97">
        <f>1500+1500</f>
        <v>3000</v>
      </c>
      <c r="I25" s="102">
        <v>1700</v>
      </c>
      <c r="J25" s="97">
        <f>6000+6000</f>
        <v>12000</v>
      </c>
      <c r="K25" s="102"/>
      <c r="L25" s="97">
        <v>5000</v>
      </c>
      <c r="M25" s="56">
        <f t="shared" si="2"/>
        <v>1671700</v>
      </c>
      <c r="N25" s="52">
        <v>1670200</v>
      </c>
      <c r="O25" s="53">
        <f t="shared" si="1"/>
        <v>-1500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45463</v>
      </c>
      <c r="C26" s="102">
        <v>800000</v>
      </c>
      <c r="D26" s="97"/>
      <c r="E26" s="102">
        <v>430000</v>
      </c>
      <c r="F26" s="97">
        <v>115000</v>
      </c>
      <c r="G26" s="102">
        <f>300000+790000</f>
        <v>1090000</v>
      </c>
      <c r="H26" s="97">
        <f>10000+1500+10000+1500+1500+1500+10000+10000+10000</f>
        <v>56000</v>
      </c>
      <c r="I26" s="102"/>
      <c r="J26" s="97">
        <f>17000+15000</f>
        <v>32000</v>
      </c>
      <c r="K26" s="102">
        <f>5000+500</f>
        <v>5500</v>
      </c>
      <c r="L26" s="97">
        <f>37000+22653.5</f>
        <v>59653.5</v>
      </c>
      <c r="M26" s="56">
        <f t="shared" si="2"/>
        <v>2588153.5</v>
      </c>
      <c r="N26" s="52">
        <v>2558153.5</v>
      </c>
      <c r="O26" s="53">
        <f t="shared" si="1"/>
        <v>-30000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45464</v>
      </c>
      <c r="C27" s="102"/>
      <c r="D27" s="97">
        <v>650000</v>
      </c>
      <c r="E27" s="102"/>
      <c r="F27" s="97">
        <v>15000</v>
      </c>
      <c r="G27" s="102">
        <f>160000</f>
        <v>160000</v>
      </c>
      <c r="H27" s="97">
        <f>1500+440000+430000+360000+1500+10000+620000</f>
        <v>1863000</v>
      </c>
      <c r="I27" s="102">
        <f>1964</f>
        <v>1964</v>
      </c>
      <c r="J27" s="137">
        <f>9610+5000+13270.1</f>
        <v>27880.1</v>
      </c>
      <c r="K27" s="102"/>
      <c r="L27" s="97">
        <f>8313+5000+364</f>
        <v>13677</v>
      </c>
      <c r="M27" s="56">
        <f t="shared" si="2"/>
        <v>2731521.1</v>
      </c>
      <c r="N27" s="154">
        <v>2720021.1</v>
      </c>
      <c r="O27" s="155">
        <f t="shared" si="1"/>
        <v>-11500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45465</v>
      </c>
      <c r="C28" s="102"/>
      <c r="D28" s="97"/>
      <c r="E28" s="102"/>
      <c r="F28" s="97"/>
      <c r="G28" s="102"/>
      <c r="H28" s="97">
        <f>1500+6000+10000+10000+2000+10000</f>
        <v>39500</v>
      </c>
      <c r="I28" s="102"/>
      <c r="J28" s="97"/>
      <c r="K28" s="102"/>
      <c r="L28" s="97">
        <f>18000</f>
        <v>18000</v>
      </c>
      <c r="M28" s="156">
        <f t="shared" si="2"/>
        <v>57500</v>
      </c>
      <c r="N28" s="157">
        <v>25500</v>
      </c>
      <c r="O28" s="155">
        <f t="shared" si="1"/>
        <v>-32000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45466</v>
      </c>
      <c r="C29" s="102"/>
      <c r="D29" s="97"/>
      <c r="E29" s="102"/>
      <c r="F29" s="97"/>
      <c r="G29" s="102">
        <v>1500</v>
      </c>
      <c r="H29" s="97">
        <f>6000+10000+10000+10000</f>
        <v>36000</v>
      </c>
      <c r="I29" s="102"/>
      <c r="J29" s="97">
        <v>30000</v>
      </c>
      <c r="K29" s="102"/>
      <c r="L29" s="97">
        <v>23275</v>
      </c>
      <c r="M29" s="56">
        <f t="shared" si="2"/>
        <v>90775</v>
      </c>
      <c r="N29" s="52">
        <v>60775</v>
      </c>
      <c r="O29" s="53">
        <f t="shared" si="1"/>
        <v>-30000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45467</v>
      </c>
      <c r="C30" s="138"/>
      <c r="D30" s="137"/>
      <c r="E30" s="102"/>
      <c r="F30" s="97"/>
      <c r="G30" s="102"/>
      <c r="H30" s="97">
        <f>121500+430000+1500+1500+1500+2000</f>
        <v>558000</v>
      </c>
      <c r="I30" s="102">
        <v>6000</v>
      </c>
      <c r="J30" s="97">
        <v>12000</v>
      </c>
      <c r="K30" s="138"/>
      <c r="L30" s="137">
        <f>3929+890.72</f>
        <v>4819.72</v>
      </c>
      <c r="M30" s="56">
        <f t="shared" si="2"/>
        <v>580819.72</v>
      </c>
      <c r="N30" s="51">
        <f>574929+891</f>
        <v>575820</v>
      </c>
      <c r="O30" s="53">
        <f t="shared" si="1"/>
        <v>-4999.7199999999721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45468</v>
      </c>
      <c r="C31" s="121"/>
      <c r="D31" s="97"/>
      <c r="E31" s="102">
        <v>1250000</v>
      </c>
      <c r="F31" s="97"/>
      <c r="G31" s="121"/>
      <c r="H31" s="97">
        <f>1500+200000+1500+10000</f>
        <v>213000</v>
      </c>
      <c r="I31" s="102"/>
      <c r="J31" s="97">
        <f>8500+12000</f>
        <v>20500</v>
      </c>
      <c r="K31" s="138"/>
      <c r="L31" s="137">
        <f>5000+500</f>
        <v>5500</v>
      </c>
      <c r="M31" s="56">
        <f t="shared" si="2"/>
        <v>1489000</v>
      </c>
      <c r="N31" s="51">
        <v>1477500</v>
      </c>
      <c r="O31" s="53">
        <f t="shared" si="1"/>
        <v>-11500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45469</v>
      </c>
      <c r="C32" s="102"/>
      <c r="D32" s="97"/>
      <c r="E32" s="102">
        <v>500000</v>
      </c>
      <c r="F32" s="97">
        <v>860000</v>
      </c>
      <c r="G32" s="102"/>
      <c r="H32" s="97">
        <f>6000+520000+10000+10000+10000+4000+10000</f>
        <v>570000</v>
      </c>
      <c r="I32" s="102"/>
      <c r="J32" s="97"/>
      <c r="K32" s="102">
        <f>5500+15500</f>
        <v>21000</v>
      </c>
      <c r="L32" s="97">
        <v>12000</v>
      </c>
      <c r="M32" s="156">
        <f t="shared" si="2"/>
        <v>1963000</v>
      </c>
      <c r="N32" s="157">
        <v>1919000</v>
      </c>
      <c r="O32" s="155">
        <f t="shared" si="1"/>
        <v>-44000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45470</v>
      </c>
      <c r="C33" s="102"/>
      <c r="D33" s="97"/>
      <c r="E33" s="102"/>
      <c r="F33" s="97">
        <v>760000</v>
      </c>
      <c r="G33" s="102"/>
      <c r="H33" s="97">
        <f>440000+430000</f>
        <v>870000</v>
      </c>
      <c r="I33" s="102"/>
      <c r="J33" s="97"/>
      <c r="K33" s="102"/>
      <c r="L33" s="97">
        <f>9200+2979.9</f>
        <v>12179.9</v>
      </c>
      <c r="M33" s="56">
        <f t="shared" si="2"/>
        <v>1642179.9</v>
      </c>
      <c r="N33" s="51">
        <v>1642179.9</v>
      </c>
      <c r="O33" s="53">
        <f t="shared" si="1"/>
        <v>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45471</v>
      </c>
      <c r="C34" s="102"/>
      <c r="D34" s="97"/>
      <c r="E34" s="102">
        <v>10000</v>
      </c>
      <c r="F34" s="97">
        <v>15000</v>
      </c>
      <c r="G34" s="138">
        <v>410000</v>
      </c>
      <c r="H34" s="137">
        <f>3000+440000+300000+10000+1500</f>
        <v>754500</v>
      </c>
      <c r="I34" s="138"/>
      <c r="J34" s="137"/>
      <c r="K34" s="138">
        <v>5000</v>
      </c>
      <c r="L34" s="137">
        <f>4500+7000</f>
        <v>11500</v>
      </c>
      <c r="M34" s="156">
        <f>SUM(C34:L34)</f>
        <v>1206000</v>
      </c>
      <c r="N34" s="157">
        <v>1194500</v>
      </c>
      <c r="O34" s="53">
        <f t="shared" si="1"/>
        <v>-11500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45472</v>
      </c>
      <c r="C35" s="102"/>
      <c r="D35" s="97"/>
      <c r="E35" s="102"/>
      <c r="F35" s="97"/>
      <c r="G35" s="102">
        <f>420000+21000</f>
        <v>441000</v>
      </c>
      <c r="H35" s="97">
        <f>10000+321500+90000+10000</f>
        <v>431500</v>
      </c>
      <c r="I35" s="102"/>
      <c r="J35" s="97">
        <v>6000</v>
      </c>
      <c r="K35" s="102"/>
      <c r="L35" s="97"/>
      <c r="M35" s="56">
        <f t="shared" si="2"/>
        <v>878500</v>
      </c>
      <c r="N35" s="54">
        <v>868500</v>
      </c>
      <c r="O35" s="55">
        <f t="shared" si="1"/>
        <v>-10000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45473</v>
      </c>
      <c r="C36" s="102"/>
      <c r="D36" s="97"/>
      <c r="E36" s="102"/>
      <c r="F36" s="97"/>
      <c r="G36" s="102">
        <v>1500</v>
      </c>
      <c r="H36" s="97">
        <f>1500+3000+1500</f>
        <v>6000</v>
      </c>
      <c r="I36" s="102"/>
      <c r="J36" s="97"/>
      <c r="K36" s="102"/>
      <c r="L36" s="97">
        <f>16000+1548</f>
        <v>17548</v>
      </c>
      <c r="M36" s="56">
        <f t="shared" si="2"/>
        <v>25048</v>
      </c>
      <c r="N36" s="54">
        <v>23548</v>
      </c>
      <c r="O36" s="55">
        <f t="shared" si="1"/>
        <v>-1500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02"/>
      <c r="D37" s="97"/>
      <c r="E37" s="102"/>
      <c r="F37" s="97"/>
      <c r="G37" s="102"/>
      <c r="H37" s="97"/>
      <c r="I37" s="102"/>
      <c r="J37" s="97"/>
      <c r="K37" s="102"/>
      <c r="L37" s="97"/>
      <c r="M37" s="56">
        <f t="shared" si="2"/>
        <v>0</v>
      </c>
      <c r="N37" s="54"/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4475500</v>
      </c>
      <c r="D39" s="25">
        <f>SUM(D7:D38)</f>
        <v>9072000</v>
      </c>
      <c r="E39" s="24">
        <f t="shared" ref="E39:K39" si="3">SUM(E7:E38)</f>
        <v>5915000</v>
      </c>
      <c r="F39" s="59">
        <f t="shared" si="3"/>
        <v>8015000</v>
      </c>
      <c r="G39" s="24">
        <f t="shared" si="3"/>
        <v>7337000</v>
      </c>
      <c r="H39" s="25">
        <f t="shared" si="3"/>
        <v>10081400</v>
      </c>
      <c r="I39" s="24">
        <f t="shared" si="3"/>
        <v>53774</v>
      </c>
      <c r="J39" s="25">
        <f t="shared" si="3"/>
        <v>297857.09999999998</v>
      </c>
      <c r="K39" s="24">
        <f t="shared" si="3"/>
        <v>212300</v>
      </c>
      <c r="L39" s="25">
        <f>SUM(L7:L38)</f>
        <v>579817.62</v>
      </c>
      <c r="M39" s="28">
        <f>SUM(M7:M38)</f>
        <v>46039648.719999999</v>
      </c>
      <c r="N39" s="27">
        <f>SUM(N7:N38)</f>
        <v>45611149</v>
      </c>
      <c r="O39" s="26">
        <f>N39-M39</f>
        <v>-428499.71999999881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13547500</v>
      </c>
      <c r="D40" s="282"/>
      <c r="E40" s="267">
        <f>SUM(E39:F39)</f>
        <v>13930000</v>
      </c>
      <c r="F40" s="269"/>
      <c r="G40" s="281">
        <f>SUM(G39:H39)</f>
        <v>17418400</v>
      </c>
      <c r="H40" s="282"/>
      <c r="I40" s="267">
        <f>SUM(I39:J39)</f>
        <v>351631.1</v>
      </c>
      <c r="J40" s="268"/>
      <c r="K40" s="281">
        <f>SUM(K39:L39)</f>
        <v>792117.62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45412</v>
      </c>
      <c r="C45" s="3">
        <v>0</v>
      </c>
      <c r="D45" s="14"/>
      <c r="E45" s="3">
        <v>0</v>
      </c>
      <c r="F45" s="14">
        <v>1515000</v>
      </c>
      <c r="G45" s="3">
        <v>0</v>
      </c>
      <c r="H45" s="14">
        <v>162000</v>
      </c>
      <c r="I45" s="3">
        <v>0</v>
      </c>
      <c r="J45" s="14"/>
      <c r="K45" s="134">
        <v>0</v>
      </c>
      <c r="L45" s="14">
        <v>302000</v>
      </c>
      <c r="M45" s="3">
        <f>SUM(C45:L45)</f>
        <v>1979000</v>
      </c>
      <c r="N45" s="3">
        <v>1979000</v>
      </c>
      <c r="O45" s="3">
        <f>N45-M45</f>
        <v>0</v>
      </c>
      <c r="P45" s="85">
        <v>45444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45443</v>
      </c>
      <c r="C48" s="3">
        <v>0</v>
      </c>
      <c r="D48" s="14"/>
      <c r="E48" s="3">
        <v>0</v>
      </c>
      <c r="F48" s="14"/>
      <c r="G48" s="3">
        <v>0</v>
      </c>
      <c r="H48" s="14">
        <v>1500</v>
      </c>
      <c r="I48" s="3">
        <v>0</v>
      </c>
      <c r="J48" s="14"/>
      <c r="K48" s="134">
        <v>0</v>
      </c>
      <c r="L48" s="14">
        <v>14000</v>
      </c>
      <c r="M48" s="3">
        <f>SUM(C48:L48)</f>
        <v>15500</v>
      </c>
      <c r="N48" s="3">
        <v>22048</v>
      </c>
      <c r="O48" s="3">
        <f>N48-M48</f>
        <v>6548</v>
      </c>
      <c r="P48" s="151">
        <v>45474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1515000</v>
      </c>
      <c r="F50" s="263"/>
      <c r="G50" s="262">
        <f>H45+H46-H47-H48</f>
        <v>160500</v>
      </c>
      <c r="H50" s="263"/>
      <c r="I50" s="262">
        <f>J45+J46-J47-J48</f>
        <v>0</v>
      </c>
      <c r="J50" s="263"/>
      <c r="K50" s="262">
        <f>L45+L46-L47-L48</f>
        <v>288000</v>
      </c>
      <c r="L50" s="263"/>
    </row>
    <row r="51" spans="2:28" x14ac:dyDescent="0.25">
      <c r="B51" s="264" t="s">
        <v>12</v>
      </c>
      <c r="C51" s="264"/>
      <c r="D51" s="31">
        <f>D39+D50</f>
        <v>9072000</v>
      </c>
      <c r="E51" s="265">
        <f>F39+E50</f>
        <v>9530000</v>
      </c>
      <c r="F51" s="266"/>
      <c r="G51" s="265">
        <f>H39+G50</f>
        <v>10241900</v>
      </c>
      <c r="H51" s="266"/>
      <c r="I51" s="286">
        <f>J39+I50</f>
        <v>297857.09999999998</v>
      </c>
      <c r="J51" s="287"/>
      <c r="K51" s="265">
        <f>L39+K50</f>
        <v>867817.62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30009574.720000003</v>
      </c>
      <c r="E52" s="283"/>
      <c r="F52" s="283"/>
      <c r="G52" s="283"/>
      <c r="H52" s="283"/>
      <c r="I52" s="163"/>
      <c r="J52" s="163"/>
      <c r="K52" s="163"/>
      <c r="L52" s="163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67681.600000000006</v>
      </c>
      <c r="P54" s="87"/>
      <c r="S54">
        <v>28.22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17993574</v>
      </c>
      <c r="D55" s="149">
        <f>D39+H39+F39+J39+L39</f>
        <v>28046074.720000003</v>
      </c>
      <c r="E55" s="58"/>
      <c r="F55" s="58"/>
      <c r="M55" s="63" t="s">
        <v>25</v>
      </c>
      <c r="N55" s="64">
        <v>77155.11</v>
      </c>
      <c r="P55" s="88"/>
      <c r="S55">
        <v>32.17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46039648.719999999</v>
      </c>
      <c r="D56" s="285"/>
      <c r="E56" s="57"/>
      <c r="F56" s="57"/>
      <c r="M56" s="63" t="s">
        <v>28</v>
      </c>
      <c r="N56" s="64">
        <v>87827.79</v>
      </c>
      <c r="R56" s="87"/>
      <c r="S56">
        <v>36.619999999999997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1774.78</v>
      </c>
      <c r="S57">
        <v>0.74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5396.3</v>
      </c>
      <c r="S58">
        <v>2.25</v>
      </c>
      <c r="Y58" s="4"/>
      <c r="AA58" s="78"/>
      <c r="AB58" s="68"/>
    </row>
    <row r="59" spans="2:28" x14ac:dyDescent="0.25">
      <c r="J59" t="s">
        <v>3</v>
      </c>
      <c r="N59" s="64">
        <v>239835.58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48003148.719999999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72"/>
  <sheetViews>
    <sheetView topLeftCell="A25" workbookViewId="0">
      <selection activeCell="E4" sqref="E4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81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45474</v>
      </c>
      <c r="C7" s="102"/>
      <c r="D7" s="97">
        <v>170000</v>
      </c>
      <c r="E7" s="102"/>
      <c r="F7" s="97">
        <v>650000</v>
      </c>
      <c r="G7" s="119">
        <f>490000+350000</f>
        <v>840000</v>
      </c>
      <c r="H7" s="120">
        <f>2000+1500+10000</f>
        <v>13500</v>
      </c>
      <c r="I7" s="119"/>
      <c r="J7" s="120">
        <f>10500+6000+17720+60000</f>
        <v>94220</v>
      </c>
      <c r="K7" s="119"/>
      <c r="L7" s="120">
        <v>45750</v>
      </c>
      <c r="M7" s="56">
        <f t="shared" ref="M7:M14" si="0">SUM(C7:L7)</f>
        <v>1813470</v>
      </c>
      <c r="N7" s="52">
        <v>1803470</v>
      </c>
      <c r="O7" s="53">
        <f>N7-M7</f>
        <v>-10000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45475</v>
      </c>
      <c r="C8" s="121"/>
      <c r="D8" s="97">
        <f>600000+1800000</f>
        <v>2400000</v>
      </c>
      <c r="E8" s="102">
        <v>5000</v>
      </c>
      <c r="F8" s="97">
        <v>505000</v>
      </c>
      <c r="G8" s="121"/>
      <c r="H8" s="97">
        <f>10000+590000+510000+420000+1500+1500+10000+10000</f>
        <v>1553000</v>
      </c>
      <c r="I8" s="121"/>
      <c r="J8" s="97">
        <v>6000</v>
      </c>
      <c r="K8" s="121">
        <v>20500</v>
      </c>
      <c r="L8" s="97">
        <v>10950</v>
      </c>
      <c r="M8" s="56">
        <f t="shared" si="0"/>
        <v>4500450</v>
      </c>
      <c r="N8" s="52">
        <v>4480450</v>
      </c>
      <c r="O8" s="53">
        <f t="shared" ref="O8:O37" si="2">N8-M8</f>
        <v>-20000</v>
      </c>
      <c r="Z8" s="78"/>
      <c r="AB8" s="68"/>
    </row>
    <row r="9" spans="2:28" x14ac:dyDescent="0.25">
      <c r="B9" s="15">
        <f t="shared" si="1"/>
        <v>45476</v>
      </c>
      <c r="C9" s="102">
        <v>5000</v>
      </c>
      <c r="D9" s="122">
        <f>700000+607500</f>
        <v>1307500</v>
      </c>
      <c r="E9" s="102"/>
      <c r="F9" s="97">
        <v>550000</v>
      </c>
      <c r="G9" s="102">
        <v>400000</v>
      </c>
      <c r="H9" s="97">
        <f>390000+430000+6000+10000+10000</f>
        <v>846000</v>
      </c>
      <c r="I9" s="102"/>
      <c r="J9" s="97">
        <v>1500</v>
      </c>
      <c r="K9" s="102"/>
      <c r="L9" s="97">
        <v>5000</v>
      </c>
      <c r="M9" s="56">
        <f t="shared" si="0"/>
        <v>3115000</v>
      </c>
      <c r="N9" s="51">
        <v>3095000</v>
      </c>
      <c r="O9" s="53">
        <f t="shared" si="2"/>
        <v>-20000</v>
      </c>
      <c r="P9" s="101"/>
      <c r="Z9" s="78"/>
      <c r="AB9" s="68"/>
    </row>
    <row r="10" spans="2:28" x14ac:dyDescent="0.25">
      <c r="B10" s="15">
        <f t="shared" si="1"/>
        <v>45477</v>
      </c>
      <c r="C10" s="102"/>
      <c r="D10" s="122">
        <v>750000</v>
      </c>
      <c r="E10" s="102">
        <v>5000</v>
      </c>
      <c r="F10" s="97">
        <v>5000</v>
      </c>
      <c r="G10" s="102">
        <v>450000</v>
      </c>
      <c r="H10" s="97">
        <f>410000+10000</f>
        <v>420000</v>
      </c>
      <c r="I10" s="102"/>
      <c r="J10" s="97">
        <v>3500</v>
      </c>
      <c r="K10" s="102"/>
      <c r="L10" s="97">
        <v>23000</v>
      </c>
      <c r="M10" s="56">
        <f t="shared" si="0"/>
        <v>1656500</v>
      </c>
      <c r="N10" s="51">
        <v>1646500</v>
      </c>
      <c r="O10" s="53">
        <f>N10-M10</f>
        <v>-10000</v>
      </c>
      <c r="P10" s="101"/>
      <c r="Z10" s="78"/>
      <c r="AB10" s="68"/>
    </row>
    <row r="11" spans="2:28" x14ac:dyDescent="0.25">
      <c r="B11" s="15">
        <f t="shared" si="1"/>
        <v>45478</v>
      </c>
      <c r="C11" s="121"/>
      <c r="D11" s="97"/>
      <c r="E11" s="102"/>
      <c r="F11" s="97"/>
      <c r="G11" s="121">
        <v>270000</v>
      </c>
      <c r="H11" s="121">
        <f>1500+420000+495000+2000+1500+1500+10000+10000</f>
        <v>941500</v>
      </c>
      <c r="I11" s="121"/>
      <c r="J11" s="97">
        <f>307800+6000+6000</f>
        <v>319800</v>
      </c>
      <c r="K11" s="121"/>
      <c r="L11" s="97"/>
      <c r="M11" s="56">
        <f t="shared" si="0"/>
        <v>1531300</v>
      </c>
      <c r="N11" s="52">
        <v>1508300</v>
      </c>
      <c r="O11" s="53">
        <f>N11-M11</f>
        <v>-23000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45479</v>
      </c>
      <c r="C12" s="102"/>
      <c r="D12" s="97"/>
      <c r="E12" s="102"/>
      <c r="F12" s="97"/>
      <c r="G12" s="102">
        <v>2000</v>
      </c>
      <c r="H12" s="97">
        <f>10000+381500+6000+350000+1500+10000+10000</f>
        <v>769000</v>
      </c>
      <c r="I12" s="102"/>
      <c r="J12" s="97">
        <f>6000+19110</f>
        <v>25110</v>
      </c>
      <c r="K12" s="102"/>
      <c r="L12" s="97"/>
      <c r="M12" s="56">
        <f t="shared" si="0"/>
        <v>796110</v>
      </c>
      <c r="N12" s="52">
        <v>776110</v>
      </c>
      <c r="O12" s="53">
        <f>N12-M12</f>
        <v>-20000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45480</v>
      </c>
      <c r="C13" s="102"/>
      <c r="D13" s="97">
        <v>600000</v>
      </c>
      <c r="E13" s="102"/>
      <c r="F13" s="97"/>
      <c r="G13" s="102"/>
      <c r="H13" s="97">
        <f>10000+421500+2000+1500</f>
        <v>435000</v>
      </c>
      <c r="I13" s="102"/>
      <c r="J13" s="97">
        <v>8500</v>
      </c>
      <c r="K13" s="102"/>
      <c r="L13" s="97"/>
      <c r="M13" s="56">
        <f t="shared" si="0"/>
        <v>1043500</v>
      </c>
      <c r="N13" s="52">
        <v>1041500</v>
      </c>
      <c r="O13" s="53">
        <f>N13-M13</f>
        <v>-2000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45481</v>
      </c>
      <c r="C14" s="102">
        <v>5000</v>
      </c>
      <c r="D14" s="97">
        <v>10000</v>
      </c>
      <c r="E14" s="102"/>
      <c r="F14" s="97"/>
      <c r="G14" s="102">
        <f>400000+5500+550000</f>
        <v>955500</v>
      </c>
      <c r="H14" s="97">
        <f>790000+29000+1500+2000+291500+10000</f>
        <v>1124000</v>
      </c>
      <c r="I14" s="102"/>
      <c r="J14" s="97">
        <f>5500+75000</f>
        <v>80500</v>
      </c>
      <c r="K14" s="102"/>
      <c r="L14" s="97"/>
      <c r="M14" s="56">
        <f t="shared" si="0"/>
        <v>2175000</v>
      </c>
      <c r="N14" s="51">
        <v>2165000</v>
      </c>
      <c r="O14" s="53">
        <f>N14-M14</f>
        <v>-10000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45482</v>
      </c>
      <c r="C15" s="102">
        <f>900000+1500000</f>
        <v>2400000</v>
      </c>
      <c r="D15" s="97"/>
      <c r="E15" s="102">
        <v>290000</v>
      </c>
      <c r="F15" s="97">
        <f>743500+15000</f>
        <v>758500</v>
      </c>
      <c r="G15" s="102"/>
      <c r="H15" s="97">
        <f>350000+340000+1500+38110+1500+10000+10000+1500</f>
        <v>752610</v>
      </c>
      <c r="I15" s="102"/>
      <c r="J15" s="97">
        <f>6000+12000+30000</f>
        <v>48000</v>
      </c>
      <c r="K15" s="102">
        <v>12800</v>
      </c>
      <c r="L15" s="97"/>
      <c r="M15" s="56">
        <f t="shared" ref="M15:M38" si="3">SUM(C15:L15)</f>
        <v>4261910</v>
      </c>
      <c r="N15" s="51">
        <v>4240410</v>
      </c>
      <c r="O15" s="53">
        <f t="shared" si="2"/>
        <v>-21500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45483</v>
      </c>
      <c r="C16" s="136">
        <v>10000</v>
      </c>
      <c r="D16" s="97">
        <v>15000</v>
      </c>
      <c r="E16" s="102"/>
      <c r="F16" s="97">
        <v>450000</v>
      </c>
      <c r="G16" s="136"/>
      <c r="H16" s="97">
        <f>1500+7000+2000</f>
        <v>10500</v>
      </c>
      <c r="I16" s="121"/>
      <c r="J16" s="97">
        <v>12500</v>
      </c>
      <c r="K16" s="121"/>
      <c r="L16" s="97"/>
      <c r="M16" s="56">
        <f t="shared" si="3"/>
        <v>498000</v>
      </c>
      <c r="N16" s="52">
        <v>496000</v>
      </c>
      <c r="O16" s="53">
        <f t="shared" si="2"/>
        <v>-2000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45484</v>
      </c>
      <c r="C17" s="102">
        <v>850000</v>
      </c>
      <c r="D17" s="97">
        <v>750000</v>
      </c>
      <c r="E17" s="121"/>
      <c r="F17" s="122">
        <v>5000</v>
      </c>
      <c r="G17" s="102"/>
      <c r="H17" s="122">
        <f>480000+550000+1500+1500+2000+10000</f>
        <v>1045000</v>
      </c>
      <c r="I17" s="102"/>
      <c r="J17" s="122">
        <f>3500+10500+2000</f>
        <v>16000</v>
      </c>
      <c r="K17" s="102">
        <v>15000</v>
      </c>
      <c r="L17" s="122">
        <f>5500+5500</f>
        <v>11000</v>
      </c>
      <c r="M17" s="56">
        <f t="shared" si="3"/>
        <v>2692000</v>
      </c>
      <c r="N17" s="52">
        <v>2675000</v>
      </c>
      <c r="O17" s="53">
        <f t="shared" si="2"/>
        <v>-17000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45485</v>
      </c>
      <c r="C18" s="121"/>
      <c r="D18" s="97"/>
      <c r="E18" s="102">
        <v>5000</v>
      </c>
      <c r="F18" s="97">
        <v>20000</v>
      </c>
      <c r="G18" s="121">
        <f>330000+380000</f>
        <v>710000</v>
      </c>
      <c r="H18" s="97">
        <f>40000+1500+2000</f>
        <v>43500</v>
      </c>
      <c r="I18" s="121">
        <v>1500</v>
      </c>
      <c r="J18" s="97">
        <f>4500+11100+1500</f>
        <v>17100</v>
      </c>
      <c r="K18" s="121"/>
      <c r="L18" s="97">
        <v>10000</v>
      </c>
      <c r="M18" s="56">
        <f t="shared" si="3"/>
        <v>807100</v>
      </c>
      <c r="N18" s="51">
        <v>807100</v>
      </c>
      <c r="O18" s="53">
        <f t="shared" si="2"/>
        <v>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45486</v>
      </c>
      <c r="C19" s="102"/>
      <c r="D19" s="97"/>
      <c r="E19" s="102"/>
      <c r="F19" s="97"/>
      <c r="G19" s="102">
        <v>10000</v>
      </c>
      <c r="H19" s="97">
        <f>1500+640000+371500+1500+10000+10000</f>
        <v>1034500</v>
      </c>
      <c r="I19" s="102">
        <f>15000</f>
        <v>15000</v>
      </c>
      <c r="J19" s="97">
        <f>15800+18100</f>
        <v>33900</v>
      </c>
      <c r="K19" s="102">
        <f>5500+3900</f>
        <v>9400</v>
      </c>
      <c r="L19" s="97">
        <v>10500</v>
      </c>
      <c r="M19" s="56">
        <f>SUM(C19:L19)</f>
        <v>1113300</v>
      </c>
      <c r="N19" s="52">
        <v>1091800</v>
      </c>
      <c r="O19" s="53">
        <f t="shared" si="2"/>
        <v>-21500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45487</v>
      </c>
      <c r="C20" s="102"/>
      <c r="D20" s="122">
        <v>330000</v>
      </c>
      <c r="E20" s="102"/>
      <c r="F20" s="97"/>
      <c r="G20" s="102">
        <v>1500</v>
      </c>
      <c r="H20" s="97">
        <v>10000</v>
      </c>
      <c r="I20" s="102"/>
      <c r="J20" s="97">
        <v>15000</v>
      </c>
      <c r="K20" s="102"/>
      <c r="L20" s="97"/>
      <c r="M20" s="56">
        <f t="shared" si="3"/>
        <v>356500</v>
      </c>
      <c r="N20" s="52">
        <v>346500</v>
      </c>
      <c r="O20" s="53">
        <f t="shared" si="2"/>
        <v>-10000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4.25" customHeight="1" x14ac:dyDescent="0.25">
      <c r="B21" s="15">
        <f>B20+1</f>
        <v>45488</v>
      </c>
      <c r="C21" s="102"/>
      <c r="D21" s="97"/>
      <c r="E21" s="102"/>
      <c r="F21" s="97"/>
      <c r="G21" s="102"/>
      <c r="H21" s="97">
        <v>350000</v>
      </c>
      <c r="I21" s="102"/>
      <c r="J21" s="97">
        <v>8500</v>
      </c>
      <c r="K21" s="102"/>
      <c r="L21" s="97">
        <f>64200</f>
        <v>64200</v>
      </c>
      <c r="M21" s="56">
        <f t="shared" si="3"/>
        <v>422700</v>
      </c>
      <c r="N21" s="51">
        <v>422700</v>
      </c>
      <c r="O21" s="53">
        <f t="shared" si="2"/>
        <v>0</v>
      </c>
      <c r="P21" s="101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1"/>
        <v>45489</v>
      </c>
      <c r="C22" s="102"/>
      <c r="D22" s="97"/>
      <c r="E22" s="102">
        <v>715000</v>
      </c>
      <c r="F22" s="97">
        <f>635000</f>
        <v>635000</v>
      </c>
      <c r="G22" s="102"/>
      <c r="H22" s="97">
        <f>400000+1500</f>
        <v>401500</v>
      </c>
      <c r="I22" s="102"/>
      <c r="J22" s="97">
        <v>1700</v>
      </c>
      <c r="K22" s="102"/>
      <c r="L22" s="97">
        <f>3000+9200+12000</f>
        <v>24200</v>
      </c>
      <c r="M22" s="56">
        <f t="shared" si="3"/>
        <v>1777400</v>
      </c>
      <c r="N22" s="52">
        <v>1777400</v>
      </c>
      <c r="O22" s="53">
        <f t="shared" si="2"/>
        <v>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45490</v>
      </c>
      <c r="C23" s="102"/>
      <c r="D23" s="97"/>
      <c r="E23" s="102">
        <v>5000</v>
      </c>
      <c r="F23" s="97"/>
      <c r="G23" s="102">
        <f>1500+300000+310000</f>
        <v>611500</v>
      </c>
      <c r="H23" s="97">
        <f>150000+4500+350000+10000+10000+10000+10000+1500+10000</f>
        <v>556000</v>
      </c>
      <c r="I23" s="102"/>
      <c r="J23" s="97">
        <v>7110</v>
      </c>
      <c r="K23" s="102"/>
      <c r="L23" s="97"/>
      <c r="M23" s="56">
        <f t="shared" si="3"/>
        <v>1179610</v>
      </c>
      <c r="N23" s="52">
        <v>1128110</v>
      </c>
      <c r="O23" s="53">
        <f t="shared" si="2"/>
        <v>-51500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45491</v>
      </c>
      <c r="C24" s="121"/>
      <c r="D24" s="97"/>
      <c r="E24" s="102">
        <v>5000</v>
      </c>
      <c r="F24" s="97">
        <v>580000</v>
      </c>
      <c r="G24" s="121">
        <v>300000</v>
      </c>
      <c r="H24" s="97">
        <f>750000+3000+430000</f>
        <v>1183000</v>
      </c>
      <c r="I24" s="121">
        <f>5000</f>
        <v>5000</v>
      </c>
      <c r="J24" s="97">
        <f>2500+3500</f>
        <v>6000</v>
      </c>
      <c r="K24" s="121"/>
      <c r="L24" s="97">
        <v>31500</v>
      </c>
      <c r="M24" s="56">
        <f t="shared" si="3"/>
        <v>2110500</v>
      </c>
      <c r="N24" s="51">
        <v>2110500</v>
      </c>
      <c r="O24" s="53">
        <f t="shared" si="2"/>
        <v>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45492</v>
      </c>
      <c r="C25" s="102"/>
      <c r="D25" s="97"/>
      <c r="E25" s="102">
        <v>5000</v>
      </c>
      <c r="F25" s="97">
        <v>25000</v>
      </c>
      <c r="G25" s="102">
        <v>4000</v>
      </c>
      <c r="H25" s="97">
        <f>10000+1500+2000+1500+1500</f>
        <v>16500</v>
      </c>
      <c r="I25" s="102"/>
      <c r="J25" s="97">
        <f>1700+6000+1300</f>
        <v>9000</v>
      </c>
      <c r="K25" s="102"/>
      <c r="L25" s="97">
        <v>7000</v>
      </c>
      <c r="M25" s="56">
        <f t="shared" si="3"/>
        <v>66500</v>
      </c>
      <c r="N25" s="52">
        <v>61500</v>
      </c>
      <c r="O25" s="53">
        <f t="shared" si="2"/>
        <v>-5000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45493</v>
      </c>
      <c r="C26" s="102"/>
      <c r="D26" s="97"/>
      <c r="E26" s="102"/>
      <c r="F26" s="97"/>
      <c r="G26" s="102"/>
      <c r="H26" s="97">
        <f>370000+1500+1500+440000+420000+10000+1500+1500+10000</f>
        <v>1256000</v>
      </c>
      <c r="I26" s="102"/>
      <c r="J26" s="97">
        <v>7500</v>
      </c>
      <c r="K26" s="102"/>
      <c r="L26" s="97"/>
      <c r="M26" s="56">
        <f t="shared" si="3"/>
        <v>1263500</v>
      </c>
      <c r="N26" s="52">
        <v>1240500</v>
      </c>
      <c r="O26" s="53">
        <f t="shared" si="2"/>
        <v>-23000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45494</v>
      </c>
      <c r="C27" s="102"/>
      <c r="D27" s="97"/>
      <c r="E27" s="102"/>
      <c r="F27" s="97"/>
      <c r="G27" s="102">
        <f>410000+2000</f>
        <v>412000</v>
      </c>
      <c r="H27" s="97">
        <f>20000+1500+2000+3000</f>
        <v>26500</v>
      </c>
      <c r="I27" s="102"/>
      <c r="J27" s="137">
        <v>15000</v>
      </c>
      <c r="K27" s="102"/>
      <c r="L27" s="97"/>
      <c r="M27" s="56">
        <f t="shared" si="3"/>
        <v>453500</v>
      </c>
      <c r="N27" s="154">
        <v>453500</v>
      </c>
      <c r="O27" s="155">
        <f t="shared" si="2"/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45495</v>
      </c>
      <c r="C28" s="102"/>
      <c r="D28" s="97"/>
      <c r="E28" s="102"/>
      <c r="F28" s="97"/>
      <c r="G28" s="102"/>
      <c r="H28" s="97">
        <f>400000+3000+1500+10000+10000+1500</f>
        <v>426000</v>
      </c>
      <c r="I28" s="102"/>
      <c r="J28" s="97">
        <f>15000+10500+1161</f>
        <v>26661</v>
      </c>
      <c r="K28" s="102">
        <v>7000</v>
      </c>
      <c r="L28" s="97">
        <f>5500+5500</f>
        <v>11000</v>
      </c>
      <c r="M28" s="156">
        <f t="shared" si="3"/>
        <v>470661</v>
      </c>
      <c r="N28" s="157">
        <v>449161</v>
      </c>
      <c r="O28" s="155">
        <f t="shared" si="2"/>
        <v>-21500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45496</v>
      </c>
      <c r="C29" s="102"/>
      <c r="D29" s="97"/>
      <c r="E29" s="102"/>
      <c r="F29" s="97"/>
      <c r="G29" s="102"/>
      <c r="H29" s="97">
        <f>200000+25000+300000+10000+2000+10000</f>
        <v>547000</v>
      </c>
      <c r="I29" s="102"/>
      <c r="J29" s="97"/>
      <c r="K29" s="102">
        <v>4400</v>
      </c>
      <c r="L29" s="97">
        <f>11100</f>
        <v>11100</v>
      </c>
      <c r="M29" s="56">
        <f t="shared" si="3"/>
        <v>562500</v>
      </c>
      <c r="N29" s="52">
        <v>540500</v>
      </c>
      <c r="O29" s="53">
        <f t="shared" si="2"/>
        <v>-22000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45497</v>
      </c>
      <c r="C30" s="138"/>
      <c r="D30" s="137"/>
      <c r="E30" s="102"/>
      <c r="F30" s="97"/>
      <c r="G30" s="102"/>
      <c r="H30" s="97">
        <f>3000+3000+1500+1500+10000</f>
        <v>19000</v>
      </c>
      <c r="I30" s="102"/>
      <c r="J30" s="97">
        <f>17020+11320</f>
        <v>28340</v>
      </c>
      <c r="K30" s="138"/>
      <c r="L30" s="137">
        <f>3700+7000</f>
        <v>10700</v>
      </c>
      <c r="M30" s="56">
        <f t="shared" si="3"/>
        <v>58040</v>
      </c>
      <c r="N30" s="51">
        <v>46540</v>
      </c>
      <c r="O30" s="53">
        <f t="shared" si="2"/>
        <v>-11500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45498</v>
      </c>
      <c r="C31" s="121"/>
      <c r="D31" s="97"/>
      <c r="E31" s="102"/>
      <c r="F31" s="97"/>
      <c r="G31" s="121"/>
      <c r="H31" s="97">
        <f>10000+300000</f>
        <v>310000</v>
      </c>
      <c r="I31" s="102"/>
      <c r="J31" s="97">
        <v>4400</v>
      </c>
      <c r="K31" s="102"/>
      <c r="L31" s="97">
        <f>38800+5500</f>
        <v>44300</v>
      </c>
      <c r="M31" s="56">
        <f t="shared" si="3"/>
        <v>358700</v>
      </c>
      <c r="N31" s="51">
        <v>348700</v>
      </c>
      <c r="O31" s="53">
        <f t="shared" si="2"/>
        <v>-10000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45499</v>
      </c>
      <c r="C32" s="102"/>
      <c r="D32" s="97"/>
      <c r="E32" s="102"/>
      <c r="F32" s="97"/>
      <c r="G32" s="102">
        <v>300000</v>
      </c>
      <c r="H32" s="97">
        <f>240000+435000</f>
        <v>675000</v>
      </c>
      <c r="I32" s="102"/>
      <c r="J32" s="97">
        <v>6000</v>
      </c>
      <c r="K32" s="102">
        <v>17000</v>
      </c>
      <c r="L32" s="97">
        <v>16000</v>
      </c>
      <c r="M32" s="156">
        <f t="shared" si="3"/>
        <v>1014000</v>
      </c>
      <c r="N32" s="157">
        <v>1014000</v>
      </c>
      <c r="O32" s="155">
        <f t="shared" si="2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45500</v>
      </c>
      <c r="C33" s="102"/>
      <c r="D33" s="97"/>
      <c r="E33" s="102"/>
      <c r="F33" s="97"/>
      <c r="G33" s="102">
        <v>550000</v>
      </c>
      <c r="H33" s="97">
        <v>1500</v>
      </c>
      <c r="I33" s="102">
        <v>3500</v>
      </c>
      <c r="J33" s="97">
        <v>6000</v>
      </c>
      <c r="K33" s="102"/>
      <c r="L33" s="97">
        <v>13800</v>
      </c>
      <c r="M33" s="56">
        <f t="shared" si="3"/>
        <v>574800</v>
      </c>
      <c r="N33" s="51">
        <v>574800</v>
      </c>
      <c r="O33" s="53">
        <f t="shared" si="2"/>
        <v>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45501</v>
      </c>
      <c r="C34" s="102"/>
      <c r="D34" s="97"/>
      <c r="E34" s="102"/>
      <c r="F34" s="97"/>
      <c r="G34" s="138"/>
      <c r="H34" s="137">
        <f>10000+10000</f>
        <v>20000</v>
      </c>
      <c r="I34" s="138"/>
      <c r="J34" s="137"/>
      <c r="K34" s="138"/>
      <c r="L34" s="137"/>
      <c r="M34" s="156">
        <f>SUM(C34:L34)</f>
        <v>20000</v>
      </c>
      <c r="N34" s="157"/>
      <c r="O34" s="53">
        <f t="shared" si="2"/>
        <v>-20000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45502</v>
      </c>
      <c r="C35" s="102"/>
      <c r="D35" s="97"/>
      <c r="E35" s="102"/>
      <c r="F35" s="97"/>
      <c r="G35" s="102">
        <f>340000+4000+380000</f>
        <v>724000</v>
      </c>
      <c r="H35" s="97">
        <f>15000+350000+2000+1500+2000+1500</f>
        <v>372000</v>
      </c>
      <c r="I35" s="102">
        <v>3500</v>
      </c>
      <c r="J35" s="97"/>
      <c r="K35" s="102">
        <v>7000</v>
      </c>
      <c r="L35" s="97">
        <v>3000</v>
      </c>
      <c r="M35" s="56">
        <f t="shared" si="3"/>
        <v>1109500</v>
      </c>
      <c r="N35" s="54">
        <v>1102500</v>
      </c>
      <c r="O35" s="55">
        <f t="shared" si="2"/>
        <v>-7000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45503</v>
      </c>
      <c r="C36" s="102"/>
      <c r="D36" s="97"/>
      <c r="E36" s="102"/>
      <c r="F36" s="97"/>
      <c r="G36" s="102"/>
      <c r="H36" s="97">
        <f>4500+1500+1500+10000</f>
        <v>17500</v>
      </c>
      <c r="I36" s="102"/>
      <c r="J36" s="97"/>
      <c r="K36" s="102"/>
      <c r="L36" s="97">
        <v>27600</v>
      </c>
      <c r="M36" s="56">
        <f t="shared" si="3"/>
        <v>45100</v>
      </c>
      <c r="N36" s="54">
        <v>35100</v>
      </c>
      <c r="O36" s="55">
        <f t="shared" si="2"/>
        <v>-10000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45504</v>
      </c>
      <c r="C37" s="102"/>
      <c r="D37" s="97"/>
      <c r="E37" s="102"/>
      <c r="F37" s="97"/>
      <c r="G37" s="102">
        <v>1500</v>
      </c>
      <c r="H37" s="97">
        <f>460000+4000+1500</f>
        <v>465500</v>
      </c>
      <c r="I37" s="102">
        <v>378</v>
      </c>
      <c r="J37" s="97"/>
      <c r="K37" s="102"/>
      <c r="L37" s="97">
        <v>35300</v>
      </c>
      <c r="M37" s="56">
        <f t="shared" si="3"/>
        <v>502678</v>
      </c>
      <c r="N37" s="54">
        <v>501178</v>
      </c>
      <c r="O37" s="55">
        <f t="shared" si="2"/>
        <v>-1500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3270000</v>
      </c>
      <c r="D39" s="25">
        <f>SUM(D7:D38)</f>
        <v>6332500</v>
      </c>
      <c r="E39" s="24">
        <f t="shared" ref="E39:K39" si="4">SUM(E7:E38)</f>
        <v>1035000</v>
      </c>
      <c r="F39" s="59">
        <f t="shared" si="4"/>
        <v>4183500</v>
      </c>
      <c r="G39" s="24">
        <f t="shared" si="4"/>
        <v>6542000</v>
      </c>
      <c r="H39" s="25">
        <f t="shared" si="4"/>
        <v>15641110</v>
      </c>
      <c r="I39" s="24">
        <f t="shared" si="4"/>
        <v>28878</v>
      </c>
      <c r="J39" s="25">
        <f t="shared" si="4"/>
        <v>807841</v>
      </c>
      <c r="K39" s="24">
        <f t="shared" si="4"/>
        <v>93100</v>
      </c>
      <c r="L39" s="25">
        <f>SUM(L7:L38)</f>
        <v>415900</v>
      </c>
      <c r="M39" s="28">
        <f>SUM(M7:M38)</f>
        <v>38349829</v>
      </c>
      <c r="N39" s="27">
        <f>SUM(N7:N38)</f>
        <v>37979829</v>
      </c>
      <c r="O39" s="26">
        <f>N39-M39</f>
        <v>-370000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9602500</v>
      </c>
      <c r="D40" s="282"/>
      <c r="E40" s="267">
        <f>SUM(E39:F39)</f>
        <v>5218500</v>
      </c>
      <c r="F40" s="269"/>
      <c r="G40" s="281">
        <f>SUM(G39:H39)</f>
        <v>22183110</v>
      </c>
      <c r="H40" s="282"/>
      <c r="I40" s="267">
        <f>SUM(I39:J39)</f>
        <v>836719</v>
      </c>
      <c r="J40" s="268"/>
      <c r="K40" s="281">
        <f>SUM(K39:L39)</f>
        <v>509000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45473</v>
      </c>
      <c r="C45" s="3">
        <v>0</v>
      </c>
      <c r="D45" s="14"/>
      <c r="E45" s="3">
        <v>0</v>
      </c>
      <c r="F45" s="14"/>
      <c r="G45" s="3">
        <v>0</v>
      </c>
      <c r="H45" s="14">
        <v>1500</v>
      </c>
      <c r="I45" s="3">
        <v>0</v>
      </c>
      <c r="J45" s="14"/>
      <c r="K45" s="134">
        <v>0</v>
      </c>
      <c r="L45" s="14">
        <v>14000</v>
      </c>
      <c r="M45" s="3">
        <f>SUM(C45:L45)</f>
        <v>15500</v>
      </c>
      <c r="N45" s="3"/>
      <c r="O45" s="3">
        <f>N45-M45</f>
        <v>-15500</v>
      </c>
      <c r="P45" s="85">
        <v>45474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45504</v>
      </c>
      <c r="C48" s="3">
        <v>0</v>
      </c>
      <c r="D48" s="14"/>
      <c r="E48" s="3">
        <v>0</v>
      </c>
      <c r="F48" s="14"/>
      <c r="G48" s="3">
        <v>0</v>
      </c>
      <c r="H48" s="14">
        <v>462000</v>
      </c>
      <c r="I48" s="3">
        <v>0</v>
      </c>
      <c r="J48" s="14"/>
      <c r="K48" s="134">
        <v>0</v>
      </c>
      <c r="L48" s="14">
        <v>35300</v>
      </c>
      <c r="M48" s="3">
        <f>SUM(C48:L48)</f>
        <v>497300</v>
      </c>
      <c r="N48" s="3"/>
      <c r="O48" s="3">
        <f>N48-M48</f>
        <v>-497300</v>
      </c>
      <c r="P48" s="151">
        <v>45505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0</v>
      </c>
      <c r="F50" s="263"/>
      <c r="G50" s="262">
        <f>H45+H46-H47-H48</f>
        <v>-460500</v>
      </c>
      <c r="H50" s="263"/>
      <c r="I50" s="262">
        <f>J45+J46-J47-J48</f>
        <v>0</v>
      </c>
      <c r="J50" s="263"/>
      <c r="K50" s="262">
        <f>L45+L46-L47-L48</f>
        <v>-21300</v>
      </c>
      <c r="L50" s="263"/>
    </row>
    <row r="51" spans="2:28" x14ac:dyDescent="0.25">
      <c r="B51" s="264" t="s">
        <v>12</v>
      </c>
      <c r="C51" s="264"/>
      <c r="D51" s="31">
        <f>D39+D50</f>
        <v>6332500</v>
      </c>
      <c r="E51" s="265">
        <f>F39+E50</f>
        <v>4183500</v>
      </c>
      <c r="F51" s="266"/>
      <c r="G51" s="265">
        <f>H39+G50</f>
        <v>15180610</v>
      </c>
      <c r="H51" s="266"/>
      <c r="I51" s="286">
        <f>J39+I50</f>
        <v>807841</v>
      </c>
      <c r="J51" s="287"/>
      <c r="K51" s="265">
        <f>L39+K50</f>
        <v>394600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26899051</v>
      </c>
      <c r="E52" s="283"/>
      <c r="F52" s="283"/>
      <c r="G52" s="283"/>
      <c r="H52" s="283"/>
      <c r="I52" s="164"/>
      <c r="J52" s="164"/>
      <c r="K52" s="164"/>
      <c r="L52" s="164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55091.97</v>
      </c>
      <c r="P54" s="87"/>
      <c r="S54">
        <v>23.5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10968978</v>
      </c>
      <c r="D55" s="149">
        <f>D39+H39+F39+J39+L39</f>
        <v>27380851</v>
      </c>
      <c r="E55" s="58"/>
      <c r="F55" s="58"/>
      <c r="M55" s="63" t="s">
        <v>25</v>
      </c>
      <c r="N55" s="64">
        <v>36571.69</v>
      </c>
      <c r="P55" s="88"/>
      <c r="S55">
        <v>15.6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38349829</v>
      </c>
      <c r="D56" s="285"/>
      <c r="E56" s="57"/>
      <c r="F56" s="57"/>
      <c r="M56" s="63" t="s">
        <v>28</v>
      </c>
      <c r="N56" s="64">
        <v>132220.73000000001</v>
      </c>
      <c r="R56" s="87"/>
      <c r="S56">
        <v>56.4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7033.02</v>
      </c>
      <c r="S57">
        <v>3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3516.51</v>
      </c>
      <c r="S58">
        <v>1.5</v>
      </c>
      <c r="Y58" s="4"/>
      <c r="AA58" s="78"/>
      <c r="AB58" s="68"/>
    </row>
    <row r="59" spans="2:28" x14ac:dyDescent="0.25">
      <c r="J59" t="s">
        <v>3</v>
      </c>
      <c r="N59" s="64">
        <v>234433.92000000001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37868029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72"/>
  <sheetViews>
    <sheetView topLeftCell="A25" workbookViewId="0">
      <selection activeCell="O39" sqref="O39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86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45505</v>
      </c>
      <c r="C7" s="102"/>
      <c r="D7" s="97"/>
      <c r="E7" s="102"/>
      <c r="F7" s="97"/>
      <c r="G7" s="119"/>
      <c r="H7" s="120">
        <f>1500+1500+10000+10000</f>
        <v>23000</v>
      </c>
      <c r="I7" s="119"/>
      <c r="J7" s="120"/>
      <c r="K7" s="119"/>
      <c r="L7" s="120">
        <f>15000+5000</f>
        <v>20000</v>
      </c>
      <c r="M7" s="56">
        <f t="shared" ref="M7:M14" si="0">SUM(C7:L7)</f>
        <v>43000</v>
      </c>
      <c r="N7" s="52">
        <v>21500</v>
      </c>
      <c r="O7" s="53">
        <f>N7-M7</f>
        <v>-21500</v>
      </c>
      <c r="P7" s="68" t="s">
        <v>129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45506</v>
      </c>
      <c r="C8" s="121"/>
      <c r="D8" s="97"/>
      <c r="E8" s="102"/>
      <c r="F8" s="97">
        <v>10000</v>
      </c>
      <c r="G8" s="121">
        <v>140000</v>
      </c>
      <c r="H8" s="97">
        <f>430000+25000+400000+250000+1500+10000+10000</f>
        <v>1126500</v>
      </c>
      <c r="I8" s="121"/>
      <c r="J8" s="97"/>
      <c r="K8" s="121"/>
      <c r="L8" s="97">
        <f>14000+5500</f>
        <v>19500</v>
      </c>
      <c r="M8" s="56">
        <f t="shared" si="0"/>
        <v>1296000</v>
      </c>
      <c r="N8" s="52">
        <v>1274500</v>
      </c>
      <c r="O8" s="53">
        <f t="shared" ref="O8:O37" si="2">N8-M8</f>
        <v>-21500</v>
      </c>
      <c r="Z8" s="78"/>
      <c r="AB8" s="68"/>
    </row>
    <row r="9" spans="2:28" x14ac:dyDescent="0.25">
      <c r="B9" s="15">
        <f t="shared" si="1"/>
        <v>45507</v>
      </c>
      <c r="C9" s="102"/>
      <c r="D9" s="122"/>
      <c r="E9" s="102">
        <v>175000</v>
      </c>
      <c r="F9" s="97">
        <v>705000</v>
      </c>
      <c r="G9" s="102">
        <v>360000</v>
      </c>
      <c r="H9" s="97">
        <f>1500+401500+6000+390000+440000+10000+1500</f>
        <v>1250500</v>
      </c>
      <c r="I9" s="102"/>
      <c r="J9" s="97">
        <v>6000</v>
      </c>
      <c r="K9" s="102"/>
      <c r="L9" s="97">
        <v>16500</v>
      </c>
      <c r="M9" s="56">
        <f t="shared" si="0"/>
        <v>2513000</v>
      </c>
      <c r="N9" s="51">
        <v>2501500</v>
      </c>
      <c r="O9" s="53">
        <f t="shared" si="2"/>
        <v>-11500</v>
      </c>
      <c r="P9" s="101"/>
      <c r="Z9" s="78"/>
      <c r="AB9" s="68"/>
    </row>
    <row r="10" spans="2:28" x14ac:dyDescent="0.25">
      <c r="B10" s="15">
        <f t="shared" si="1"/>
        <v>45508</v>
      </c>
      <c r="C10" s="102"/>
      <c r="D10" s="122"/>
      <c r="E10" s="102"/>
      <c r="F10" s="97"/>
      <c r="G10" s="102">
        <v>1500</v>
      </c>
      <c r="H10" s="97">
        <f>1500</f>
        <v>1500</v>
      </c>
      <c r="I10" s="102"/>
      <c r="J10" s="97"/>
      <c r="K10" s="102"/>
      <c r="L10" s="97">
        <v>47000</v>
      </c>
      <c r="M10" s="56">
        <f t="shared" si="0"/>
        <v>50000</v>
      </c>
      <c r="N10" s="51">
        <v>50000</v>
      </c>
      <c r="O10" s="53">
        <f>N10-M10</f>
        <v>0</v>
      </c>
      <c r="P10" s="101"/>
      <c r="Z10" s="78"/>
      <c r="AB10" s="68"/>
    </row>
    <row r="11" spans="2:28" x14ac:dyDescent="0.25">
      <c r="B11" s="15">
        <f t="shared" si="1"/>
        <v>45509</v>
      </c>
      <c r="C11" s="121">
        <v>5000</v>
      </c>
      <c r="D11" s="97">
        <v>10000</v>
      </c>
      <c r="E11" s="102"/>
      <c r="F11" s="97"/>
      <c r="G11" s="121"/>
      <c r="H11" s="121">
        <f>1500+300000+1500+52000+10000+10000</f>
        <v>375000</v>
      </c>
      <c r="I11" s="121"/>
      <c r="J11" s="97"/>
      <c r="K11" s="121"/>
      <c r="L11" s="97">
        <f>7000+2000</f>
        <v>9000</v>
      </c>
      <c r="M11" s="56">
        <f t="shared" si="0"/>
        <v>399000</v>
      </c>
      <c r="N11" s="52">
        <v>379000</v>
      </c>
      <c r="O11" s="53">
        <f>N11-M11</f>
        <v>-20000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45510</v>
      </c>
      <c r="C12" s="102"/>
      <c r="D12" s="97">
        <v>850000</v>
      </c>
      <c r="E12" s="102">
        <v>125000</v>
      </c>
      <c r="F12" s="97">
        <v>535000</v>
      </c>
      <c r="G12" s="102">
        <v>400000</v>
      </c>
      <c r="H12" s="97">
        <f>10000+600000+2000+340000+10000+1500+2000+2000</f>
        <v>967500</v>
      </c>
      <c r="I12" s="102"/>
      <c r="J12" s="97">
        <v>1302</v>
      </c>
      <c r="K12" s="102">
        <v>15000</v>
      </c>
      <c r="L12" s="97">
        <f>11800</f>
        <v>11800</v>
      </c>
      <c r="M12" s="56">
        <f t="shared" si="0"/>
        <v>2905602</v>
      </c>
      <c r="N12" s="52">
        <v>2890102</v>
      </c>
      <c r="O12" s="53">
        <f>N12-M12</f>
        <v>-15500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45511</v>
      </c>
      <c r="C13" s="102"/>
      <c r="D13" s="97">
        <v>850000</v>
      </c>
      <c r="E13" s="102">
        <v>10000</v>
      </c>
      <c r="F13" s="97">
        <v>705000</v>
      </c>
      <c r="G13" s="102">
        <f>3000+400000</f>
        <v>403000</v>
      </c>
      <c r="H13" s="97">
        <f>10000+1500+1500+1500</f>
        <v>14500</v>
      </c>
      <c r="I13" s="102"/>
      <c r="J13" s="97">
        <v>7000</v>
      </c>
      <c r="K13" s="102">
        <v>21000</v>
      </c>
      <c r="L13" s="97">
        <v>24000</v>
      </c>
      <c r="M13" s="56">
        <f t="shared" si="0"/>
        <v>2034500</v>
      </c>
      <c r="N13" s="52">
        <v>2033000</v>
      </c>
      <c r="O13" s="53">
        <f>N13-M13</f>
        <v>-1500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45512</v>
      </c>
      <c r="C14" s="102">
        <v>215000</v>
      </c>
      <c r="D14" s="97">
        <v>1285000</v>
      </c>
      <c r="E14" s="102"/>
      <c r="F14" s="97">
        <v>810000</v>
      </c>
      <c r="G14" s="102"/>
      <c r="H14" s="97">
        <f>10000+4000+1500</f>
        <v>15500</v>
      </c>
      <c r="I14" s="102"/>
      <c r="J14" s="97">
        <v>6000</v>
      </c>
      <c r="K14" s="102"/>
      <c r="L14" s="97">
        <f>7000</f>
        <v>7000</v>
      </c>
      <c r="M14" s="56">
        <f t="shared" si="0"/>
        <v>2338500</v>
      </c>
      <c r="N14" s="51">
        <v>2328500</v>
      </c>
      <c r="O14" s="53">
        <f>N14-M14</f>
        <v>-10000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45513</v>
      </c>
      <c r="C15" s="102">
        <v>600000</v>
      </c>
      <c r="D15" s="97"/>
      <c r="E15" s="102">
        <v>5000</v>
      </c>
      <c r="F15" s="97">
        <v>20000</v>
      </c>
      <c r="G15" s="102"/>
      <c r="H15" s="97">
        <f>1500+400000+420000+10000+10000</f>
        <v>841500</v>
      </c>
      <c r="I15" s="102"/>
      <c r="J15" s="97">
        <v>49100</v>
      </c>
      <c r="K15" s="102"/>
      <c r="L15" s="97">
        <v>37000</v>
      </c>
      <c r="M15" s="56">
        <f t="shared" ref="M15:M38" si="3">SUM(C15:L15)</f>
        <v>1552600</v>
      </c>
      <c r="N15" s="51">
        <v>1532600</v>
      </c>
      <c r="O15" s="53">
        <f t="shared" si="2"/>
        <v>-20000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45514</v>
      </c>
      <c r="C16" s="136"/>
      <c r="D16" s="97"/>
      <c r="E16" s="102"/>
      <c r="F16" s="97"/>
      <c r="G16" s="136">
        <f>1500+1500</f>
        <v>3000</v>
      </c>
      <c r="H16" s="97">
        <f>20000+1500+4500+1500+1500+1500+10000</f>
        <v>40500</v>
      </c>
      <c r="I16" s="121"/>
      <c r="J16" s="97">
        <v>6200</v>
      </c>
      <c r="K16" s="121"/>
      <c r="L16" s="97"/>
      <c r="M16" s="56">
        <f t="shared" si="3"/>
        <v>49700</v>
      </c>
      <c r="N16" s="52">
        <v>35200</v>
      </c>
      <c r="O16" s="53">
        <f t="shared" si="2"/>
        <v>-14500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45515</v>
      </c>
      <c r="C17" s="102"/>
      <c r="D17" s="97"/>
      <c r="E17" s="121"/>
      <c r="F17" s="122">
        <v>500000</v>
      </c>
      <c r="G17" s="102"/>
      <c r="H17" s="122">
        <f>320000+2000+1500+10000+10000+2000</f>
        <v>345500</v>
      </c>
      <c r="I17" s="102"/>
      <c r="J17" s="122">
        <f>3500+3900</f>
        <v>7400</v>
      </c>
      <c r="K17" s="102"/>
      <c r="L17" s="122"/>
      <c r="M17" s="56">
        <f t="shared" si="3"/>
        <v>852900</v>
      </c>
      <c r="N17" s="52">
        <v>829400</v>
      </c>
      <c r="O17" s="53">
        <f t="shared" si="2"/>
        <v>-23500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45516</v>
      </c>
      <c r="C18" s="121">
        <v>5000</v>
      </c>
      <c r="D18" s="97">
        <v>602500</v>
      </c>
      <c r="E18" s="102">
        <v>840000</v>
      </c>
      <c r="F18" s="97">
        <v>5000</v>
      </c>
      <c r="G18" s="121"/>
      <c r="H18" s="97">
        <f>680000+1500+5000+1500</f>
        <v>688000</v>
      </c>
      <c r="I18" s="121"/>
      <c r="J18" s="97">
        <v>15000</v>
      </c>
      <c r="K18" s="121"/>
      <c r="L18" s="97">
        <v>13200</v>
      </c>
      <c r="M18" s="56">
        <f t="shared" si="3"/>
        <v>2168700</v>
      </c>
      <c r="N18" s="51">
        <v>2162200</v>
      </c>
      <c r="O18" s="53">
        <f t="shared" si="2"/>
        <v>-6500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45517</v>
      </c>
      <c r="C19" s="102"/>
      <c r="D19" s="97">
        <f>600000+880000</f>
        <v>1480000</v>
      </c>
      <c r="E19" s="102"/>
      <c r="F19" s="97">
        <v>655000</v>
      </c>
      <c r="G19" s="102">
        <v>1500</v>
      </c>
      <c r="H19" s="97">
        <f>10000+810000+1500+1500+1500</f>
        <v>824500</v>
      </c>
      <c r="I19" s="102"/>
      <c r="J19" s="97">
        <f>6200+3500</f>
        <v>9700</v>
      </c>
      <c r="K19" s="102"/>
      <c r="L19" s="97">
        <v>5500</v>
      </c>
      <c r="M19" s="56">
        <f>SUM(C19:L19)</f>
        <v>2976200</v>
      </c>
      <c r="N19" s="52">
        <v>2974700</v>
      </c>
      <c r="O19" s="53">
        <f t="shared" si="2"/>
        <v>-1500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45518</v>
      </c>
      <c r="C20" s="102">
        <v>5000</v>
      </c>
      <c r="D20" s="122">
        <v>20000</v>
      </c>
      <c r="E20" s="102"/>
      <c r="F20" s="97"/>
      <c r="G20" s="102"/>
      <c r="H20" s="97">
        <f>440000+200000+1500+10000</f>
        <v>651500</v>
      </c>
      <c r="I20" s="102">
        <v>6000</v>
      </c>
      <c r="J20" s="97"/>
      <c r="K20" s="102"/>
      <c r="L20" s="97">
        <f>10500+8980.8+31500</f>
        <v>50980.800000000003</v>
      </c>
      <c r="M20" s="56">
        <f t="shared" si="3"/>
        <v>733480.8</v>
      </c>
      <c r="N20" s="52">
        <v>723480.8</v>
      </c>
      <c r="O20" s="53">
        <f t="shared" si="2"/>
        <v>-10000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4.25" customHeight="1" x14ac:dyDescent="0.25">
      <c r="B21" s="15">
        <f>B20+1</f>
        <v>45519</v>
      </c>
      <c r="C21" s="102">
        <v>580000</v>
      </c>
      <c r="D21" s="97">
        <f>700000+750000</f>
        <v>1450000</v>
      </c>
      <c r="E21" s="102"/>
      <c r="F21" s="97">
        <v>960000</v>
      </c>
      <c r="G21" s="102">
        <f>1500+350000+460000+2000-10000</f>
        <v>803500</v>
      </c>
      <c r="H21" s="97">
        <f>1500+430000+370000+1500+10000</f>
        <v>813000</v>
      </c>
      <c r="I21" s="102">
        <f>25000+7000</f>
        <v>32000</v>
      </c>
      <c r="J21" s="97">
        <f>18450</f>
        <v>18450</v>
      </c>
      <c r="K21" s="102">
        <v>15000</v>
      </c>
      <c r="L21" s="97">
        <f>14500+41700+127000+9400</f>
        <v>192600</v>
      </c>
      <c r="M21" s="56">
        <f t="shared" si="3"/>
        <v>4864550</v>
      </c>
      <c r="N21" s="51">
        <v>4863050</v>
      </c>
      <c r="O21" s="53">
        <f t="shared" si="2"/>
        <v>-1500</v>
      </c>
      <c r="P21" s="101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1"/>
        <v>45520</v>
      </c>
      <c r="C22" s="102"/>
      <c r="D22" s="97"/>
      <c r="E22" s="102">
        <v>10000</v>
      </c>
      <c r="F22" s="97">
        <v>30000</v>
      </c>
      <c r="G22" s="102">
        <f>96000+640000</f>
        <v>736000</v>
      </c>
      <c r="H22" s="97">
        <f>6000+492000+3000+244000</f>
        <v>745000</v>
      </c>
      <c r="I22" s="102"/>
      <c r="J22" s="97">
        <v>52950</v>
      </c>
      <c r="K22" s="102"/>
      <c r="L22" s="97">
        <v>24000</v>
      </c>
      <c r="M22" s="56">
        <f t="shared" si="3"/>
        <v>1597950</v>
      </c>
      <c r="N22" s="52">
        <v>1597950</v>
      </c>
      <c r="O22" s="53">
        <f t="shared" si="2"/>
        <v>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45521</v>
      </c>
      <c r="C23" s="102"/>
      <c r="D23" s="97"/>
      <c r="E23" s="102"/>
      <c r="F23" s="97"/>
      <c r="G23" s="102"/>
      <c r="H23" s="97">
        <f>6000+8000+10000</f>
        <v>24000</v>
      </c>
      <c r="I23" s="102"/>
      <c r="J23" s="97">
        <v>18900</v>
      </c>
      <c r="K23" s="102"/>
      <c r="L23" s="97"/>
      <c r="M23" s="56">
        <f t="shared" si="3"/>
        <v>42900</v>
      </c>
      <c r="N23" s="52">
        <v>32900</v>
      </c>
      <c r="O23" s="53">
        <f t="shared" si="2"/>
        <v>-10000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45522</v>
      </c>
      <c r="C24" s="121">
        <v>600000</v>
      </c>
      <c r="D24" s="97"/>
      <c r="E24" s="102"/>
      <c r="F24" s="97"/>
      <c r="G24" s="121">
        <v>500000</v>
      </c>
      <c r="H24" s="97">
        <f>391500+10000</f>
        <v>401500</v>
      </c>
      <c r="I24" s="121"/>
      <c r="J24" s="97">
        <v>6000</v>
      </c>
      <c r="K24" s="121"/>
      <c r="L24" s="97"/>
      <c r="M24" s="56">
        <f t="shared" si="3"/>
        <v>1507500</v>
      </c>
      <c r="N24" s="51">
        <v>1497500</v>
      </c>
      <c r="O24" s="53">
        <f t="shared" si="2"/>
        <v>-10000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45523</v>
      </c>
      <c r="C25" s="102"/>
      <c r="D25" s="97"/>
      <c r="E25" s="102"/>
      <c r="F25" s="97"/>
      <c r="G25" s="102">
        <f>299000</f>
        <v>299000</v>
      </c>
      <c r="H25" s="97">
        <f>301500+151000+370000+10000+10000</f>
        <v>842500</v>
      </c>
      <c r="I25" s="102"/>
      <c r="J25" s="97"/>
      <c r="K25" s="102">
        <v>7000</v>
      </c>
      <c r="L25" s="97">
        <v>41000</v>
      </c>
      <c r="M25" s="56">
        <f t="shared" si="3"/>
        <v>1189500</v>
      </c>
      <c r="N25" s="52">
        <v>1169500</v>
      </c>
      <c r="O25" s="53">
        <f t="shared" si="2"/>
        <v>-20000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45524</v>
      </c>
      <c r="C26" s="102">
        <v>600000</v>
      </c>
      <c r="D26" s="97">
        <v>650000</v>
      </c>
      <c r="E26" s="102"/>
      <c r="F26" s="97"/>
      <c r="G26" s="102"/>
      <c r="H26" s="97">
        <f>300000+420000+1500+10000+10000+1500</f>
        <v>743000</v>
      </c>
      <c r="I26" s="102">
        <v>6200</v>
      </c>
      <c r="J26" s="97"/>
      <c r="K26" s="102"/>
      <c r="L26" s="97"/>
      <c r="M26" s="56">
        <f t="shared" si="3"/>
        <v>1999200</v>
      </c>
      <c r="N26" s="52">
        <v>1977700</v>
      </c>
      <c r="O26" s="53">
        <f t="shared" si="2"/>
        <v>-21500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45525</v>
      </c>
      <c r="C27" s="102"/>
      <c r="D27" s="97">
        <v>550000</v>
      </c>
      <c r="E27" s="102"/>
      <c r="F27" s="97"/>
      <c r="G27" s="102">
        <v>3000</v>
      </c>
      <c r="H27" s="97">
        <f>190000+1500+450000+1500+370000+10000+10000+2000+10000</f>
        <v>1045000</v>
      </c>
      <c r="I27" s="102"/>
      <c r="J27" s="137">
        <v>6200</v>
      </c>
      <c r="K27" s="102"/>
      <c r="L27" s="97">
        <f>3250+34500+5500</f>
        <v>43250</v>
      </c>
      <c r="M27" s="56">
        <f t="shared" si="3"/>
        <v>1647450</v>
      </c>
      <c r="N27" s="154">
        <v>1615450</v>
      </c>
      <c r="O27" s="155">
        <f t="shared" si="2"/>
        <v>-32000</v>
      </c>
      <c r="P27" s="68" t="s">
        <v>130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45526</v>
      </c>
      <c r="C28" s="102">
        <v>1020000</v>
      </c>
      <c r="D28" s="97"/>
      <c r="E28" s="102"/>
      <c r="F28" s="97"/>
      <c r="G28" s="102">
        <f>1500+2000</f>
        <v>3500</v>
      </c>
      <c r="H28" s="97">
        <f>8500+7500+3000+4000+10000</f>
        <v>33000</v>
      </c>
      <c r="I28" s="102"/>
      <c r="J28" s="97"/>
      <c r="K28" s="102">
        <f>104000+5000</f>
        <v>109000</v>
      </c>
      <c r="L28" s="97">
        <f>5500+20400</f>
        <v>25900</v>
      </c>
      <c r="M28" s="156">
        <f t="shared" si="3"/>
        <v>1191400</v>
      </c>
      <c r="N28" s="157">
        <v>1181400</v>
      </c>
      <c r="O28" s="155">
        <f t="shared" si="2"/>
        <v>-10000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45527</v>
      </c>
      <c r="C29" s="102"/>
      <c r="D29" s="97">
        <v>750000</v>
      </c>
      <c r="E29" s="102"/>
      <c r="F29" s="97"/>
      <c r="G29" s="102">
        <f>390000</f>
        <v>390000</v>
      </c>
      <c r="H29" s="97">
        <f>1500+2000+1500</f>
        <v>5000</v>
      </c>
      <c r="I29" s="102"/>
      <c r="J29" s="97">
        <v>600</v>
      </c>
      <c r="K29" s="102">
        <f>27175</f>
        <v>27175</v>
      </c>
      <c r="L29" s="97">
        <f>1600+93900+60000</f>
        <v>155500</v>
      </c>
      <c r="M29" s="56">
        <f t="shared" si="3"/>
        <v>1328275</v>
      </c>
      <c r="N29" s="52">
        <v>1324775</v>
      </c>
      <c r="O29" s="53">
        <f t="shared" si="2"/>
        <v>-3500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45528</v>
      </c>
      <c r="C30" s="138"/>
      <c r="D30" s="137"/>
      <c r="E30" s="102"/>
      <c r="F30" s="97"/>
      <c r="G30" s="102">
        <f>800000+290000+2000+1500</f>
        <v>1093500</v>
      </c>
      <c r="H30" s="97">
        <f>8000+1500+10000+10000</f>
        <v>29500</v>
      </c>
      <c r="I30" s="102"/>
      <c r="J30" s="97"/>
      <c r="K30" s="138"/>
      <c r="L30" s="137">
        <f>109500</f>
        <v>109500</v>
      </c>
      <c r="M30" s="56">
        <f t="shared" si="3"/>
        <v>1232500</v>
      </c>
      <c r="N30" s="51">
        <v>1212500</v>
      </c>
      <c r="O30" s="53">
        <f t="shared" si="2"/>
        <v>-20000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45529</v>
      </c>
      <c r="C31" s="121">
        <v>600000</v>
      </c>
      <c r="D31" s="97"/>
      <c r="E31" s="102"/>
      <c r="F31" s="97"/>
      <c r="G31" s="121">
        <v>1500</v>
      </c>
      <c r="H31" s="97">
        <f>150000+1500</f>
        <v>151500</v>
      </c>
      <c r="I31" s="102"/>
      <c r="J31" s="97"/>
      <c r="K31" s="102"/>
      <c r="L31" s="97"/>
      <c r="M31" s="56">
        <f t="shared" si="3"/>
        <v>753000</v>
      </c>
      <c r="N31" s="51">
        <v>751500</v>
      </c>
      <c r="O31" s="53">
        <f t="shared" si="2"/>
        <v>-1500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45530</v>
      </c>
      <c r="C32" s="102"/>
      <c r="D32" s="97"/>
      <c r="E32" s="102"/>
      <c r="F32" s="97"/>
      <c r="G32" s="102">
        <v>80000</v>
      </c>
      <c r="H32" s="97">
        <f>3000+550000+420000+10000+10000</f>
        <v>993000</v>
      </c>
      <c r="I32" s="102"/>
      <c r="J32" s="97">
        <v>6000</v>
      </c>
      <c r="K32" s="102">
        <v>86000</v>
      </c>
      <c r="L32" s="97">
        <v>78400</v>
      </c>
      <c r="M32" s="156">
        <f t="shared" si="3"/>
        <v>1243400</v>
      </c>
      <c r="N32" s="157">
        <v>1223400</v>
      </c>
      <c r="O32" s="155">
        <f t="shared" si="2"/>
        <v>-20000</v>
      </c>
      <c r="P32" s="68" t="s">
        <v>131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45531</v>
      </c>
      <c r="C33" s="102"/>
      <c r="D33" s="97">
        <v>10000</v>
      </c>
      <c r="E33" s="102"/>
      <c r="F33" s="97"/>
      <c r="G33" s="102">
        <f>1500+2000</f>
        <v>3500</v>
      </c>
      <c r="H33" s="97">
        <f>440000+110000+1500+2000+10000+10000+10000+1500+1500+1500</f>
        <v>588000</v>
      </c>
      <c r="I33" s="102">
        <f>6000+7500</f>
        <v>13500</v>
      </c>
      <c r="J33" s="97">
        <f>6000+6200+15000</f>
        <v>27200</v>
      </c>
      <c r="K33" s="102"/>
      <c r="L33" s="97">
        <f>5000+5500</f>
        <v>10500</v>
      </c>
      <c r="M33" s="56">
        <f t="shared" si="3"/>
        <v>652700</v>
      </c>
      <c r="N33" s="51">
        <v>617700</v>
      </c>
      <c r="O33" s="53">
        <f t="shared" si="2"/>
        <v>-35000</v>
      </c>
      <c r="P33" s="68" t="s">
        <v>132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45532</v>
      </c>
      <c r="C34" s="102"/>
      <c r="D34" s="97"/>
      <c r="E34" s="102"/>
      <c r="F34" s="97"/>
      <c r="G34" s="138">
        <v>2000</v>
      </c>
      <c r="H34" s="137">
        <f>300000+150000+1500+2000</f>
        <v>453500</v>
      </c>
      <c r="I34" s="138"/>
      <c r="J34" s="137">
        <f>2500+15920</f>
        <v>18420</v>
      </c>
      <c r="K34" s="138">
        <v>5000</v>
      </c>
      <c r="L34" s="137">
        <v>500</v>
      </c>
      <c r="M34" s="156">
        <f>SUM(C34:L34)</f>
        <v>479420</v>
      </c>
      <c r="N34" s="157">
        <v>477420</v>
      </c>
      <c r="O34" s="53">
        <f t="shared" si="2"/>
        <v>-2000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45533</v>
      </c>
      <c r="C35" s="102"/>
      <c r="D35" s="97"/>
      <c r="E35" s="102"/>
      <c r="F35" s="97"/>
      <c r="G35" s="102">
        <v>1500</v>
      </c>
      <c r="H35" s="97">
        <f>3000+1500+2000+1500+10000+10000+10000</f>
        <v>38000</v>
      </c>
      <c r="I35" s="102"/>
      <c r="J35" s="97">
        <f>6900+37100</f>
        <v>44000</v>
      </c>
      <c r="K35" s="102">
        <v>2000</v>
      </c>
      <c r="L35" s="97">
        <f>5500+24500</f>
        <v>30000</v>
      </c>
      <c r="M35" s="56">
        <f t="shared" si="3"/>
        <v>115500</v>
      </c>
      <c r="N35" s="54">
        <v>85500</v>
      </c>
      <c r="O35" s="55">
        <f t="shared" si="2"/>
        <v>-30000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45534</v>
      </c>
      <c r="C36" s="102">
        <f>600000+600000</f>
        <v>1200000</v>
      </c>
      <c r="D36" s="97"/>
      <c r="E36" s="102"/>
      <c r="F36" s="97"/>
      <c r="G36" s="102">
        <v>1500</v>
      </c>
      <c r="H36" s="97">
        <v>10000</v>
      </c>
      <c r="I36" s="102"/>
      <c r="J36" s="97"/>
      <c r="K36" s="102"/>
      <c r="L36" s="97">
        <v>53500</v>
      </c>
      <c r="M36" s="56">
        <f t="shared" si="3"/>
        <v>1265000</v>
      </c>
      <c r="N36" s="54">
        <v>1255000</v>
      </c>
      <c r="O36" s="55">
        <f t="shared" si="2"/>
        <v>-10000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45535</v>
      </c>
      <c r="C37" s="102"/>
      <c r="D37" s="97">
        <v>650000</v>
      </c>
      <c r="E37" s="102"/>
      <c r="F37" s="97"/>
      <c r="G37" s="102">
        <f>10000+1500+1500</f>
        <v>13000</v>
      </c>
      <c r="H37" s="97">
        <f>1500+6000+1500+10000+10000+10000+10000+10000+6000+10000</f>
        <v>75000</v>
      </c>
      <c r="I37" s="102">
        <v>3500</v>
      </c>
      <c r="J37" s="97">
        <v>16400</v>
      </c>
      <c r="K37" s="102"/>
      <c r="L37" s="97">
        <v>39000</v>
      </c>
      <c r="M37" s="56">
        <f t="shared" si="3"/>
        <v>796900</v>
      </c>
      <c r="N37" s="54">
        <v>736900</v>
      </c>
      <c r="O37" s="55">
        <f t="shared" si="2"/>
        <v>-60000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5430000</v>
      </c>
      <c r="D39" s="25">
        <f>SUM(D7:D38)</f>
        <v>9157500</v>
      </c>
      <c r="E39" s="24">
        <f t="shared" ref="E39:K39" si="4">SUM(E7:E38)</f>
        <v>1165000</v>
      </c>
      <c r="F39" s="59">
        <f t="shared" si="4"/>
        <v>4935000</v>
      </c>
      <c r="G39" s="24">
        <f t="shared" si="4"/>
        <v>5240500</v>
      </c>
      <c r="H39" s="25">
        <f>SUM(H7:H38)</f>
        <v>14156000</v>
      </c>
      <c r="I39" s="24">
        <f t="shared" si="4"/>
        <v>61200</v>
      </c>
      <c r="J39" s="25">
        <f>SUM(J7:J38)</f>
        <v>322822</v>
      </c>
      <c r="K39" s="24">
        <f t="shared" si="4"/>
        <v>287175</v>
      </c>
      <c r="L39" s="25">
        <f>SUM(L7:L38)</f>
        <v>1065130.8</v>
      </c>
      <c r="M39" s="28">
        <f>SUM(M7:M38)</f>
        <v>41820327.799999997</v>
      </c>
      <c r="N39" s="27">
        <f>SUM(N7:N38)</f>
        <v>41355827.799999997</v>
      </c>
      <c r="O39" s="26">
        <f>N39-M39</f>
        <v>-464500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14587500</v>
      </c>
      <c r="D40" s="282"/>
      <c r="E40" s="267">
        <f>SUM(E39:F39)</f>
        <v>6100000</v>
      </c>
      <c r="F40" s="269"/>
      <c r="G40" s="281">
        <f>SUM(G39:H39)</f>
        <v>19396500</v>
      </c>
      <c r="H40" s="282"/>
      <c r="I40" s="267">
        <f>SUM(I39:J39)</f>
        <v>384022</v>
      </c>
      <c r="J40" s="268"/>
      <c r="K40" s="281">
        <f>SUM(K39:L39)</f>
        <v>1352305.8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45504</v>
      </c>
      <c r="C45" s="3">
        <v>0</v>
      </c>
      <c r="D45" s="14"/>
      <c r="E45" s="3">
        <v>0</v>
      </c>
      <c r="F45" s="14"/>
      <c r="G45" s="3">
        <v>0</v>
      </c>
      <c r="H45" s="14">
        <v>462000</v>
      </c>
      <c r="I45" s="3">
        <v>0</v>
      </c>
      <c r="J45" s="14"/>
      <c r="K45" s="134">
        <v>0</v>
      </c>
      <c r="L45" s="14">
        <v>35300</v>
      </c>
      <c r="M45" s="3">
        <f>SUM(C45:L45)</f>
        <v>497300</v>
      </c>
      <c r="N45" s="3"/>
      <c r="O45" s="3">
        <f>N45-M45</f>
        <v>-497300</v>
      </c>
      <c r="P45" s="85">
        <v>45505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45535</v>
      </c>
      <c r="C48" s="3">
        <v>0</v>
      </c>
      <c r="D48" s="14">
        <v>650000</v>
      </c>
      <c r="E48" s="3">
        <v>0</v>
      </c>
      <c r="F48" s="14"/>
      <c r="G48" s="3">
        <v>0</v>
      </c>
      <c r="H48" s="14">
        <v>13500</v>
      </c>
      <c r="I48" s="3">
        <v>0</v>
      </c>
      <c r="J48" s="14">
        <v>8500</v>
      </c>
      <c r="K48" s="134">
        <v>0</v>
      </c>
      <c r="L48" s="14">
        <v>39000</v>
      </c>
      <c r="M48" s="3">
        <f>SUM(C48:L48)</f>
        <v>711000</v>
      </c>
      <c r="N48" s="3"/>
      <c r="O48" s="3">
        <v>711000</v>
      </c>
      <c r="P48" s="151">
        <v>45536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-650000</v>
      </c>
      <c r="E50" s="262">
        <f>F45+F46-F47-F48</f>
        <v>0</v>
      </c>
      <c r="F50" s="263"/>
      <c r="G50" s="262">
        <f>H45+H46-H47-H48</f>
        <v>448500</v>
      </c>
      <c r="H50" s="263"/>
      <c r="I50" s="262">
        <f>J45+J46-J47-J48</f>
        <v>-8500</v>
      </c>
      <c r="J50" s="263"/>
      <c r="K50" s="262">
        <f>L45+L46-L47-L48</f>
        <v>-3700</v>
      </c>
      <c r="L50" s="263"/>
    </row>
    <row r="51" spans="2:28" x14ac:dyDescent="0.25">
      <c r="B51" s="264" t="s">
        <v>12</v>
      </c>
      <c r="C51" s="264"/>
      <c r="D51" s="31">
        <f>D39+D50</f>
        <v>8507500</v>
      </c>
      <c r="E51" s="265">
        <f>F39+E50</f>
        <v>4935000</v>
      </c>
      <c r="F51" s="266"/>
      <c r="G51" s="265">
        <f>H39+G50</f>
        <v>14604500</v>
      </c>
      <c r="H51" s="266"/>
      <c r="I51" s="286">
        <f>J39+I50</f>
        <v>314322</v>
      </c>
      <c r="J51" s="287"/>
      <c r="K51" s="265">
        <f>L39+K50</f>
        <v>1061430.8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29422752.800000001</v>
      </c>
      <c r="E52" s="283"/>
      <c r="F52" s="283"/>
      <c r="G52" s="283"/>
      <c r="H52" s="283"/>
      <c r="I52" s="165"/>
      <c r="J52" s="165"/>
      <c r="K52" s="165"/>
      <c r="L52" s="165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72866.98</v>
      </c>
      <c r="P54" s="87"/>
      <c r="S54">
        <v>28.9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12183875</v>
      </c>
      <c r="D55" s="149">
        <f>D39+H39+F39+J39+L39</f>
        <v>29636452.800000001</v>
      </c>
      <c r="E55" s="58"/>
      <c r="F55" s="58"/>
      <c r="M55" s="63" t="s">
        <v>25</v>
      </c>
      <c r="N55" s="64">
        <v>42106.52</v>
      </c>
      <c r="P55" s="88"/>
      <c r="S55">
        <v>16.7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41820327.799999997</v>
      </c>
      <c r="D56" s="285"/>
      <c r="E56" s="57"/>
      <c r="F56" s="57"/>
      <c r="M56" s="63" t="s">
        <v>28</v>
      </c>
      <c r="N56" s="64">
        <v>125312.04</v>
      </c>
      <c r="R56" s="87"/>
      <c r="S56">
        <v>49.7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2772.48</v>
      </c>
      <c r="S57">
        <v>1.1000000000000001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9076.86</v>
      </c>
      <c r="S58">
        <v>3.6</v>
      </c>
      <c r="Y58" s="4"/>
      <c r="AA58" s="78"/>
      <c r="AB58" s="68"/>
    </row>
    <row r="59" spans="2:28" x14ac:dyDescent="0.25">
      <c r="J59" t="s">
        <v>3</v>
      </c>
      <c r="N59" s="64">
        <v>252134.88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41606627.799999997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72"/>
  <sheetViews>
    <sheetView topLeftCell="A7" workbookViewId="0">
      <selection activeCell="T34" sqref="T34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6" width="10.8554687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8.425781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101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45536</v>
      </c>
      <c r="C7" s="102">
        <v>600000</v>
      </c>
      <c r="D7" s="97"/>
      <c r="E7" s="102"/>
      <c r="F7" s="97"/>
      <c r="G7" s="119">
        <v>10000</v>
      </c>
      <c r="H7" s="120">
        <f>770000+101500+2000+3000+10000+10000+10000+10000+10000+2000</f>
        <v>928500</v>
      </c>
      <c r="I7" s="119"/>
      <c r="J7" s="120">
        <f>6000+45000</f>
        <v>51000</v>
      </c>
      <c r="K7" s="119"/>
      <c r="L7" s="120">
        <v>60000</v>
      </c>
      <c r="M7" s="56">
        <f t="shared" ref="M7:M14" si="0">SUM(C7:L7)</f>
        <v>1649500</v>
      </c>
      <c r="N7" s="52">
        <v>1597500</v>
      </c>
      <c r="O7" s="53">
        <f>N7-M7</f>
        <v>-52000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45537</v>
      </c>
      <c r="C8" s="121"/>
      <c r="D8" s="97">
        <v>5000</v>
      </c>
      <c r="E8" s="102"/>
      <c r="F8" s="97"/>
      <c r="G8" s="121">
        <v>20000</v>
      </c>
      <c r="H8" s="97">
        <f>1500+430000+3000+3000+2000</f>
        <v>439500</v>
      </c>
      <c r="I8" s="121"/>
      <c r="J8" s="97">
        <v>4500</v>
      </c>
      <c r="K8" s="121"/>
      <c r="L8" s="97"/>
      <c r="M8" s="56">
        <f t="shared" si="0"/>
        <v>469000</v>
      </c>
      <c r="N8" s="52">
        <v>467000</v>
      </c>
      <c r="O8" s="53">
        <f t="shared" ref="O8:O37" si="2">N8-M8</f>
        <v>-2000</v>
      </c>
      <c r="Z8" s="78"/>
      <c r="AB8" s="68"/>
    </row>
    <row r="9" spans="2:28" x14ac:dyDescent="0.25">
      <c r="B9" s="15">
        <f t="shared" si="1"/>
        <v>45538</v>
      </c>
      <c r="C9" s="102">
        <v>2350000</v>
      </c>
      <c r="D9" s="122"/>
      <c r="E9" s="102"/>
      <c r="F9" s="97">
        <v>570000</v>
      </c>
      <c r="G9" s="102">
        <v>1500</v>
      </c>
      <c r="H9" s="97">
        <f>300000+551500+1500</f>
        <v>853000</v>
      </c>
      <c r="I9" s="102">
        <v>6000</v>
      </c>
      <c r="J9" s="97"/>
      <c r="K9" s="102"/>
      <c r="L9" s="97">
        <v>52500</v>
      </c>
      <c r="M9" s="56">
        <f t="shared" si="0"/>
        <v>3833000</v>
      </c>
      <c r="N9" s="51">
        <v>3833000</v>
      </c>
      <c r="O9" s="53">
        <f t="shared" si="2"/>
        <v>0</v>
      </c>
      <c r="P9" s="101"/>
      <c r="Z9" s="78"/>
      <c r="AB9" s="68"/>
    </row>
    <row r="10" spans="2:28" x14ac:dyDescent="0.25">
      <c r="B10" s="15">
        <f t="shared" si="1"/>
        <v>45539</v>
      </c>
      <c r="C10" s="102">
        <v>550000</v>
      </c>
      <c r="D10" s="122">
        <f>50000+600000</f>
        <v>650000</v>
      </c>
      <c r="E10" s="102">
        <v>450000</v>
      </c>
      <c r="F10" s="97">
        <f>1650000+600000</f>
        <v>2250000</v>
      </c>
      <c r="G10" s="102">
        <v>1500</v>
      </c>
      <c r="H10" s="97">
        <f>15000+390000+460000+1500+102000+10000</f>
        <v>978500</v>
      </c>
      <c r="I10" s="102">
        <v>6000</v>
      </c>
      <c r="J10" s="97">
        <v>74310</v>
      </c>
      <c r="K10" s="102">
        <v>7500</v>
      </c>
      <c r="L10" s="97">
        <v>44400</v>
      </c>
      <c r="M10" s="56">
        <f t="shared" si="0"/>
        <v>5012210</v>
      </c>
      <c r="N10" s="51">
        <v>5002210</v>
      </c>
      <c r="O10" s="53">
        <f>N10-M10</f>
        <v>-10000</v>
      </c>
      <c r="P10" s="101"/>
      <c r="Z10" s="78"/>
      <c r="AB10" s="68"/>
    </row>
    <row r="11" spans="2:28" x14ac:dyDescent="0.25">
      <c r="B11" s="15">
        <f t="shared" si="1"/>
        <v>45540</v>
      </c>
      <c r="C11" s="121"/>
      <c r="D11" s="97"/>
      <c r="E11" s="102"/>
      <c r="F11" s="97">
        <v>615000</v>
      </c>
      <c r="G11" s="121">
        <v>420000</v>
      </c>
      <c r="H11" s="121">
        <f>290000+3900+4000+18750+40000+430000+10000+10000+1500</f>
        <v>808150</v>
      </c>
      <c r="I11" s="121"/>
      <c r="J11" s="97">
        <f>21330+8100</f>
        <v>29430</v>
      </c>
      <c r="K11" s="121"/>
      <c r="L11" s="97">
        <v>16400</v>
      </c>
      <c r="M11" s="56">
        <f t="shared" si="0"/>
        <v>1888980</v>
      </c>
      <c r="N11" s="52">
        <v>1867480</v>
      </c>
      <c r="O11" s="53">
        <f>N11-M11</f>
        <v>-21500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45541</v>
      </c>
      <c r="C12" s="102">
        <v>770000</v>
      </c>
      <c r="D12" s="97">
        <v>40000</v>
      </c>
      <c r="E12" s="102">
        <v>10000</v>
      </c>
      <c r="F12" s="97">
        <v>38000</v>
      </c>
      <c r="G12" s="102"/>
      <c r="H12" s="97">
        <f>420000+1500+1500</f>
        <v>423000</v>
      </c>
      <c r="I12" s="102">
        <v>200</v>
      </c>
      <c r="J12" s="97">
        <f>12000+6200+10900</f>
        <v>29100</v>
      </c>
      <c r="K12" s="102">
        <v>17000</v>
      </c>
      <c r="L12" s="97">
        <v>26500</v>
      </c>
      <c r="M12" s="56">
        <f t="shared" si="0"/>
        <v>1353800</v>
      </c>
      <c r="N12" s="52">
        <v>1350800</v>
      </c>
      <c r="O12" s="53">
        <f>N12-M12</f>
        <v>-3000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45542</v>
      </c>
      <c r="C13" s="102"/>
      <c r="D13" s="97"/>
      <c r="E13" s="102"/>
      <c r="F13" s="97"/>
      <c r="G13" s="102">
        <f>1500+330000+200000</f>
        <v>531500</v>
      </c>
      <c r="H13" s="97">
        <f>401500+462000+6900+1500+10000</f>
        <v>881900</v>
      </c>
      <c r="I13" s="102"/>
      <c r="J13" s="97">
        <f>12010+30000</f>
        <v>42010</v>
      </c>
      <c r="K13" s="102">
        <v>21000</v>
      </c>
      <c r="L13" s="97">
        <f>5000+82500</f>
        <v>87500</v>
      </c>
      <c r="M13" s="56">
        <f t="shared" si="0"/>
        <v>1563910</v>
      </c>
      <c r="N13" s="52">
        <v>1553910</v>
      </c>
      <c r="O13" s="53">
        <f>N13-M13</f>
        <v>-10000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45543</v>
      </c>
      <c r="C14" s="102"/>
      <c r="D14" s="97"/>
      <c r="E14" s="102"/>
      <c r="F14" s="97"/>
      <c r="G14" s="102">
        <f>2000+1500</f>
        <v>3500</v>
      </c>
      <c r="H14" s="97">
        <f>10000+10000+24500+12000+3000+10000+10000</f>
        <v>79500</v>
      </c>
      <c r="I14" s="102"/>
      <c r="J14" s="97"/>
      <c r="K14" s="102"/>
      <c r="L14" s="97"/>
      <c r="M14" s="56">
        <f t="shared" si="0"/>
        <v>83000</v>
      </c>
      <c r="N14" s="51">
        <v>63000</v>
      </c>
      <c r="O14" s="53">
        <f>N14-M14</f>
        <v>-20000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45544</v>
      </c>
      <c r="C15" s="102"/>
      <c r="D15" s="97"/>
      <c r="E15" s="102">
        <v>640000</v>
      </c>
      <c r="F15" s="97"/>
      <c r="G15" s="102">
        <f>670000</f>
        <v>670000</v>
      </c>
      <c r="H15" s="97">
        <f>1040000+370000+1500+10000</f>
        <v>1421500</v>
      </c>
      <c r="I15" s="102">
        <f>5300+14220</f>
        <v>19520</v>
      </c>
      <c r="J15" s="97">
        <v>5100</v>
      </c>
      <c r="K15" s="102"/>
      <c r="L15" s="97"/>
      <c r="M15" s="56">
        <f t="shared" ref="M15:M38" si="3">SUM(C15:L15)</f>
        <v>2756120</v>
      </c>
      <c r="N15" s="51">
        <v>2746120</v>
      </c>
      <c r="O15" s="53">
        <f t="shared" si="2"/>
        <v>-10000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45545</v>
      </c>
      <c r="C16" s="136"/>
      <c r="D16" s="97"/>
      <c r="E16" s="102"/>
      <c r="F16" s="97">
        <v>700000</v>
      </c>
      <c r="G16" s="136">
        <f>10000+350000+400000</f>
        <v>760000</v>
      </c>
      <c r="H16" s="97">
        <f>45000+690000+33000+4000+1500+1500+10000+10000</f>
        <v>795000</v>
      </c>
      <c r="I16" s="121"/>
      <c r="J16" s="97"/>
      <c r="K16" s="121"/>
      <c r="L16" s="97">
        <v>4000</v>
      </c>
      <c r="M16" s="56">
        <f t="shared" si="3"/>
        <v>2259000</v>
      </c>
      <c r="N16" s="52">
        <v>2237500</v>
      </c>
      <c r="O16" s="53">
        <f t="shared" si="2"/>
        <v>-21500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45546</v>
      </c>
      <c r="C17" s="102"/>
      <c r="D17" s="97"/>
      <c r="E17" s="121"/>
      <c r="F17" s="122"/>
      <c r="G17" s="102"/>
      <c r="H17" s="122">
        <f>251500+495000+10000+2000+2000</f>
        <v>760500</v>
      </c>
      <c r="I17" s="102"/>
      <c r="J17" s="122">
        <v>6000</v>
      </c>
      <c r="K17" s="102"/>
      <c r="L17" s="122"/>
      <c r="M17" s="56">
        <f t="shared" si="3"/>
        <v>766500</v>
      </c>
      <c r="N17" s="52">
        <v>752500</v>
      </c>
      <c r="O17" s="53">
        <f t="shared" si="2"/>
        <v>-14000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45547</v>
      </c>
      <c r="C18" s="121"/>
      <c r="D18" s="97"/>
      <c r="E18" s="102"/>
      <c r="F18" s="97">
        <v>85000</v>
      </c>
      <c r="G18" s="121">
        <f>440000+450000</f>
        <v>890000</v>
      </c>
      <c r="H18" s="97">
        <f>400000+520000+460000+10000+10000+1500+10000</f>
        <v>1411500</v>
      </c>
      <c r="I18" s="121">
        <v>15000</v>
      </c>
      <c r="J18" s="97">
        <f>22680+15000</f>
        <v>37680</v>
      </c>
      <c r="K18" s="121"/>
      <c r="L18" s="97"/>
      <c r="M18" s="56">
        <f t="shared" si="3"/>
        <v>2439180</v>
      </c>
      <c r="N18" s="51">
        <v>2407680</v>
      </c>
      <c r="O18" s="53">
        <f t="shared" si="2"/>
        <v>-31500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45548</v>
      </c>
      <c r="C19" s="102"/>
      <c r="D19" s="97"/>
      <c r="E19" s="102">
        <v>10000</v>
      </c>
      <c r="F19" s="97">
        <v>705000</v>
      </c>
      <c r="G19" s="102"/>
      <c r="H19" s="97">
        <f>400000+500000+61500+2000+370000+10000+10000+2000+10000+10000+1500+10000+10000</f>
        <v>1397000</v>
      </c>
      <c r="I19" s="102"/>
      <c r="J19" s="97">
        <f>24000+14220</f>
        <v>38220</v>
      </c>
      <c r="K19" s="102">
        <v>4500</v>
      </c>
      <c r="L19" s="97">
        <v>64100</v>
      </c>
      <c r="M19" s="56">
        <f>SUM(C19:L19)</f>
        <v>2218820</v>
      </c>
      <c r="N19" s="52">
        <v>2155320</v>
      </c>
      <c r="O19" s="53">
        <f t="shared" si="2"/>
        <v>-63500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45549</v>
      </c>
      <c r="C20" s="102"/>
      <c r="D20" s="122"/>
      <c r="E20" s="102"/>
      <c r="F20" s="97"/>
      <c r="G20" s="102"/>
      <c r="H20" s="97">
        <f>1500+411500+3000+380000+2000+1500+10000+1500</f>
        <v>811000</v>
      </c>
      <c r="I20" s="102">
        <v>3500</v>
      </c>
      <c r="J20" s="97">
        <v>9500</v>
      </c>
      <c r="K20" s="102">
        <v>25000</v>
      </c>
      <c r="L20" s="97">
        <v>12400</v>
      </c>
      <c r="M20" s="56">
        <f t="shared" si="3"/>
        <v>861400</v>
      </c>
      <c r="N20" s="52">
        <v>848400</v>
      </c>
      <c r="O20" s="53">
        <f t="shared" si="2"/>
        <v>-13000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4.25" customHeight="1" x14ac:dyDescent="0.25">
      <c r="B21" s="15">
        <f>B20+1</f>
        <v>45550</v>
      </c>
      <c r="C21" s="102"/>
      <c r="D21" s="97"/>
      <c r="E21" s="102"/>
      <c r="F21" s="97"/>
      <c r="G21">
        <f>1500</f>
        <v>1500</v>
      </c>
      <c r="H21" s="102">
        <f>290000+1500+350000+10000+10000+10000+10000</f>
        <v>681500</v>
      </c>
      <c r="I21" s="102"/>
      <c r="J21" s="97">
        <f>10250</f>
        <v>10250</v>
      </c>
      <c r="K21" s="102"/>
      <c r="L21" s="97">
        <v>14500</v>
      </c>
      <c r="M21" s="56">
        <f t="shared" si="3"/>
        <v>707750</v>
      </c>
      <c r="N21" s="51">
        <v>667750</v>
      </c>
      <c r="O21" s="53">
        <f t="shared" si="2"/>
        <v>-40000</v>
      </c>
      <c r="P21" s="101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1"/>
        <v>45551</v>
      </c>
      <c r="C22" s="102"/>
      <c r="D22" s="97"/>
      <c r="E22" s="102"/>
      <c r="F22" s="97"/>
      <c r="G22" s="102">
        <f>290000+50000</f>
        <v>340000</v>
      </c>
      <c r="H22" s="97">
        <f>550000+650000+461500+240000+450000+10000</f>
        <v>2361500</v>
      </c>
      <c r="I22" s="102">
        <v>30000</v>
      </c>
      <c r="J22" s="97">
        <f>7110+9751</f>
        <v>16861</v>
      </c>
      <c r="K22" s="102">
        <v>74350</v>
      </c>
      <c r="L22" s="97">
        <v>445000</v>
      </c>
      <c r="M22" s="56">
        <f t="shared" si="3"/>
        <v>3267711</v>
      </c>
      <c r="N22" s="52">
        <v>3257711</v>
      </c>
      <c r="O22" s="53">
        <f t="shared" si="2"/>
        <v>-10000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45552</v>
      </c>
      <c r="C23" s="102"/>
      <c r="D23" s="97"/>
      <c r="E23" s="102">
        <v>890000</v>
      </c>
      <c r="F23" s="97"/>
      <c r="G23" s="102">
        <v>1500</v>
      </c>
      <c r="H23" s="97">
        <f>410000+1500+841500+1500+1500+10000+10000+10000</f>
        <v>1286000</v>
      </c>
      <c r="I23" s="102"/>
      <c r="J23" s="97">
        <f>6200+3500</f>
        <v>9700</v>
      </c>
      <c r="K23" s="102">
        <v>7200</v>
      </c>
      <c r="L23" s="97">
        <v>51300</v>
      </c>
      <c r="M23" s="56">
        <f t="shared" si="3"/>
        <v>2245700</v>
      </c>
      <c r="N23" s="52">
        <v>2214200</v>
      </c>
      <c r="O23" s="53">
        <f t="shared" si="2"/>
        <v>-31500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45553</v>
      </c>
      <c r="C24" s="121"/>
      <c r="D24" s="97"/>
      <c r="E24" s="102">
        <v>5000</v>
      </c>
      <c r="F24" s="97">
        <v>970000</v>
      </c>
      <c r="G24" s="121">
        <f>1500+3000</f>
        <v>4500</v>
      </c>
      <c r="H24" s="121">
        <f>300000+3000+10000</f>
        <v>313000</v>
      </c>
      <c r="I24" s="121">
        <v>6000</v>
      </c>
      <c r="J24" s="97">
        <v>6500</v>
      </c>
      <c r="K24" s="121">
        <v>9250</v>
      </c>
      <c r="L24" s="97">
        <v>5500</v>
      </c>
      <c r="M24" s="56">
        <f t="shared" si="3"/>
        <v>1319750</v>
      </c>
      <c r="N24" s="51">
        <v>1309750</v>
      </c>
      <c r="O24" s="53">
        <f t="shared" si="2"/>
        <v>-10000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45554</v>
      </c>
      <c r="C25" s="102"/>
      <c r="D25" s="97"/>
      <c r="E25" s="102">
        <v>295000</v>
      </c>
      <c r="F25" s="97">
        <v>135000</v>
      </c>
      <c r="G25" s="102"/>
      <c r="H25" s="97">
        <f>2000+340000+90000+10000</f>
        <v>442000</v>
      </c>
      <c r="I25" s="102"/>
      <c r="J25" s="97">
        <f>18600+15000</f>
        <v>33600</v>
      </c>
      <c r="K25" s="102"/>
      <c r="L25" s="97"/>
      <c r="M25" s="56">
        <f t="shared" si="3"/>
        <v>905600</v>
      </c>
      <c r="N25" s="52">
        <v>895600</v>
      </c>
      <c r="O25" s="53">
        <f t="shared" si="2"/>
        <v>-10000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45555</v>
      </c>
      <c r="C26" s="102"/>
      <c r="D26" s="97"/>
      <c r="E26" s="102">
        <v>10000</v>
      </c>
      <c r="F26" s="97">
        <v>15000</v>
      </c>
      <c r="G26" s="102">
        <v>410000</v>
      </c>
      <c r="H26" s="97">
        <f>350000+10000+10000</f>
        <v>370000</v>
      </c>
      <c r="I26" s="102"/>
      <c r="J26" s="97">
        <v>11786</v>
      </c>
      <c r="K26" s="102">
        <v>5000</v>
      </c>
      <c r="L26" s="97">
        <v>10650</v>
      </c>
      <c r="M26" s="56">
        <f t="shared" si="3"/>
        <v>832436</v>
      </c>
      <c r="N26" s="52">
        <v>812436</v>
      </c>
      <c r="O26" s="53">
        <f t="shared" si="2"/>
        <v>-20000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45556</v>
      </c>
      <c r="C27" s="102"/>
      <c r="D27" s="97"/>
      <c r="E27" s="102"/>
      <c r="F27" s="97"/>
      <c r="G27" s="102">
        <f>324000+180000</f>
        <v>504000</v>
      </c>
      <c r="H27" s="97">
        <f>166000+290000+4000+1500+450000+1500+10000+2000</f>
        <v>925000</v>
      </c>
      <c r="I27" s="102"/>
      <c r="J27" s="137">
        <v>12000</v>
      </c>
      <c r="K27" s="102"/>
      <c r="L27" s="97">
        <v>14000</v>
      </c>
      <c r="M27" s="56">
        <f t="shared" si="3"/>
        <v>1455000</v>
      </c>
      <c r="N27" s="154">
        <v>1441500</v>
      </c>
      <c r="O27" s="155">
        <f t="shared" si="2"/>
        <v>-13500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45557</v>
      </c>
      <c r="C28" s="102"/>
      <c r="D28" s="97"/>
      <c r="E28" s="102"/>
      <c r="F28" s="97"/>
      <c r="G28" s="102">
        <f>1500</f>
        <v>1500</v>
      </c>
      <c r="H28" s="97">
        <f>3000+1500+363000+1500+1500+10000+2000+10000+10000</f>
        <v>402500</v>
      </c>
      <c r="I28" s="102"/>
      <c r="J28" s="97">
        <f>7445+30000</f>
        <v>37445</v>
      </c>
      <c r="K28" s="102"/>
      <c r="L28" s="97">
        <v>9500</v>
      </c>
      <c r="M28" s="156">
        <f t="shared" si="3"/>
        <v>450945</v>
      </c>
      <c r="N28" s="157">
        <v>415945</v>
      </c>
      <c r="O28" s="155">
        <f t="shared" si="2"/>
        <v>-35000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45558</v>
      </c>
      <c r="C29" s="102"/>
      <c r="D29" s="97"/>
      <c r="E29" s="102"/>
      <c r="F29" s="97">
        <v>600000</v>
      </c>
      <c r="G29" s="102">
        <f>1500</f>
        <v>1500</v>
      </c>
      <c r="H29" s="97">
        <f>1500+540000+340000+10000+10000+10000+10000+1500+1500</f>
        <v>924500</v>
      </c>
      <c r="I29" s="102">
        <v>15000</v>
      </c>
      <c r="J29" s="97">
        <v>14220</v>
      </c>
      <c r="K29" s="102"/>
      <c r="L29" s="97">
        <f>50000+88200</f>
        <v>138200</v>
      </c>
      <c r="M29" s="56">
        <f t="shared" si="3"/>
        <v>1693420</v>
      </c>
      <c r="N29" s="52">
        <v>1650420</v>
      </c>
      <c r="O29" s="53">
        <f t="shared" si="2"/>
        <v>-43000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45559</v>
      </c>
      <c r="C30" s="138"/>
      <c r="D30" s="137"/>
      <c r="E30" s="102">
        <v>5000</v>
      </c>
      <c r="F30" s="97">
        <v>5000</v>
      </c>
      <c r="G30" s="102">
        <f>440000+500000</f>
        <v>940000</v>
      </c>
      <c r="H30" s="97">
        <f>340000+50000+140000+10000+10000+2000+1500+1500</f>
        <v>555000</v>
      </c>
      <c r="I30" s="102">
        <v>6000</v>
      </c>
      <c r="J30" s="97">
        <f>6200+13000</f>
        <v>19200</v>
      </c>
      <c r="K30" s="138"/>
      <c r="L30" s="137">
        <v>15200</v>
      </c>
      <c r="M30" s="56">
        <f t="shared" si="3"/>
        <v>1545400</v>
      </c>
      <c r="N30" s="51">
        <v>1520400</v>
      </c>
      <c r="O30" s="53">
        <f t="shared" si="2"/>
        <v>-25000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45560</v>
      </c>
      <c r="C31" s="121"/>
      <c r="D31" s="97"/>
      <c r="E31" s="102"/>
      <c r="F31" s="97">
        <v>700000</v>
      </c>
      <c r="G31" s="121">
        <f>310000+460000</f>
        <v>770000</v>
      </c>
      <c r="H31" s="97">
        <f>420000+3000+1500+1500+10000+10000+1500+5000+10000+10000+10000</f>
        <v>482500</v>
      </c>
      <c r="I31" s="102"/>
      <c r="J31" s="97"/>
      <c r="K31" s="102">
        <v>45000</v>
      </c>
      <c r="L31" s="97">
        <v>63000</v>
      </c>
      <c r="M31" s="56">
        <f t="shared" si="3"/>
        <v>2060500</v>
      </c>
      <c r="N31" s="51">
        <v>2002500</v>
      </c>
      <c r="O31" s="53">
        <f t="shared" si="2"/>
        <v>-58000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45561</v>
      </c>
      <c r="C32" s="102"/>
      <c r="D32" s="97"/>
      <c r="E32" s="102">
        <v>250000</v>
      </c>
      <c r="F32" s="97">
        <f>560000+700000</f>
        <v>1260000</v>
      </c>
      <c r="G32" s="102">
        <f>1500</f>
        <v>1500</v>
      </c>
      <c r="H32" s="97">
        <f>970000+460000+3000+10000+1500+10000+2000+10000+18500</f>
        <v>1485000</v>
      </c>
      <c r="I32" s="102"/>
      <c r="J32" s="97">
        <v>15610</v>
      </c>
      <c r="K32" s="102"/>
      <c r="L32" s="97">
        <v>100500</v>
      </c>
      <c r="M32" s="156">
        <f t="shared" si="3"/>
        <v>3112610</v>
      </c>
      <c r="N32" s="157">
        <v>3060610</v>
      </c>
      <c r="O32" s="155">
        <f t="shared" si="2"/>
        <v>-52000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45562</v>
      </c>
      <c r="C33" s="102"/>
      <c r="D33" s="97"/>
      <c r="E33" s="102">
        <f>10000</f>
        <v>10000</v>
      </c>
      <c r="F33" s="97">
        <f>956000+10000</f>
        <v>966000</v>
      </c>
      <c r="G33" s="102">
        <f>350000</f>
        <v>350000</v>
      </c>
      <c r="H33" s="97">
        <f>1500+1500+3000+10000</f>
        <v>16000</v>
      </c>
      <c r="I33" s="102">
        <v>10000</v>
      </c>
      <c r="J33" s="97">
        <f>6000+7500+9226</f>
        <v>22726</v>
      </c>
      <c r="K33" s="102"/>
      <c r="L33" s="97">
        <v>16800</v>
      </c>
      <c r="M33" s="56">
        <f t="shared" si="3"/>
        <v>1391526</v>
      </c>
      <c r="N33" s="51">
        <v>1381526</v>
      </c>
      <c r="O33" s="53">
        <f t="shared" si="2"/>
        <v>-10000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45563</v>
      </c>
      <c r="C34" s="102"/>
      <c r="D34" s="97"/>
      <c r="E34" s="102">
        <v>300000</v>
      </c>
      <c r="F34" s="97"/>
      <c r="G34" s="102">
        <f>260000+440000</f>
        <v>700000</v>
      </c>
      <c r="H34" s="97">
        <f>110000+490000+725000+535000+6000+10000+10000+10000+10000+10000+2000</f>
        <v>1918000</v>
      </c>
      <c r="I34" s="138"/>
      <c r="J34" s="137"/>
      <c r="K34" s="138"/>
      <c r="L34" s="137"/>
      <c r="M34" s="156">
        <f>SUM(C34:L34)</f>
        <v>2918000</v>
      </c>
      <c r="N34" s="157">
        <v>2866000</v>
      </c>
      <c r="O34" s="53">
        <f t="shared" si="2"/>
        <v>-52000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45564</v>
      </c>
      <c r="C35" s="102"/>
      <c r="D35" s="97"/>
      <c r="E35" s="102"/>
      <c r="F35" s="97"/>
      <c r="G35" s="102">
        <f>10000+1500+1500+4000</f>
        <v>17000</v>
      </c>
      <c r="H35" s="97">
        <f>420000+1500+4500+2000+3000+10000+1500+10000+10000+1500+10000</f>
        <v>474000</v>
      </c>
      <c r="I35" s="102"/>
      <c r="J35" s="97">
        <v>4500</v>
      </c>
      <c r="K35" s="102"/>
      <c r="L35" s="97">
        <v>5000</v>
      </c>
      <c r="M35" s="56">
        <f t="shared" si="3"/>
        <v>500500</v>
      </c>
      <c r="N35" s="54">
        <v>457500</v>
      </c>
      <c r="O35" s="55">
        <f t="shared" si="2"/>
        <v>-43000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45565</v>
      </c>
      <c r="C36" s="102"/>
      <c r="D36" s="97"/>
      <c r="E36" s="102">
        <v>650000</v>
      </c>
      <c r="F36" s="97">
        <v>100000</v>
      </c>
      <c r="G36" s="102"/>
      <c r="H36" s="97">
        <f>3000+40000+450000+344500+350000+10000+10000+2000+2000+10000</f>
        <v>1221500</v>
      </c>
      <c r="I36" s="102"/>
      <c r="J36" s="97">
        <v>6136</v>
      </c>
      <c r="K36" s="102"/>
      <c r="L36" s="97">
        <f>12000+1000+17870+6650</f>
        <v>37520</v>
      </c>
      <c r="M36" s="56">
        <f t="shared" si="3"/>
        <v>2015156</v>
      </c>
      <c r="N36" s="54">
        <v>1991156</v>
      </c>
      <c r="O36" s="55">
        <f t="shared" si="2"/>
        <v>-24000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02"/>
      <c r="D37" s="97"/>
      <c r="E37" s="102"/>
      <c r="F37" s="97"/>
      <c r="G37" s="102"/>
      <c r="H37" s="97"/>
      <c r="I37" s="102"/>
      <c r="J37" s="97"/>
      <c r="K37" s="102"/>
      <c r="L37" s="97"/>
      <c r="M37" s="56">
        <f t="shared" si="3"/>
        <v>0</v>
      </c>
      <c r="N37" s="54"/>
      <c r="O37" s="55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4270000</v>
      </c>
      <c r="D39" s="25">
        <f>SUM(D7:D38)</f>
        <v>695000</v>
      </c>
      <c r="E39" s="24">
        <f t="shared" ref="E39:K39" si="4">SUM(E7:E38)</f>
        <v>3525000</v>
      </c>
      <c r="F39" s="59">
        <f t="shared" si="4"/>
        <v>9714000</v>
      </c>
      <c r="G39" s="24">
        <f t="shared" si="4"/>
        <v>7351000</v>
      </c>
      <c r="H39" s="25">
        <f>SUM(H7:H38)</f>
        <v>25846550</v>
      </c>
      <c r="I39" s="24">
        <f t="shared" si="4"/>
        <v>117220</v>
      </c>
      <c r="J39" s="25">
        <f>SUM(J7:J38)</f>
        <v>547384</v>
      </c>
      <c r="K39" s="24">
        <f t="shared" si="4"/>
        <v>215800</v>
      </c>
      <c r="L39" s="25">
        <f>SUM(L7:L38)</f>
        <v>1294470</v>
      </c>
      <c r="M39" s="28">
        <f>SUM(M7:M38)</f>
        <v>53576424</v>
      </c>
      <c r="N39" s="27">
        <f>SUM(N7:N38)</f>
        <v>52827424</v>
      </c>
      <c r="O39" s="26">
        <f>N39-M39</f>
        <v>-749000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4965000</v>
      </c>
      <c r="D40" s="282"/>
      <c r="E40" s="267">
        <f>SUM(E39:F39)</f>
        <v>13239000</v>
      </c>
      <c r="F40" s="269"/>
      <c r="G40" s="281">
        <f>SUM(G39:H39)</f>
        <v>33197550</v>
      </c>
      <c r="H40" s="282"/>
      <c r="I40" s="267">
        <f>SUM(I39:J39)</f>
        <v>664604</v>
      </c>
      <c r="J40" s="268"/>
      <c r="K40" s="281">
        <f>SUM(K39:L39)</f>
        <v>1510270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45535</v>
      </c>
      <c r="C45" s="3">
        <v>0</v>
      </c>
      <c r="D45" s="14">
        <v>650000</v>
      </c>
      <c r="E45" s="3">
        <v>0</v>
      </c>
      <c r="F45" s="14"/>
      <c r="G45" s="3">
        <v>0</v>
      </c>
      <c r="H45" s="14">
        <v>13500</v>
      </c>
      <c r="I45" s="3">
        <v>0</v>
      </c>
      <c r="J45" s="14">
        <v>8500</v>
      </c>
      <c r="K45" s="134">
        <v>0</v>
      </c>
      <c r="L45" s="14">
        <v>39000</v>
      </c>
      <c r="M45" s="3">
        <f>SUM(C45:L45)</f>
        <v>711000</v>
      </c>
      <c r="N45" s="3"/>
      <c r="O45" s="3">
        <f>N45-M45</f>
        <v>-711000</v>
      </c>
      <c r="P45" s="85">
        <v>45536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45565</v>
      </c>
      <c r="C48" s="3">
        <v>0</v>
      </c>
      <c r="D48" s="14"/>
      <c r="E48" s="3">
        <v>0</v>
      </c>
      <c r="F48" s="14">
        <v>100000</v>
      </c>
      <c r="G48" s="3">
        <v>0</v>
      </c>
      <c r="H48" s="14">
        <v>1221500</v>
      </c>
      <c r="I48" s="3">
        <v>0</v>
      </c>
      <c r="J48" s="14">
        <v>6136</v>
      </c>
      <c r="K48" s="134">
        <v>0</v>
      </c>
      <c r="L48" s="14">
        <v>37520</v>
      </c>
      <c r="M48" s="3">
        <f>SUM(C48:L48)</f>
        <v>1365156</v>
      </c>
      <c r="N48" s="3"/>
      <c r="O48" s="3">
        <v>1365156</v>
      </c>
      <c r="P48" s="151">
        <v>45566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650000</v>
      </c>
      <c r="E50" s="262">
        <f>F45+F46-F47-F48</f>
        <v>-100000</v>
      </c>
      <c r="F50" s="263"/>
      <c r="G50" s="262">
        <f>H45+H46-H47-H48</f>
        <v>-1208000</v>
      </c>
      <c r="H50" s="263"/>
      <c r="I50" s="262">
        <f>J45+J46-J47-J48</f>
        <v>2364</v>
      </c>
      <c r="J50" s="263"/>
      <c r="K50" s="262">
        <f>L45+L46-L47-L48</f>
        <v>1480</v>
      </c>
      <c r="L50" s="263"/>
    </row>
    <row r="51" spans="2:28" x14ac:dyDescent="0.25">
      <c r="B51" s="264" t="s">
        <v>12</v>
      </c>
      <c r="C51" s="264"/>
      <c r="D51" s="31">
        <f>D39+D50</f>
        <v>1345000</v>
      </c>
      <c r="E51" s="265">
        <f>F39+E50</f>
        <v>9614000</v>
      </c>
      <c r="F51" s="266"/>
      <c r="G51" s="265">
        <f>H39+G50</f>
        <v>24638550</v>
      </c>
      <c r="H51" s="266"/>
      <c r="I51" s="286">
        <f>J39+I50</f>
        <v>549748</v>
      </c>
      <c r="J51" s="287"/>
      <c r="K51" s="265">
        <f>L39+K50</f>
        <v>1295950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37443248</v>
      </c>
      <c r="E52" s="283"/>
      <c r="F52" s="283"/>
      <c r="G52" s="283"/>
      <c r="H52" s="283"/>
      <c r="I52" s="166"/>
      <c r="J52" s="166"/>
      <c r="K52" s="166"/>
      <c r="L52" s="166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12175.88</v>
      </c>
      <c r="P54" s="87"/>
      <c r="S54">
        <v>3.6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15479020</v>
      </c>
      <c r="D55" s="149">
        <f>D39+H39+F39+J39+L39</f>
        <v>38097404</v>
      </c>
      <c r="E55" s="58"/>
      <c r="F55" s="58"/>
      <c r="M55" s="63" t="s">
        <v>25</v>
      </c>
      <c r="N55" s="64">
        <v>86584.02</v>
      </c>
      <c r="P55" s="88"/>
      <c r="S55">
        <v>25.6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53576424</v>
      </c>
      <c r="D56" s="285"/>
      <c r="E56" s="57"/>
      <c r="F56" s="57"/>
      <c r="M56" s="63" t="s">
        <v>28</v>
      </c>
      <c r="N56" s="64">
        <v>222547.99</v>
      </c>
      <c r="R56" s="87"/>
      <c r="S56">
        <v>65.8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5073.28</v>
      </c>
      <c r="S57">
        <v>1.5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11837.66</v>
      </c>
      <c r="S58">
        <v>3.5</v>
      </c>
      <c r="Y58" s="4"/>
      <c r="AA58" s="78"/>
      <c r="AB58" s="68"/>
    </row>
    <row r="59" spans="2:28" x14ac:dyDescent="0.25">
      <c r="J59" t="s">
        <v>3</v>
      </c>
      <c r="N59" s="64">
        <v>338218.83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52922268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2"/>
  <sheetViews>
    <sheetView topLeftCell="A10" workbookViewId="0">
      <selection activeCell="P21" sqref="P21:Q37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41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45566</v>
      </c>
      <c r="C7" s="102"/>
      <c r="D7" s="97"/>
      <c r="E7" s="102">
        <v>1050000</v>
      </c>
      <c r="F7" s="97">
        <v>505000</v>
      </c>
      <c r="G7" s="119"/>
      <c r="H7" s="120">
        <f>290000+60000+470000+10000+1500+1500+10000+10000</f>
        <v>853000</v>
      </c>
      <c r="I7" s="119"/>
      <c r="J7" s="120">
        <f>1800</f>
        <v>1800</v>
      </c>
      <c r="K7" s="119"/>
      <c r="L7" s="120">
        <f>5000</f>
        <v>5000</v>
      </c>
      <c r="M7" s="56">
        <f t="shared" ref="M7:M14" si="0">SUM(C7:L7)</f>
        <v>2414800</v>
      </c>
      <c r="N7" s="52">
        <v>2381800</v>
      </c>
      <c r="O7" s="53">
        <f>N7-M7</f>
        <v>-33000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45567</v>
      </c>
      <c r="C8" s="121"/>
      <c r="D8" s="97"/>
      <c r="E8" s="102">
        <v>300000</v>
      </c>
      <c r="F8" s="97">
        <f>5000+730000+50000+2900</f>
        <v>787900</v>
      </c>
      <c r="G8" s="121"/>
      <c r="H8" s="97">
        <f>3000+450000+1500+2000+2000+10000</f>
        <v>468500</v>
      </c>
      <c r="I8" s="121">
        <v>800</v>
      </c>
      <c r="J8" s="97">
        <f>12000</f>
        <v>12000</v>
      </c>
      <c r="K8" s="121"/>
      <c r="L8" s="97">
        <f>21000</f>
        <v>21000</v>
      </c>
      <c r="M8" s="56">
        <f t="shared" si="0"/>
        <v>1590200</v>
      </c>
      <c r="N8" s="52">
        <v>1576200</v>
      </c>
      <c r="O8" s="53">
        <f t="shared" ref="O8:O37" si="2">N8-M8</f>
        <v>-14000</v>
      </c>
      <c r="Z8" s="78"/>
      <c r="AB8" s="68"/>
    </row>
    <row r="9" spans="2:28" x14ac:dyDescent="0.25">
      <c r="B9" s="15">
        <f t="shared" si="1"/>
        <v>45568</v>
      </c>
      <c r="C9" s="102"/>
      <c r="D9" s="122"/>
      <c r="E9" s="102">
        <v>5000</v>
      </c>
      <c r="F9" s="97"/>
      <c r="G9" s="102"/>
      <c r="H9" s="97">
        <f>1500+10000+10000+2000</f>
        <v>23500</v>
      </c>
      <c r="I9" s="102"/>
      <c r="J9" s="97">
        <f>15000</f>
        <v>15000</v>
      </c>
      <c r="K9" s="102"/>
      <c r="L9" s="97">
        <f>5000</f>
        <v>5000</v>
      </c>
      <c r="M9" s="56">
        <f t="shared" si="0"/>
        <v>48500</v>
      </c>
      <c r="N9" s="51">
        <v>25000</v>
      </c>
      <c r="O9" s="53">
        <f t="shared" si="2"/>
        <v>-23500</v>
      </c>
      <c r="P9" s="101"/>
      <c r="Z9" s="78"/>
      <c r="AB9" s="68"/>
    </row>
    <row r="10" spans="2:28" x14ac:dyDescent="0.25">
      <c r="B10" s="15">
        <f t="shared" si="1"/>
        <v>45569</v>
      </c>
      <c r="C10" s="102"/>
      <c r="D10" s="122"/>
      <c r="E10" s="102"/>
      <c r="F10" s="97"/>
      <c r="G10" s="102"/>
      <c r="H10" s="97">
        <f>1500+350000+341500+350000+1500</f>
        <v>1044500</v>
      </c>
      <c r="I10" s="102"/>
      <c r="J10" s="97">
        <f>6000+6500+14220</f>
        <v>26720</v>
      </c>
      <c r="K10" s="102">
        <v>52500</v>
      </c>
      <c r="L10" s="97">
        <f>152500</f>
        <v>152500</v>
      </c>
      <c r="M10" s="56">
        <f t="shared" si="0"/>
        <v>1276220</v>
      </c>
      <c r="N10" s="51">
        <v>1274720</v>
      </c>
      <c r="O10" s="53">
        <f>N10-M10</f>
        <v>-1500</v>
      </c>
      <c r="P10" s="101"/>
      <c r="Z10" s="78"/>
      <c r="AB10" s="68"/>
    </row>
    <row r="11" spans="2:28" x14ac:dyDescent="0.25">
      <c r="B11" s="15">
        <f t="shared" si="1"/>
        <v>45570</v>
      </c>
      <c r="C11" s="121"/>
      <c r="D11" s="97"/>
      <c r="E11" s="102"/>
      <c r="F11" s="97"/>
      <c r="G11" s="121">
        <f>90000+440000+470000+340000</f>
        <v>1340000</v>
      </c>
      <c r="H11" s="121">
        <f>1500+440000+110000+370000+10000+10000</f>
        <v>941500</v>
      </c>
      <c r="I11" s="121"/>
      <c r="J11" s="97"/>
      <c r="K11" s="121"/>
      <c r="L11" s="97">
        <f>5000</f>
        <v>5000</v>
      </c>
      <c r="M11" s="56">
        <f t="shared" si="0"/>
        <v>2286500</v>
      </c>
      <c r="N11" s="52">
        <v>2266500</v>
      </c>
      <c r="O11" s="53">
        <f>N11-M11</f>
        <v>-20000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45571</v>
      </c>
      <c r="C12" s="102"/>
      <c r="D12" s="97"/>
      <c r="E12" s="102"/>
      <c r="F12" s="97"/>
      <c r="G12" s="102"/>
      <c r="H12" s="97">
        <f>1500+300000+5000+10000+10000+10000+2000</f>
        <v>338500</v>
      </c>
      <c r="I12" s="102"/>
      <c r="J12" s="97">
        <f>1000</f>
        <v>1000</v>
      </c>
      <c r="K12" s="102"/>
      <c r="L12" s="97"/>
      <c r="M12" s="56">
        <f t="shared" si="0"/>
        <v>339500</v>
      </c>
      <c r="N12" s="52">
        <v>307500</v>
      </c>
      <c r="O12" s="53">
        <f>N12-M12</f>
        <v>-32000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45572</v>
      </c>
      <c r="C13" s="102"/>
      <c r="D13" s="97"/>
      <c r="E13" s="102"/>
      <c r="F13" s="97"/>
      <c r="G13" s="102">
        <f>550000+450000</f>
        <v>1000000</v>
      </c>
      <c r="H13" s="97">
        <f>60000+520000+10000+10000</f>
        <v>600000</v>
      </c>
      <c r="I13" s="102">
        <f>3500</f>
        <v>3500</v>
      </c>
      <c r="J13" s="97"/>
      <c r="K13" s="102"/>
      <c r="L13" s="97">
        <f>5000+66500+21600</f>
        <v>93100</v>
      </c>
      <c r="M13" s="56">
        <f t="shared" si="0"/>
        <v>1696600</v>
      </c>
      <c r="N13" s="52">
        <v>1676600</v>
      </c>
      <c r="O13" s="53">
        <f>N13-M13</f>
        <v>-20000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45573</v>
      </c>
      <c r="C14" s="102">
        <f>1200000+750000</f>
        <v>1950000</v>
      </c>
      <c r="D14" s="97"/>
      <c r="E14" s="102">
        <f>140000</f>
        <v>140000</v>
      </c>
      <c r="F14" s="97">
        <f>5000</f>
        <v>5000</v>
      </c>
      <c r="G14" s="102"/>
      <c r="H14" s="97">
        <f>540000+116000+430000+180000+1500+10000+2000+2000+10000+1500+1500+10000</f>
        <v>1304500</v>
      </c>
      <c r="I14" s="102"/>
      <c r="J14" s="97">
        <f>6500</f>
        <v>6500</v>
      </c>
      <c r="K14" s="102"/>
      <c r="L14" s="97"/>
      <c r="M14" s="56">
        <f t="shared" si="0"/>
        <v>3406000</v>
      </c>
      <c r="N14" s="51">
        <v>3369000</v>
      </c>
      <c r="O14" s="53">
        <f>N14-M14</f>
        <v>-37000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45574</v>
      </c>
      <c r="C15" s="102">
        <f>10000</f>
        <v>10000</v>
      </c>
      <c r="D15" s="97">
        <f>5000</f>
        <v>5000</v>
      </c>
      <c r="E15" s="102"/>
      <c r="F15" s="97">
        <f>80000</f>
        <v>80000</v>
      </c>
      <c r="G15" s="102">
        <f>470000</f>
        <v>470000</v>
      </c>
      <c r="H15" s="97">
        <f>460000+50000+1500+10000+10000</f>
        <v>531500</v>
      </c>
      <c r="I15" s="102"/>
      <c r="J15" s="97">
        <f>3500+24920</f>
        <v>28420</v>
      </c>
      <c r="K15" s="102">
        <f>6500</f>
        <v>6500</v>
      </c>
      <c r="L15" s="97">
        <f>6500</f>
        <v>6500</v>
      </c>
      <c r="M15" s="56">
        <f t="shared" ref="M15:M38" si="3">SUM(C15:L15)</f>
        <v>1137920</v>
      </c>
      <c r="N15" s="51">
        <v>1117920</v>
      </c>
      <c r="O15" s="53">
        <f t="shared" si="2"/>
        <v>-20000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45575</v>
      </c>
      <c r="C16" s="136">
        <v>167000</v>
      </c>
      <c r="D16" s="97">
        <f>820000</f>
        <v>820000</v>
      </c>
      <c r="E16" s="102"/>
      <c r="F16" s="97">
        <f>600000+1150000</f>
        <v>1750000</v>
      </c>
      <c r="G16" s="136">
        <f>350000+540000+1500+1500+230000</f>
        <v>1123000</v>
      </c>
      <c r="H16" s="97">
        <f>370000+1500+110000+10000+5000</f>
        <v>496500</v>
      </c>
      <c r="I16" s="121">
        <v>3500</v>
      </c>
      <c r="J16" s="97">
        <f>3500</f>
        <v>3500</v>
      </c>
      <c r="K16" s="121"/>
      <c r="L16" s="97">
        <f>74500</f>
        <v>74500</v>
      </c>
      <c r="M16" s="56">
        <f t="shared" si="3"/>
        <v>4438000</v>
      </c>
      <c r="N16" s="52">
        <v>4423000</v>
      </c>
      <c r="O16" s="53">
        <f t="shared" si="2"/>
        <v>-15000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45576</v>
      </c>
      <c r="C17" s="102">
        <f>680000</f>
        <v>680000</v>
      </c>
      <c r="D17" s="97">
        <f>100000</f>
        <v>100000</v>
      </c>
      <c r="E17" s="121">
        <f>5000+620000</f>
        <v>625000</v>
      </c>
      <c r="F17" s="122">
        <f>30000</f>
        <v>30000</v>
      </c>
      <c r="G17" s="102">
        <f>440000</f>
        <v>440000</v>
      </c>
      <c r="H17" s="122">
        <f>100000+360000+10000+10000</f>
        <v>480000</v>
      </c>
      <c r="I17" s="102"/>
      <c r="J17" s="122">
        <f>29830+9000</f>
        <v>38830</v>
      </c>
      <c r="K17" s="102"/>
      <c r="L17" s="122">
        <f>108700</f>
        <v>108700</v>
      </c>
      <c r="M17" s="56">
        <f t="shared" si="3"/>
        <v>2502530</v>
      </c>
      <c r="N17" s="52">
        <v>2482530</v>
      </c>
      <c r="O17" s="53">
        <f t="shared" si="2"/>
        <v>-20000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45577</v>
      </c>
      <c r="C18" s="121"/>
      <c r="D18" s="97"/>
      <c r="E18" s="102"/>
      <c r="F18" s="97"/>
      <c r="G18" s="121">
        <f>1500+440000+100+100</f>
        <v>441700</v>
      </c>
      <c r="H18" s="97">
        <f>440000+5000+35000+300000+2000+10000+10000+10000+10000+10000+10000</f>
        <v>842000</v>
      </c>
      <c r="I18" s="121">
        <f>24300</f>
        <v>24300</v>
      </c>
      <c r="J18" s="97">
        <f>13310</f>
        <v>13310</v>
      </c>
      <c r="K18" s="121"/>
      <c r="L18" s="97">
        <f>50000+59000</f>
        <v>109000</v>
      </c>
      <c r="M18" s="56">
        <f t="shared" si="3"/>
        <v>1430310</v>
      </c>
      <c r="N18" s="51">
        <v>1368310</v>
      </c>
      <c r="O18" s="53">
        <f t="shared" si="2"/>
        <v>-62000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45578</v>
      </c>
      <c r="C19" s="102"/>
      <c r="D19" s="97"/>
      <c r="E19" s="102"/>
      <c r="F19" s="97"/>
      <c r="G19" s="102">
        <f>1500+460000+60000+370000</f>
        <v>891500</v>
      </c>
      <c r="H19" s="97">
        <f>1500+1500+1500+870000+310000+320000+10000</f>
        <v>1514500</v>
      </c>
      <c r="I19" s="102"/>
      <c r="J19" s="97"/>
      <c r="K19" s="102"/>
      <c r="L19" s="97"/>
      <c r="M19" s="56">
        <f>SUM(C19:L19)</f>
        <v>2406000</v>
      </c>
      <c r="N19" s="52">
        <v>2396000</v>
      </c>
      <c r="O19" s="53">
        <f t="shared" si="2"/>
        <v>-10000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45579</v>
      </c>
      <c r="C20" s="102"/>
      <c r="D20" s="122">
        <f>300000</f>
        <v>300000</v>
      </c>
      <c r="E20" s="102"/>
      <c r="F20" s="97"/>
      <c r="G20" s="102"/>
      <c r="H20" s="97">
        <f>290000+15000+5000+10000+10000+2000+10000</f>
        <v>342000</v>
      </c>
      <c r="I20" s="102"/>
      <c r="J20" s="97"/>
      <c r="K20" s="102">
        <f>10000</f>
        <v>10000</v>
      </c>
      <c r="L20" s="97">
        <f>4500</f>
        <v>4500</v>
      </c>
      <c r="M20" s="56">
        <f t="shared" si="3"/>
        <v>656500</v>
      </c>
      <c r="N20" s="52">
        <v>619500</v>
      </c>
      <c r="O20" s="53">
        <f t="shared" si="2"/>
        <v>-37000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36.75" customHeight="1" x14ac:dyDescent="0.25">
      <c r="B21" s="15">
        <f>B20+1</f>
        <v>45580</v>
      </c>
      <c r="C21" s="102">
        <v>1500000</v>
      </c>
      <c r="D21" s="97"/>
      <c r="E21" s="102"/>
      <c r="F21" s="97">
        <f>45000+645000+650000</f>
        <v>1340000</v>
      </c>
      <c r="G21" s="102">
        <f>80000+1500</f>
        <v>81500</v>
      </c>
      <c r="H21" s="97">
        <f>3000+290000+1500+60000+4500+10000+10000+10000+10000+10000+2000+1500+1500</f>
        <v>414000</v>
      </c>
      <c r="I21" s="102">
        <f>850</f>
        <v>850</v>
      </c>
      <c r="J21" s="97">
        <f>7200+3250+9450+3500+4050+4650+11250</f>
        <v>43350</v>
      </c>
      <c r="K21" s="102">
        <f>115000</f>
        <v>115000</v>
      </c>
      <c r="L21" s="97">
        <f>7500</f>
        <v>7500</v>
      </c>
      <c r="M21" s="56">
        <f t="shared" si="3"/>
        <v>3502200</v>
      </c>
      <c r="N21" s="157">
        <v>3458700</v>
      </c>
      <c r="O21" s="53">
        <f t="shared" si="2"/>
        <v>-43500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 t="shared" si="1"/>
        <v>45581</v>
      </c>
      <c r="C22" s="102">
        <v>7000</v>
      </c>
      <c r="D22" s="97">
        <v>465000</v>
      </c>
      <c r="E22" s="102">
        <v>1450000</v>
      </c>
      <c r="F22" s="97">
        <v>60000</v>
      </c>
      <c r="G22" s="102">
        <f>350000</f>
        <v>350000</v>
      </c>
      <c r="H22" s="97">
        <f>190000+501500+490000+10000+10000+20000+10000</f>
        <v>1231500</v>
      </c>
      <c r="I22" s="102">
        <v>3500</v>
      </c>
      <c r="J22" s="97">
        <f>6000</f>
        <v>6000</v>
      </c>
      <c r="K22" s="102">
        <v>3500</v>
      </c>
      <c r="L22" s="97">
        <v>17500</v>
      </c>
      <c r="M22" s="56">
        <f t="shared" si="3"/>
        <v>3594000</v>
      </c>
      <c r="N22" s="157">
        <v>3544000</v>
      </c>
      <c r="O22" s="53">
        <f t="shared" si="2"/>
        <v>-50000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45582</v>
      </c>
      <c r="C23" s="102"/>
      <c r="D23" s="97"/>
      <c r="E23" s="102"/>
      <c r="F23" s="97">
        <f>750000</f>
        <v>750000</v>
      </c>
      <c r="G23" s="102">
        <f>490000</f>
        <v>490000</v>
      </c>
      <c r="H23" s="97">
        <f>350000+1500+1500+2000+520000+1500+20000+10000+2000+10000+10000+10000+10000+2000+2000</f>
        <v>952500</v>
      </c>
      <c r="I23" s="102"/>
      <c r="J23" s="97">
        <f>1700</f>
        <v>1700</v>
      </c>
      <c r="K23" s="102">
        <f>5000+5000</f>
        <v>10000</v>
      </c>
      <c r="L23" s="97">
        <f>36100+2000</f>
        <v>38100</v>
      </c>
      <c r="M23" s="56">
        <f t="shared" si="3"/>
        <v>2242300</v>
      </c>
      <c r="N23" s="52">
        <v>2166300</v>
      </c>
      <c r="O23" s="53">
        <f t="shared" si="2"/>
        <v>-76000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45583</v>
      </c>
      <c r="C24" s="121"/>
      <c r="D24" s="97"/>
      <c r="E24" s="102">
        <f>15000</f>
        <v>15000</v>
      </c>
      <c r="F24" s="97">
        <f>25000</f>
        <v>25000</v>
      </c>
      <c r="G24" s="121">
        <f>390000</f>
        <v>390000</v>
      </c>
      <c r="H24" s="97">
        <f>330000+460000+10000+2000+10000</f>
        <v>812000</v>
      </c>
      <c r="I24" s="121"/>
      <c r="J24" s="97">
        <f>1700</f>
        <v>1700</v>
      </c>
      <c r="K24" s="121"/>
      <c r="L24" s="97">
        <f>30250</f>
        <v>30250</v>
      </c>
      <c r="M24" s="56">
        <f t="shared" si="3"/>
        <v>1273950</v>
      </c>
      <c r="N24" s="51">
        <v>1251950</v>
      </c>
      <c r="O24" s="53">
        <f t="shared" si="2"/>
        <v>-22000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45584</v>
      </c>
      <c r="C25" s="102"/>
      <c r="D25" s="97"/>
      <c r="E25" s="102"/>
      <c r="F25" s="97"/>
      <c r="G25" s="102">
        <f>2000+20000</f>
        <v>22000</v>
      </c>
      <c r="H25" s="97">
        <f>7500+10000+10000+1500+2000+10000+10000</f>
        <v>51000</v>
      </c>
      <c r="I25" s="102">
        <f>30000</f>
        <v>30000</v>
      </c>
      <c r="J25" s="97">
        <f>6000+14220</f>
        <v>20220</v>
      </c>
      <c r="K25" s="102">
        <f>30000+5000</f>
        <v>35000</v>
      </c>
      <c r="L25" s="97">
        <f>7000+18000</f>
        <v>25000</v>
      </c>
      <c r="M25" s="56">
        <f t="shared" si="3"/>
        <v>183220</v>
      </c>
      <c r="N25" s="52">
        <v>139720</v>
      </c>
      <c r="O25" s="53">
        <f t="shared" si="2"/>
        <v>-43500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45585</v>
      </c>
      <c r="C26" s="102"/>
      <c r="D26" s="97"/>
      <c r="E26" s="102"/>
      <c r="F26" s="97"/>
      <c r="G26" s="102">
        <f>435000+364000</f>
        <v>799000</v>
      </c>
      <c r="H26" s="97">
        <f>720000+290000+450000+15000+14000+10000+10000+10000+10000</f>
        <v>1529000</v>
      </c>
      <c r="I26" s="102"/>
      <c r="J26" s="97">
        <v>7110</v>
      </c>
      <c r="K26" s="102"/>
      <c r="L26" s="97">
        <f>2000</f>
        <v>2000</v>
      </c>
      <c r="M26" s="56">
        <f t="shared" si="3"/>
        <v>2337110</v>
      </c>
      <c r="N26" s="52">
        <v>2297110</v>
      </c>
      <c r="O26" s="53">
        <f t="shared" si="2"/>
        <v>-40000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45586</v>
      </c>
      <c r="C27" s="102"/>
      <c r="D27" s="97">
        <f>807000</f>
        <v>807000</v>
      </c>
      <c r="E27" s="102"/>
      <c r="F27" s="97"/>
      <c r="G27" s="102">
        <f>30000+2000</f>
        <v>32000</v>
      </c>
      <c r="H27" s="97">
        <f>440000+450000+10000+10000+10000+10000</f>
        <v>930000</v>
      </c>
      <c r="I27" s="102"/>
      <c r="J27" s="137">
        <f>12700</f>
        <v>12700</v>
      </c>
      <c r="K27" s="102">
        <f>30000</f>
        <v>30000</v>
      </c>
      <c r="L27" s="97">
        <f>16500</f>
        <v>16500</v>
      </c>
      <c r="M27" s="56">
        <f t="shared" si="3"/>
        <v>1828200</v>
      </c>
      <c r="N27" s="154">
        <v>1788200</v>
      </c>
      <c r="O27" s="155">
        <f t="shared" si="2"/>
        <v>-40000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45587</v>
      </c>
      <c r="C28" s="102"/>
      <c r="D28" s="97">
        <f>750000+1090000</f>
        <v>1840000</v>
      </c>
      <c r="E28" s="102"/>
      <c r="F28" s="97">
        <f>1340000+1470000</f>
        <v>2810000</v>
      </c>
      <c r="G28" s="102"/>
      <c r="H28" s="97">
        <f>130000+60000+290000+470000+1500+10000</f>
        <v>961500</v>
      </c>
      <c r="I28" s="102"/>
      <c r="J28" s="97">
        <f>6200+3574</f>
        <v>9774</v>
      </c>
      <c r="K28" s="102">
        <v>5000</v>
      </c>
      <c r="L28" s="97">
        <f>23000+30000</f>
        <v>53000</v>
      </c>
      <c r="M28" s="156">
        <f t="shared" si="3"/>
        <v>5679274</v>
      </c>
      <c r="N28" s="157">
        <v>5669274</v>
      </c>
      <c r="O28" s="155">
        <f t="shared" si="2"/>
        <v>-10000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45588</v>
      </c>
      <c r="C29" s="102"/>
      <c r="D29" s="97"/>
      <c r="E29" s="102"/>
      <c r="F29" s="97">
        <f>530000</f>
        <v>530000</v>
      </c>
      <c r="G29" s="102"/>
      <c r="H29" s="97">
        <f>10000+290000+1500+20000+10000+2000+5000+5000+10500</f>
        <v>354000</v>
      </c>
      <c r="I29" s="102">
        <f>9500</f>
        <v>9500</v>
      </c>
      <c r="J29" s="97">
        <f>7110</f>
        <v>7110</v>
      </c>
      <c r="K29" s="102"/>
      <c r="L29" s="97">
        <f>84425+10500</f>
        <v>94925</v>
      </c>
      <c r="M29" s="56">
        <f t="shared" si="3"/>
        <v>995535</v>
      </c>
      <c r="N29" s="52">
        <v>943035</v>
      </c>
      <c r="O29" s="53">
        <f t="shared" si="2"/>
        <v>-52500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45589</v>
      </c>
      <c r="C30" s="138">
        <f>1155000</f>
        <v>1155000</v>
      </c>
      <c r="D30" s="137">
        <f>45000</f>
        <v>45000</v>
      </c>
      <c r="E30" s="102">
        <f>600000</f>
        <v>600000</v>
      </c>
      <c r="F30" s="97">
        <f>900000</f>
        <v>900000</v>
      </c>
      <c r="G30" s="102">
        <f>400000</f>
        <v>400000</v>
      </c>
      <c r="H30" s="97">
        <f>20000+920000+540000+3000+20000+10000+10000+10000+1500+10000</f>
        <v>1544500</v>
      </c>
      <c r="I30" s="102">
        <f>14220+45000</f>
        <v>59220</v>
      </c>
      <c r="J30" s="97">
        <f>6000+15000</f>
        <v>21000</v>
      </c>
      <c r="K30" s="138"/>
      <c r="L30" s="137">
        <f>159000+51500</f>
        <v>210500</v>
      </c>
      <c r="M30" s="56">
        <f t="shared" si="3"/>
        <v>4935220</v>
      </c>
      <c r="N30" s="51">
        <v>4863720</v>
      </c>
      <c r="O30" s="53">
        <f t="shared" si="2"/>
        <v>-71500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45590</v>
      </c>
      <c r="C31" s="121"/>
      <c r="D31" s="97">
        <f>190000</f>
        <v>190000</v>
      </c>
      <c r="E31" s="102"/>
      <c r="F31" s="97"/>
      <c r="G31" s="121">
        <f>260000</f>
        <v>260000</v>
      </c>
      <c r="H31" s="97">
        <f>10000+390000+440000+1500+440000+2000+78000+8900+320000+10000+5000+10000+10000+1500+2000+10000</f>
        <v>1738900</v>
      </c>
      <c r="I31" s="102">
        <f>11200+7700+6000</f>
        <v>24900</v>
      </c>
      <c r="J31" s="97">
        <f>11340+300+7110+17235</f>
        <v>35985</v>
      </c>
      <c r="K31" s="102"/>
      <c r="L31" s="97">
        <f>5000+30000</f>
        <v>35000</v>
      </c>
      <c r="M31" s="56">
        <f t="shared" si="3"/>
        <v>2284785</v>
      </c>
      <c r="N31" s="51">
        <v>2236285</v>
      </c>
      <c r="O31" s="53">
        <f t="shared" si="2"/>
        <v>-48500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45591</v>
      </c>
      <c r="C32" s="102"/>
      <c r="D32" s="97"/>
      <c r="E32" s="102"/>
      <c r="F32" s="97">
        <f>770000</f>
        <v>770000</v>
      </c>
      <c r="G32" s="102"/>
      <c r="H32" s="97">
        <f>620000+310000+550000+380000+1500+5000+10000</f>
        <v>1876500</v>
      </c>
      <c r="I32" s="102"/>
      <c r="J32" s="97">
        <f>70920</f>
        <v>70920</v>
      </c>
      <c r="K32" s="102"/>
      <c r="L32" s="97">
        <f>21500</f>
        <v>21500</v>
      </c>
      <c r="M32" s="156">
        <f t="shared" si="3"/>
        <v>2738920</v>
      </c>
      <c r="N32" s="157">
        <v>2723920</v>
      </c>
      <c r="O32" s="155">
        <f t="shared" si="2"/>
        <v>-15000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45592</v>
      </c>
      <c r="C33" s="102"/>
      <c r="D33" s="97"/>
      <c r="E33" s="102"/>
      <c r="F33" s="97">
        <f>575000</f>
        <v>575000</v>
      </c>
      <c r="G33" s="102">
        <f>100000+1500</f>
        <v>101500</v>
      </c>
      <c r="H33" s="97">
        <f>370000+440000+390000+3000+4000+280000+10000+10000+1500+5000</f>
        <v>1513500</v>
      </c>
      <c r="I33" s="102"/>
      <c r="J33" s="97">
        <f>10900+14220</f>
        <v>25120</v>
      </c>
      <c r="K33" s="102"/>
      <c r="L33" s="97"/>
      <c r="M33" s="56">
        <f t="shared" si="3"/>
        <v>2215120</v>
      </c>
      <c r="N33" s="51">
        <v>2188620</v>
      </c>
      <c r="O33" s="53">
        <f t="shared" si="2"/>
        <v>-26500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45593</v>
      </c>
      <c r="C34" s="102"/>
      <c r="D34" s="95"/>
      <c r="E34" s="102"/>
      <c r="F34" s="97"/>
      <c r="G34" s="138">
        <f>450000+130000</f>
        <v>580000</v>
      </c>
      <c r="H34" s="137">
        <f>1535000+290000+2000+150000+185000+405000+10000+10000+1500+2000+1500+1500+10000+1500+2000+10000+5000</f>
        <v>2622000</v>
      </c>
      <c r="I34" s="138"/>
      <c r="J34" s="137">
        <f>6000+7110+5713</f>
        <v>18823</v>
      </c>
      <c r="K34" s="138"/>
      <c r="L34" s="137">
        <f>5000+77050</f>
        <v>82050</v>
      </c>
      <c r="M34" s="156">
        <f>SUM(C34:L34)</f>
        <v>3302873</v>
      </c>
      <c r="N34" s="157">
        <v>3247873</v>
      </c>
      <c r="O34" s="53">
        <f t="shared" si="2"/>
        <v>-55000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45594</v>
      </c>
      <c r="C35" s="170"/>
      <c r="D35" s="170">
        <f>750000</f>
        <v>750000</v>
      </c>
      <c r="E35" s="171">
        <f>550000</f>
        <v>550000</v>
      </c>
      <c r="F35" s="170">
        <f>780000</f>
        <v>780000</v>
      </c>
      <c r="G35" s="171">
        <f>300000+2000</f>
        <v>302000</v>
      </c>
      <c r="H35" s="170">
        <f>4500+613000+910000+10400+2000+10000+10000+10000</f>
        <v>1569900</v>
      </c>
      <c r="I35" s="171"/>
      <c r="J35" s="170">
        <f>11340+26420</f>
        <v>37760</v>
      </c>
      <c r="K35" s="171"/>
      <c r="L35" s="170">
        <f>28500</f>
        <v>28500</v>
      </c>
      <c r="M35" s="56">
        <f t="shared" si="3"/>
        <v>4018160</v>
      </c>
      <c r="N35" s="168">
        <v>3988160</v>
      </c>
      <c r="O35" s="55">
        <f t="shared" si="2"/>
        <v>-30000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45595</v>
      </c>
      <c r="C36" s="170"/>
      <c r="D36" s="169"/>
      <c r="E36" s="171">
        <f>70000</f>
        <v>70000</v>
      </c>
      <c r="F36" s="170">
        <f>5000</f>
        <v>5000</v>
      </c>
      <c r="G36" s="171">
        <f>1500</f>
        <v>1500</v>
      </c>
      <c r="H36" s="170">
        <f>360000+171500+3000+2000+1500+350000+10000+10000+10000+1500+7000</f>
        <v>926500</v>
      </c>
      <c r="I36" s="171"/>
      <c r="J36" s="170">
        <f>29330+12000+27500</f>
        <v>68830</v>
      </c>
      <c r="K36" s="171">
        <f>42200</f>
        <v>42200</v>
      </c>
      <c r="L36" s="170">
        <f>117800</f>
        <v>117800</v>
      </c>
      <c r="M36" s="56">
        <f t="shared" si="3"/>
        <v>1231830</v>
      </c>
      <c r="N36" s="168">
        <v>1193330</v>
      </c>
      <c r="O36" s="55">
        <f t="shared" si="2"/>
        <v>-38500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45596</v>
      </c>
      <c r="C37" s="171"/>
      <c r="D37" s="170">
        <f>700000</f>
        <v>700000</v>
      </c>
      <c r="E37" s="171">
        <f>60000</f>
        <v>60000</v>
      </c>
      <c r="F37" s="170">
        <f>1200000</f>
        <v>1200000</v>
      </c>
      <c r="G37" s="171">
        <f>360000+440000+690000+200000</f>
        <v>1690000</v>
      </c>
      <c r="H37" s="170">
        <f>1500+191500+250000+10000+10000+10000+1500+5000</f>
        <v>479500</v>
      </c>
      <c r="I37" s="171">
        <f>10000</f>
        <v>10000</v>
      </c>
      <c r="J37" s="170">
        <f>7700+5000</f>
        <v>12700</v>
      </c>
      <c r="K37" s="171"/>
      <c r="L37" s="170">
        <f>2000+16000</f>
        <v>18000</v>
      </c>
      <c r="M37" s="56">
        <f t="shared" si="3"/>
        <v>4170200</v>
      </c>
      <c r="N37" s="54">
        <v>4133700</v>
      </c>
      <c r="O37" s="55">
        <f t="shared" si="2"/>
        <v>-36500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5469000</v>
      </c>
      <c r="D39" s="25">
        <f>SUM(D7:D38)</f>
        <v>6022000</v>
      </c>
      <c r="E39" s="24">
        <f t="shared" ref="E39:K39" si="4">SUM(E7:E38)</f>
        <v>4865000</v>
      </c>
      <c r="F39" s="59">
        <f t="shared" si="4"/>
        <v>12902900</v>
      </c>
      <c r="G39" s="24">
        <f t="shared" si="4"/>
        <v>11205700</v>
      </c>
      <c r="H39" s="25">
        <f>SUM(H7:H38)</f>
        <v>29287300</v>
      </c>
      <c r="I39" s="24">
        <f t="shared" si="4"/>
        <v>170070</v>
      </c>
      <c r="J39" s="25">
        <f>SUM(J7:J38)</f>
        <v>547882</v>
      </c>
      <c r="K39" s="24">
        <f t="shared" si="4"/>
        <v>309700</v>
      </c>
      <c r="L39" s="25">
        <f>SUM(L7:L38)</f>
        <v>1382925</v>
      </c>
      <c r="M39" s="28">
        <f>SUM(M7:M38)</f>
        <v>72162477</v>
      </c>
      <c r="N39" s="27">
        <f>SUM(N7:N38)</f>
        <v>71118477</v>
      </c>
      <c r="O39" s="26">
        <f>N39-M39</f>
        <v>-1044000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11491000</v>
      </c>
      <c r="D40" s="282"/>
      <c r="E40" s="267">
        <f>SUM(E39:F39)</f>
        <v>17767900</v>
      </c>
      <c r="F40" s="269"/>
      <c r="G40" s="281">
        <f>SUM(G39:H39)</f>
        <v>40493000</v>
      </c>
      <c r="H40" s="282"/>
      <c r="I40" s="267">
        <f>SUM(I39:J39)</f>
        <v>717952</v>
      </c>
      <c r="J40" s="268"/>
      <c r="K40" s="281">
        <f>SUM(K39:L39)</f>
        <v>1692625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45565</v>
      </c>
      <c r="C45" s="3">
        <v>0</v>
      </c>
      <c r="D45" s="14"/>
      <c r="E45" s="3">
        <v>0</v>
      </c>
      <c r="F45" s="14">
        <v>100000</v>
      </c>
      <c r="G45" s="3">
        <v>0</v>
      </c>
      <c r="H45" s="14">
        <v>1221500</v>
      </c>
      <c r="I45" s="3"/>
      <c r="J45" s="14">
        <v>6136</v>
      </c>
      <c r="K45" s="134"/>
      <c r="L45" s="14">
        <v>37520</v>
      </c>
      <c r="M45" s="3">
        <f>SUM(C45:L45)</f>
        <v>1365156</v>
      </c>
      <c r="N45" s="3"/>
      <c r="O45" s="3">
        <f>N45-M45</f>
        <v>-1365156</v>
      </c>
      <c r="P45" s="85">
        <v>45566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45596</v>
      </c>
      <c r="C48" s="3">
        <v>0</v>
      </c>
      <c r="D48" s="14">
        <v>700000</v>
      </c>
      <c r="E48" s="3">
        <v>0</v>
      </c>
      <c r="F48" s="14">
        <v>1200000</v>
      </c>
      <c r="G48" s="3">
        <v>0</v>
      </c>
      <c r="H48" s="14">
        <v>459500</v>
      </c>
      <c r="I48" s="3">
        <v>0</v>
      </c>
      <c r="J48" s="14">
        <v>12700</v>
      </c>
      <c r="K48" s="134">
        <v>0</v>
      </c>
      <c r="L48" s="14">
        <v>18000</v>
      </c>
      <c r="M48" s="3">
        <v>2353700</v>
      </c>
      <c r="N48" s="3"/>
      <c r="O48" s="3">
        <v>2353700</v>
      </c>
      <c r="P48" s="151">
        <v>45596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-700000</v>
      </c>
      <c r="E50" s="262">
        <f>F45+F46-F47-F48</f>
        <v>-1100000</v>
      </c>
      <c r="F50" s="263"/>
      <c r="G50" s="262">
        <f>H45+H46-H47-H48</f>
        <v>762000</v>
      </c>
      <c r="H50" s="263"/>
      <c r="I50" s="262">
        <f>J45+J46-J47-J48</f>
        <v>-6564</v>
      </c>
      <c r="J50" s="263"/>
      <c r="K50" s="262">
        <f>L45+L46-L47-L48</f>
        <v>19520</v>
      </c>
      <c r="L50" s="263"/>
    </row>
    <row r="51" spans="2:28" x14ac:dyDescent="0.25">
      <c r="B51" s="264" t="s">
        <v>12</v>
      </c>
      <c r="C51" s="264"/>
      <c r="D51" s="31">
        <f>D39+D50</f>
        <v>5322000</v>
      </c>
      <c r="E51" s="265">
        <f>F39+E50</f>
        <v>11802900</v>
      </c>
      <c r="F51" s="266"/>
      <c r="G51" s="265">
        <f>H39+G50</f>
        <v>30049300</v>
      </c>
      <c r="H51" s="266"/>
      <c r="I51" s="286">
        <f>J39+I50</f>
        <v>541318</v>
      </c>
      <c r="J51" s="287"/>
      <c r="K51" s="265">
        <f>L39+K50</f>
        <v>1402445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49117963</v>
      </c>
      <c r="E52" s="283"/>
      <c r="F52" s="283"/>
      <c r="G52" s="283"/>
      <c r="H52" s="283"/>
      <c r="I52" s="167"/>
      <c r="J52" s="167"/>
      <c r="K52" s="167"/>
      <c r="L52" s="167"/>
      <c r="P52" s="86"/>
      <c r="Q52" s="86"/>
      <c r="R52" s="86"/>
      <c r="S52" s="86"/>
      <c r="T52" s="86"/>
      <c r="U52" s="86"/>
      <c r="V52" s="86"/>
      <c r="W52" s="86"/>
      <c r="X52" s="86" t="s">
        <v>119</v>
      </c>
      <c r="Y52" s="86" t="s">
        <v>120</v>
      </c>
      <c r="Z52" s="86"/>
      <c r="AA52" s="86"/>
      <c r="AB52" s="86"/>
    </row>
    <row r="53" spans="2:28" x14ac:dyDescent="0.25">
      <c r="S53" s="68" t="s">
        <v>127</v>
      </c>
      <c r="X53" s="68" t="s">
        <v>118</v>
      </c>
      <c r="Y53" s="68" t="s">
        <v>121</v>
      </c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N59*11%</f>
        <v>48524.120699999999</v>
      </c>
      <c r="P54" s="87"/>
      <c r="S54">
        <v>11</v>
      </c>
      <c r="V54" s="87">
        <v>1.55E-2</v>
      </c>
      <c r="X54" s="68" t="s">
        <v>98</v>
      </c>
      <c r="Y54" s="87">
        <v>8.9999999999999993E-3</v>
      </c>
      <c r="Z54" s="68"/>
      <c r="AA54" s="68"/>
      <c r="AB54" s="68"/>
    </row>
    <row r="55" spans="2:28" x14ac:dyDescent="0.25">
      <c r="B55" s="72" t="s">
        <v>13</v>
      </c>
      <c r="C55" s="149">
        <f>C39+G39+E39+I39+K39</f>
        <v>22019470</v>
      </c>
      <c r="D55" s="149">
        <f>D39+H39+F39+J39+L39</f>
        <v>50143007</v>
      </c>
      <c r="E55" s="58"/>
      <c r="F55" s="58"/>
      <c r="M55" s="63" t="s">
        <v>25</v>
      </c>
      <c r="N55" s="64">
        <f>N59*24%</f>
        <v>105870.8088</v>
      </c>
      <c r="P55" s="88"/>
      <c r="S55">
        <v>24</v>
      </c>
      <c r="V55" s="88"/>
      <c r="X55" s="68" t="s">
        <v>99</v>
      </c>
      <c r="Y55" s="78" t="s">
        <v>122</v>
      </c>
      <c r="Z55" s="68"/>
      <c r="AA55" s="68"/>
      <c r="AB55" s="68"/>
    </row>
    <row r="56" spans="2:28" x14ac:dyDescent="0.25">
      <c r="C56" s="284">
        <f>SUM(C55:D55)</f>
        <v>72162477</v>
      </c>
      <c r="D56" s="285"/>
      <c r="E56" s="57"/>
      <c r="F56" s="57"/>
      <c r="M56" s="63" t="s">
        <v>28</v>
      </c>
      <c r="N56" s="64">
        <f>N59*61%</f>
        <v>269088.30569999997</v>
      </c>
      <c r="R56" s="87"/>
      <c r="S56">
        <v>61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N59*1%</f>
        <v>4411.2837</v>
      </c>
      <c r="S57">
        <v>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N59*3%</f>
        <v>13233.8511</v>
      </c>
      <c r="S58">
        <v>3</v>
      </c>
      <c r="Y58" s="4"/>
      <c r="AA58" s="78"/>
      <c r="AB58" s="68"/>
    </row>
    <row r="59" spans="2:28" x14ac:dyDescent="0.25">
      <c r="J59" t="s">
        <v>3</v>
      </c>
      <c r="N59" s="64">
        <v>441128.37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71137433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72"/>
  <sheetViews>
    <sheetView workbookViewId="0">
      <selection activeCell="D3" sqref="D3:G3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18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45597</v>
      </c>
      <c r="C7" s="171"/>
      <c r="D7" s="170">
        <f>350000</f>
        <v>350000</v>
      </c>
      <c r="E7" s="171">
        <f>5000</f>
        <v>5000</v>
      </c>
      <c r="F7" s="170">
        <f>5000+5000</f>
        <v>10000</v>
      </c>
      <c r="G7" s="119">
        <f>2000</f>
        <v>2000</v>
      </c>
      <c r="H7" s="120">
        <f>9000+361500+543000+1500+10000+10000+10000+1500+10000+10000+10000+2000</f>
        <v>978500</v>
      </c>
      <c r="I7" s="119">
        <f>59800</f>
        <v>59800</v>
      </c>
      <c r="J7" s="120">
        <f>6200+4020</f>
        <v>10220</v>
      </c>
      <c r="K7" s="119"/>
      <c r="L7" s="120"/>
      <c r="M7" s="56">
        <f t="shared" ref="M7:M14" si="0">SUM(C7:L7)</f>
        <v>1415520</v>
      </c>
      <c r="N7" s="52">
        <v>1352020</v>
      </c>
      <c r="O7" s="53">
        <f>N7-M7</f>
        <v>-63500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45598</v>
      </c>
      <c r="C8" s="121"/>
      <c r="D8" s="170"/>
      <c r="E8" s="171"/>
      <c r="F8" s="170">
        <v>20000</v>
      </c>
      <c r="G8" s="121"/>
      <c r="H8" s="170">
        <f>454000+135000+290000+190000+4500+340000+2000+10000+2000+1500+2000</f>
        <v>1431000</v>
      </c>
      <c r="I8" s="121"/>
      <c r="J8" s="170">
        <f>6000+4900</f>
        <v>10900</v>
      </c>
      <c r="K8" s="121"/>
      <c r="L8" s="170">
        <f>30000+7000+19500</f>
        <v>56500</v>
      </c>
      <c r="M8" s="56">
        <f t="shared" si="0"/>
        <v>1518400</v>
      </c>
      <c r="N8" s="52">
        <v>1480900</v>
      </c>
      <c r="O8" s="53">
        <f t="shared" ref="O8:O37" si="2">N8-M8</f>
        <v>-37500</v>
      </c>
      <c r="Z8" s="78"/>
      <c r="AB8" s="68"/>
    </row>
    <row r="9" spans="2:28" x14ac:dyDescent="0.25">
      <c r="B9" s="15">
        <f t="shared" si="1"/>
        <v>45599</v>
      </c>
      <c r="C9" s="171"/>
      <c r="D9" s="122">
        <f>600000</f>
        <v>600000</v>
      </c>
      <c r="E9" s="171"/>
      <c r="F9" s="170"/>
      <c r="G9" s="171"/>
      <c r="H9" s="170">
        <f>470000+990000+10000+1500+10000+2000+10000+10000+10000</f>
        <v>1513500</v>
      </c>
      <c r="I9" s="171"/>
      <c r="J9" s="170">
        <f>7600</f>
        <v>7600</v>
      </c>
      <c r="K9" s="171"/>
      <c r="L9" s="170">
        <f>5000</f>
        <v>5000</v>
      </c>
      <c r="M9" s="56">
        <f t="shared" si="0"/>
        <v>2126100</v>
      </c>
      <c r="N9" s="51">
        <v>2084100</v>
      </c>
      <c r="O9" s="53">
        <f t="shared" si="2"/>
        <v>-42000</v>
      </c>
      <c r="P9" s="101"/>
      <c r="Z9" s="78"/>
      <c r="AB9" s="68"/>
    </row>
    <row r="10" spans="2:28" x14ac:dyDescent="0.25">
      <c r="B10" s="15">
        <f t="shared" si="1"/>
        <v>45600</v>
      </c>
      <c r="C10" s="171"/>
      <c r="D10" s="122"/>
      <c r="E10" s="171"/>
      <c r="F10" s="170">
        <v>20000</v>
      </c>
      <c r="G10" s="171">
        <f>150000</f>
        <v>150000</v>
      </c>
      <c r="H10" s="170">
        <f>35000+290000+463000+70000+10000+1500+1500+10000</f>
        <v>881000</v>
      </c>
      <c r="I10" s="171"/>
      <c r="J10" s="170">
        <f>7110+4000+14220</f>
        <v>25330</v>
      </c>
      <c r="K10" s="171"/>
      <c r="L10" s="170">
        <f>15000+39000+25000+24750</f>
        <v>103750</v>
      </c>
      <c r="M10" s="56">
        <f t="shared" si="0"/>
        <v>1180080</v>
      </c>
      <c r="N10" s="51">
        <v>1137080</v>
      </c>
      <c r="O10" s="53">
        <f>N10-M10</f>
        <v>-43000</v>
      </c>
      <c r="P10" s="101"/>
      <c r="Z10" s="78"/>
      <c r="AB10" s="68"/>
    </row>
    <row r="11" spans="2:28" x14ac:dyDescent="0.25">
      <c r="B11" s="15">
        <f t="shared" si="1"/>
        <v>45601</v>
      </c>
      <c r="C11" s="121"/>
      <c r="D11" s="170">
        <f>930000</f>
        <v>930000</v>
      </c>
      <c r="E11" s="171"/>
      <c r="F11" s="170"/>
      <c r="G11" s="121">
        <f>230000+50000</f>
        <v>280000</v>
      </c>
      <c r="H11" s="121">
        <f>3000+10000+10000+10000</f>
        <v>33000</v>
      </c>
      <c r="I11" s="121">
        <f>6000</f>
        <v>6000</v>
      </c>
      <c r="J11" s="170">
        <f>75000</f>
        <v>75000</v>
      </c>
      <c r="K11" s="121"/>
      <c r="L11" s="170">
        <f>7500+5500</f>
        <v>13000</v>
      </c>
      <c r="M11" s="56">
        <f t="shared" si="0"/>
        <v>1337000</v>
      </c>
      <c r="N11" s="52">
        <v>1307000</v>
      </c>
      <c r="O11" s="53">
        <f>N11-M11</f>
        <v>-30000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45602</v>
      </c>
      <c r="C12" s="171"/>
      <c r="D12" s="170">
        <f>7000</f>
        <v>7000</v>
      </c>
      <c r="E12" s="171"/>
      <c r="F12" s="170">
        <f>20000+20000</f>
        <v>40000</v>
      </c>
      <c r="G12" s="171">
        <f>290000</f>
        <v>290000</v>
      </c>
      <c r="H12" s="170">
        <f>205000+890000+6000+10000+10000+10000+10000+10000+2000</f>
        <v>1153000</v>
      </c>
      <c r="I12" s="171"/>
      <c r="J12" s="170">
        <f>3500</f>
        <v>3500</v>
      </c>
      <c r="K12" s="171"/>
      <c r="L12" s="170">
        <f>18000</f>
        <v>18000</v>
      </c>
      <c r="M12" s="56">
        <f t="shared" si="0"/>
        <v>1511500</v>
      </c>
      <c r="N12" s="52">
        <v>1419500</v>
      </c>
      <c r="O12" s="53">
        <f>N12-M12</f>
        <v>-92000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45603</v>
      </c>
      <c r="C13" s="171"/>
      <c r="D13" s="170">
        <f>350000</f>
        <v>350000</v>
      </c>
      <c r="E13" s="171"/>
      <c r="F13" s="170"/>
      <c r="G13" s="171"/>
      <c r="H13" s="170">
        <f>450000+490000+190000+485000+1500+10000+1500+10000+1500+10000+10000+10000+10000+10000+10000+10000</f>
        <v>1709500</v>
      </c>
      <c r="I13" s="171"/>
      <c r="J13" s="170">
        <f>3090+4258+13500+10989</f>
        <v>31837</v>
      </c>
      <c r="K13" s="171">
        <f>3000+61000</f>
        <v>64000</v>
      </c>
      <c r="L13" s="170">
        <f>30000+5500+24000+18275</f>
        <v>77775</v>
      </c>
      <c r="M13" s="56">
        <f t="shared" si="0"/>
        <v>2233112</v>
      </c>
      <c r="N13" s="52">
        <v>2163112</v>
      </c>
      <c r="O13" s="53">
        <f>N13-M13</f>
        <v>-70000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45604</v>
      </c>
      <c r="C14" s="171"/>
      <c r="D14" s="170">
        <f>600000+1150000</f>
        <v>1750000</v>
      </c>
      <c r="E14" s="171"/>
      <c r="F14" s="170"/>
      <c r="G14" s="171">
        <f>1000000</f>
        <v>1000000</v>
      </c>
      <c r="H14" s="170">
        <f>450000+410000+290000+640000+430000+1500+10000+10000+10000+2000</f>
        <v>2253500</v>
      </c>
      <c r="I14" s="171"/>
      <c r="J14" s="170">
        <f>10548+2625</f>
        <v>13173</v>
      </c>
      <c r="K14" s="171"/>
      <c r="L14" s="170">
        <f>40000+10000</f>
        <v>50000</v>
      </c>
      <c r="M14" s="56">
        <f t="shared" si="0"/>
        <v>5066673</v>
      </c>
      <c r="N14" s="51">
        <v>5034673</v>
      </c>
      <c r="O14" s="53">
        <f>N14-M14</f>
        <v>-32000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45605</v>
      </c>
      <c r="C15" s="171"/>
      <c r="D15" s="174"/>
      <c r="E15" s="171"/>
      <c r="F15" s="170"/>
      <c r="G15" s="171">
        <f>290000+160000+2000</f>
        <v>452000</v>
      </c>
      <c r="H15" s="170">
        <f>370000+3000+2000+1500+5500+1500+10000+10000+10000+10000+10000+10000+2000+3000</f>
        <v>448500</v>
      </c>
      <c r="I15" s="171"/>
      <c r="J15" s="170">
        <f>814+3532+6000</f>
        <v>10346</v>
      </c>
      <c r="K15" s="171"/>
      <c r="L15" s="170"/>
      <c r="M15" s="56">
        <f t="shared" ref="M15:M38" si="3">SUM(C15:L15)</f>
        <v>910846</v>
      </c>
      <c r="N15" s="51">
        <v>845846</v>
      </c>
      <c r="O15" s="53">
        <f t="shared" si="2"/>
        <v>-65000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45606</v>
      </c>
      <c r="C16" s="136"/>
      <c r="D16" s="169"/>
      <c r="E16" s="171"/>
      <c r="F16" s="170"/>
      <c r="G16" s="136">
        <f>3000+1500</f>
        <v>4500</v>
      </c>
      <c r="H16" s="170">
        <f>370000+3000+3000+3000+3000+1500+1500</f>
        <v>385000</v>
      </c>
      <c r="I16" s="121"/>
      <c r="J16" s="170"/>
      <c r="K16" s="121"/>
      <c r="L16" s="170"/>
      <c r="M16" s="56">
        <f t="shared" si="3"/>
        <v>389500</v>
      </c>
      <c r="N16" s="52">
        <v>389500</v>
      </c>
      <c r="O16" s="53">
        <f t="shared" si="2"/>
        <v>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45607</v>
      </c>
      <c r="C17" s="171">
        <f>7000+7000</f>
        <v>14000</v>
      </c>
      <c r="D17" s="170">
        <f>250000+7000+7000+7000</f>
        <v>271000</v>
      </c>
      <c r="E17" s="121"/>
      <c r="F17" s="122"/>
      <c r="G17" s="171">
        <f>460000</f>
        <v>460000</v>
      </c>
      <c r="H17" s="122">
        <f>390000+80000+2000+10000+10000+10000</f>
        <v>502000</v>
      </c>
      <c r="I17" s="171"/>
      <c r="J17" s="122">
        <f>6000</f>
        <v>6000</v>
      </c>
      <c r="K17" s="171">
        <f>38500</f>
        <v>38500</v>
      </c>
      <c r="L17" s="122">
        <f>54000</f>
        <v>54000</v>
      </c>
      <c r="M17" s="56">
        <f t="shared" si="3"/>
        <v>1345500</v>
      </c>
      <c r="N17" s="52">
        <v>1315500</v>
      </c>
      <c r="O17" s="53">
        <f t="shared" si="2"/>
        <v>-30000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45608</v>
      </c>
      <c r="C18" s="121">
        <v>525000</v>
      </c>
      <c r="D18" s="170">
        <f>600000+30000+75000</f>
        <v>705000</v>
      </c>
      <c r="E18" s="171"/>
      <c r="F18" s="170">
        <f>700000+760000+5000</f>
        <v>1465000</v>
      </c>
      <c r="G18" s="121">
        <f>520000</f>
        <v>520000</v>
      </c>
      <c r="H18" s="170">
        <f>400000+460000+150000+1+420000+10000+10000+2000</f>
        <v>1452001</v>
      </c>
      <c r="I18" s="121"/>
      <c r="J18" s="170"/>
      <c r="K18" s="121"/>
      <c r="L18" s="170"/>
      <c r="M18" s="56">
        <f t="shared" si="3"/>
        <v>4667001</v>
      </c>
      <c r="N18" s="51">
        <v>4645001</v>
      </c>
      <c r="O18" s="53">
        <f t="shared" si="2"/>
        <v>-22000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45609</v>
      </c>
      <c r="C19" s="171">
        <f>850000</f>
        <v>850000</v>
      </c>
      <c r="D19" s="170"/>
      <c r="E19" s="171">
        <f>970000</f>
        <v>970000</v>
      </c>
      <c r="F19" s="170">
        <f>250000+5000</f>
        <v>255000</v>
      </c>
      <c r="G19" s="171"/>
      <c r="H19" s="170">
        <f>160000+430000+200000+1500+10000+10000+10000+10000+10000+10000+2000+2000+3000</f>
        <v>858500</v>
      </c>
      <c r="I19" s="171"/>
      <c r="J19" s="170">
        <f>6556</f>
        <v>6556</v>
      </c>
      <c r="K19" s="171">
        <f>5525+10500</f>
        <v>16025</v>
      </c>
      <c r="L19" s="170">
        <f>5000+7000+40000+24000</f>
        <v>76000</v>
      </c>
      <c r="M19" s="56">
        <f>SUM(C19:L19)</f>
        <v>3032081</v>
      </c>
      <c r="N19" s="52">
        <v>2965081</v>
      </c>
      <c r="O19" s="53">
        <f t="shared" si="2"/>
        <v>-67000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45610</v>
      </c>
      <c r="C20" s="171">
        <f>2100000</f>
        <v>2100000</v>
      </c>
      <c r="D20" s="175"/>
      <c r="E20" s="171"/>
      <c r="F20" s="170">
        <f>1000000+20000</f>
        <v>1020000</v>
      </c>
      <c r="G20" s="171">
        <f>40000+740000</f>
        <v>780000</v>
      </c>
      <c r="H20" s="170">
        <f>150000+450000+165000+2000+1500+590000+10000+10000+10000+2000</f>
        <v>1390500</v>
      </c>
      <c r="I20" s="171"/>
      <c r="J20" s="170">
        <f>1500+6000</f>
        <v>7500</v>
      </c>
      <c r="K20" s="171">
        <f>16000+10000</f>
        <v>26000</v>
      </c>
      <c r="L20" s="170">
        <f>12000+13000</f>
        <v>25000</v>
      </c>
      <c r="M20" s="56">
        <f t="shared" si="3"/>
        <v>5349000</v>
      </c>
      <c r="N20" s="52">
        <v>5297000</v>
      </c>
      <c r="O20" s="53">
        <f t="shared" si="2"/>
        <v>-52000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36.75" customHeight="1" x14ac:dyDescent="0.25">
      <c r="B21" s="15">
        <f>B20+1</f>
        <v>45611</v>
      </c>
      <c r="C21" s="171">
        <f>630000</f>
        <v>630000</v>
      </c>
      <c r="D21" s="170">
        <f>150000</f>
        <v>150000</v>
      </c>
      <c r="E21" s="171">
        <f>5000</f>
        <v>5000</v>
      </c>
      <c r="F21" s="170">
        <f>5000+5000+5000+5000+5000+5000+20000</f>
        <v>50000</v>
      </c>
      <c r="G21" s="171">
        <f>1500+2000</f>
        <v>3500</v>
      </c>
      <c r="H21" s="170">
        <f>460000+10000+6000+2000+270000+430000+1500+2000+10000+10000+3000+10000</f>
        <v>1214500</v>
      </c>
      <c r="I21" s="171">
        <f>3500+6000</f>
        <v>9500</v>
      </c>
      <c r="J21" s="170">
        <f>1935+15750</f>
        <v>17685</v>
      </c>
      <c r="K21" s="171">
        <f>5000</f>
        <v>5000</v>
      </c>
      <c r="L21" s="170">
        <f>24000</f>
        <v>24000</v>
      </c>
      <c r="M21" s="56">
        <f t="shared" si="3"/>
        <v>2109185</v>
      </c>
      <c r="N21" s="157">
        <v>2054185</v>
      </c>
      <c r="O21" s="155">
        <f t="shared" si="2"/>
        <v>-55000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45612</v>
      </c>
      <c r="C22" s="171"/>
      <c r="D22" s="174"/>
      <c r="E22" s="171">
        <f>75000</f>
        <v>75000</v>
      </c>
      <c r="F22" s="170">
        <f>680000+5000</f>
        <v>685000</v>
      </c>
      <c r="G22" s="171">
        <f>470000+100000+55000</f>
        <v>625000</v>
      </c>
      <c r="H22" s="170">
        <f>390000+1500+630000+1500+2000+295000+25000+12000+370000+10000+10000+10000+10000+10000+10000+3000+2000</f>
        <v>1792000</v>
      </c>
      <c r="I22" s="171">
        <f>6000+8900</f>
        <v>14900</v>
      </c>
      <c r="J22" s="170">
        <f>6000+6000+1700</f>
        <v>13700</v>
      </c>
      <c r="K22" s="45"/>
      <c r="L22" s="46"/>
      <c r="M22" s="56">
        <f t="shared" si="3"/>
        <v>3205600</v>
      </c>
      <c r="N22" s="52">
        <v>3150600</v>
      </c>
      <c r="O22" s="53">
        <f t="shared" si="2"/>
        <v>-55000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45613</v>
      </c>
      <c r="C23" s="171">
        <f>1000000</f>
        <v>1000000</v>
      </c>
      <c r="D23" s="170"/>
      <c r="E23" s="171"/>
      <c r="F23" s="170">
        <f>20000+20000</f>
        <v>40000</v>
      </c>
      <c r="G23" s="171">
        <f>420000+1500+1500+2000</f>
        <v>425000</v>
      </c>
      <c r="H23" s="170">
        <f>1500+1500+1500+1500+1500+1500+460000+2000+2000+2000+350000+10000+10000+10000+10000+10000+10000+10000+10000+10000+10000+3000</f>
        <v>928000</v>
      </c>
      <c r="I23" s="171"/>
      <c r="J23" s="170">
        <f>8500</f>
        <v>8500</v>
      </c>
      <c r="K23" s="171"/>
      <c r="L23" s="170"/>
      <c r="M23" s="56">
        <f t="shared" si="3"/>
        <v>2401500</v>
      </c>
      <c r="N23" s="52">
        <v>2268500</v>
      </c>
      <c r="O23" s="155">
        <f t="shared" si="2"/>
        <v>-133000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45614</v>
      </c>
      <c r="C24" s="121"/>
      <c r="D24" s="170">
        <f>7000</f>
        <v>7000</v>
      </c>
      <c r="E24" s="171"/>
      <c r="F24" s="170">
        <v>20000</v>
      </c>
      <c r="G24" s="121">
        <f>460000+210000</f>
        <v>670000</v>
      </c>
      <c r="H24" s="170">
        <f>280000+300000+460000+250000+2000+5000+5000+550000+370000+440000+10000+10000+10000+5000</f>
        <v>2697000</v>
      </c>
      <c r="I24" s="121"/>
      <c r="J24" s="170">
        <f>6000</f>
        <v>6000</v>
      </c>
      <c r="K24" s="121"/>
      <c r="L24" s="170">
        <f>7500+59900+41800</f>
        <v>109200</v>
      </c>
      <c r="M24" s="56">
        <f>SUM(C24:L24)</f>
        <v>3509200</v>
      </c>
      <c r="N24" s="51">
        <v>3454200</v>
      </c>
      <c r="O24" s="53">
        <f t="shared" si="2"/>
        <v>-55000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45615</v>
      </c>
      <c r="C25" s="171">
        <f>600000</f>
        <v>600000</v>
      </c>
      <c r="D25" s="170"/>
      <c r="E25" s="171"/>
      <c r="F25" s="170">
        <f>750000+900000</f>
        <v>1650000</v>
      </c>
      <c r="G25" s="171">
        <f>2000</f>
        <v>2000</v>
      </c>
      <c r="H25" s="170">
        <f>30000+460000+2000+10000+10000+2000+10000</f>
        <v>524000</v>
      </c>
      <c r="I25" s="171"/>
      <c r="J25" s="170">
        <f>6000</f>
        <v>6000</v>
      </c>
      <c r="K25" s="171">
        <f>5000+10100</f>
        <v>15100</v>
      </c>
      <c r="L25" s="170"/>
      <c r="M25" s="176">
        <f t="shared" si="3"/>
        <v>2797100</v>
      </c>
      <c r="N25" s="177">
        <v>2765100</v>
      </c>
      <c r="O25" s="178">
        <f t="shared" si="2"/>
        <v>-32000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45616</v>
      </c>
      <c r="C26" s="171"/>
      <c r="D26" s="170">
        <f>7000+7000</f>
        <v>14000</v>
      </c>
      <c r="E26" s="171">
        <f>1760000</f>
        <v>1760000</v>
      </c>
      <c r="F26" s="170">
        <f>80000+20000+5000</f>
        <v>105000</v>
      </c>
      <c r="G26" s="171"/>
      <c r="H26" s="170">
        <f>1500+1500+1500+460000+1500+1500+280000+1500+10000+3000+10000</f>
        <v>772000</v>
      </c>
      <c r="I26" s="171">
        <f>500</f>
        <v>500</v>
      </c>
      <c r="J26" s="170">
        <f>14220+4900</f>
        <v>19120</v>
      </c>
      <c r="K26" s="171">
        <f>5000+6500</f>
        <v>11500</v>
      </c>
      <c r="L26" s="170">
        <f>7000+13750+7500</f>
        <v>28250</v>
      </c>
      <c r="M26" s="56">
        <f t="shared" si="3"/>
        <v>2710370</v>
      </c>
      <c r="N26" s="52">
        <v>2662370</v>
      </c>
      <c r="O26" s="53">
        <f t="shared" si="2"/>
        <v>-48000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45617</v>
      </c>
      <c r="C27" s="171"/>
      <c r="D27" s="170">
        <f>190000</f>
        <v>190000</v>
      </c>
      <c r="E27" s="171">
        <f>5000</f>
        <v>5000</v>
      </c>
      <c r="F27" s="170">
        <f>5000+20000</f>
        <v>25000</v>
      </c>
      <c r="G27" s="171"/>
      <c r="H27" s="170">
        <f>300000+3000+10000+10000+3000+10000+10000</f>
        <v>346000</v>
      </c>
      <c r="I27" s="171"/>
      <c r="J27" s="137">
        <f>14010+15000+12900</f>
        <v>41910</v>
      </c>
      <c r="K27" s="171"/>
      <c r="L27" s="170">
        <f>32000+30000</f>
        <v>62000</v>
      </c>
      <c r="M27" s="176">
        <f t="shared" si="3"/>
        <v>669910</v>
      </c>
      <c r="N27" s="180">
        <v>598910</v>
      </c>
      <c r="O27" s="181">
        <f>N27-M27</f>
        <v>-71000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45618</v>
      </c>
      <c r="C28" s="171"/>
      <c r="D28" s="170">
        <f>1130000</f>
        <v>1130000</v>
      </c>
      <c r="E28" s="171">
        <f>15000</f>
        <v>15000</v>
      </c>
      <c r="F28" s="170">
        <f>10000</f>
        <v>10000</v>
      </c>
      <c r="G28" s="171">
        <f>350000</f>
        <v>350000</v>
      </c>
      <c r="H28" s="170">
        <f>390000+290000+10000+10000+10000+2000+35000</f>
        <v>747000</v>
      </c>
      <c r="I28" s="171"/>
      <c r="J28" s="170">
        <f>20890</f>
        <v>20890</v>
      </c>
      <c r="K28" s="171"/>
      <c r="L28" s="170">
        <f>24000+39000</f>
        <v>63000</v>
      </c>
      <c r="M28" s="156">
        <f t="shared" si="3"/>
        <v>2335890</v>
      </c>
      <c r="N28" s="157">
        <v>2303890</v>
      </c>
      <c r="O28" s="155">
        <f t="shared" si="2"/>
        <v>-32000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45619</v>
      </c>
      <c r="C29" s="171"/>
      <c r="D29" s="170"/>
      <c r="E29" s="171">
        <f>840000</f>
        <v>840000</v>
      </c>
      <c r="F29" s="170">
        <f>200000</f>
        <v>200000</v>
      </c>
      <c r="G29" s="171">
        <f>420000+207000</f>
        <v>627000</v>
      </c>
      <c r="H29" s="170">
        <f>450000+3000+10000+2000</f>
        <v>465000</v>
      </c>
      <c r="I29" s="171">
        <f>10000</f>
        <v>10000</v>
      </c>
      <c r="J29" s="170">
        <f>8590</f>
        <v>8590</v>
      </c>
      <c r="K29" s="171">
        <f>12000</f>
        <v>12000</v>
      </c>
      <c r="L29" s="170">
        <f>25500</f>
        <v>25500</v>
      </c>
      <c r="M29" s="56">
        <f t="shared" si="3"/>
        <v>2188090</v>
      </c>
      <c r="N29" s="52">
        <v>2176090</v>
      </c>
      <c r="O29" s="53">
        <f t="shared" si="2"/>
        <v>-12000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45620</v>
      </c>
      <c r="C30" s="138"/>
      <c r="D30" s="179"/>
      <c r="E30" s="171"/>
      <c r="F30" s="170"/>
      <c r="G30" s="171"/>
      <c r="H30" s="170">
        <f>1500+10000+10000+10000+10000+2000+1500</f>
        <v>45000</v>
      </c>
      <c r="I30" s="171">
        <f>12600</f>
        <v>12600</v>
      </c>
      <c r="J30" s="170"/>
      <c r="K30" s="138"/>
      <c r="L30" s="137">
        <f>15000</f>
        <v>15000</v>
      </c>
      <c r="M30" s="56">
        <f t="shared" si="3"/>
        <v>72600</v>
      </c>
      <c r="N30" s="51">
        <v>29100</v>
      </c>
      <c r="O30" s="155">
        <f t="shared" si="2"/>
        <v>-43500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45621</v>
      </c>
      <c r="C31" s="121"/>
      <c r="D31" s="170">
        <f>850000</f>
        <v>850000</v>
      </c>
      <c r="E31" s="171"/>
      <c r="F31" s="170">
        <v>5000</v>
      </c>
      <c r="G31" s="121"/>
      <c r="H31" s="170">
        <f>322000+10000+3000+10000</f>
        <v>345000</v>
      </c>
      <c r="I31" s="171">
        <f>15000+6200+6200</f>
        <v>27400</v>
      </c>
      <c r="J31" s="170">
        <f>6750+11450+400</f>
        <v>18600</v>
      </c>
      <c r="K31" s="171">
        <f>3600+59500</f>
        <v>63100</v>
      </c>
      <c r="L31" s="170">
        <f>85000</f>
        <v>85000</v>
      </c>
      <c r="M31" s="56">
        <f t="shared" si="3"/>
        <v>1394100</v>
      </c>
      <c r="N31" s="51">
        <v>1366100</v>
      </c>
      <c r="O31" s="53">
        <f t="shared" si="2"/>
        <v>-28000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45622</v>
      </c>
      <c r="C32" s="171"/>
      <c r="D32" s="170">
        <f>1900000</f>
        <v>1900000</v>
      </c>
      <c r="E32" s="171"/>
      <c r="F32" s="170">
        <f>880000+5000</f>
        <v>885000</v>
      </c>
      <c r="G32" s="171">
        <f>2000</f>
        <v>2000</v>
      </c>
      <c r="H32" s="170">
        <f>3000+3000+580000+2000+320000+10000+2000+10000</f>
        <v>930000</v>
      </c>
      <c r="I32" s="171">
        <f>7110</f>
        <v>7110</v>
      </c>
      <c r="J32" s="170"/>
      <c r="K32" s="171"/>
      <c r="L32" s="170"/>
      <c r="M32" s="156">
        <f t="shared" si="3"/>
        <v>3724110</v>
      </c>
      <c r="N32" s="157">
        <v>3697110</v>
      </c>
      <c r="O32" s="155">
        <f t="shared" si="2"/>
        <v>-27000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45623</v>
      </c>
      <c r="C33" s="171">
        <f>300000</f>
        <v>300000</v>
      </c>
      <c r="D33" s="170">
        <f>1000000</f>
        <v>1000000</v>
      </c>
      <c r="E33" s="171">
        <f>600000</f>
        <v>600000</v>
      </c>
      <c r="F33" s="170">
        <f>850000</f>
        <v>850000</v>
      </c>
      <c r="G33" s="171">
        <f>200000</f>
        <v>200000</v>
      </c>
      <c r="H33" s="170">
        <f>390000+294000+1500+2000</f>
        <v>687500</v>
      </c>
      <c r="I33" s="171"/>
      <c r="J33" s="170">
        <f>18610+14625+8500+7000</f>
        <v>48735</v>
      </c>
      <c r="K33" s="171"/>
      <c r="L33" s="170">
        <f>70550</f>
        <v>70550</v>
      </c>
      <c r="M33" s="56">
        <f t="shared" si="3"/>
        <v>3756785</v>
      </c>
      <c r="N33" s="51">
        <v>3753285</v>
      </c>
      <c r="O33" s="53">
        <f t="shared" si="2"/>
        <v>-3500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45624</v>
      </c>
      <c r="C34" s="171">
        <f>950000</f>
        <v>950000</v>
      </c>
      <c r="D34" s="174"/>
      <c r="E34" s="171"/>
      <c r="F34" s="170"/>
      <c r="G34" s="138">
        <f>40000+85000+70000</f>
        <v>195000</v>
      </c>
      <c r="H34" s="137">
        <f>400000+655000+470000+70000+260000+1500</f>
        <v>1856500</v>
      </c>
      <c r="I34" s="138">
        <f>100</f>
        <v>100</v>
      </c>
      <c r="J34" s="137">
        <f>11340+15000+4200</f>
        <v>30540</v>
      </c>
      <c r="K34" s="138"/>
      <c r="L34" s="137"/>
      <c r="M34" s="156">
        <f>SUM(C34:L34)</f>
        <v>3032140</v>
      </c>
      <c r="N34" s="157">
        <v>3030640</v>
      </c>
      <c r="O34" s="53">
        <f t="shared" si="2"/>
        <v>-1500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45625</v>
      </c>
      <c r="C35" s="171">
        <f>7000</f>
        <v>7000</v>
      </c>
      <c r="D35" s="174"/>
      <c r="E35" s="171">
        <f>5000</f>
        <v>5000</v>
      </c>
      <c r="F35" s="170">
        <f>5000</f>
        <v>5000</v>
      </c>
      <c r="G35" s="171"/>
      <c r="H35" s="170">
        <f>585000+390000+105000+1500+25000+1500</f>
        <v>1108000</v>
      </c>
      <c r="I35" s="171">
        <f>7000+6000</f>
        <v>13000</v>
      </c>
      <c r="J35" s="170">
        <f>15000+10900+7110+12000</f>
        <v>45010</v>
      </c>
      <c r="K35" s="171"/>
      <c r="L35" s="170">
        <f>26100</f>
        <v>26100</v>
      </c>
      <c r="M35" s="56">
        <f t="shared" si="3"/>
        <v>1209110</v>
      </c>
      <c r="N35" s="168">
        <v>1207610</v>
      </c>
      <c r="O35" s="55">
        <f t="shared" si="2"/>
        <v>-1500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45626</v>
      </c>
      <c r="C36" s="171"/>
      <c r="D36" s="174"/>
      <c r="E36" s="171">
        <f>1325000</f>
        <v>1325000</v>
      </c>
      <c r="F36" s="170"/>
      <c r="G36" s="171">
        <f>290000+2000+540000+2000</f>
        <v>834000</v>
      </c>
      <c r="H36" s="170">
        <f>300000+6000+390000+1500+2000</f>
        <v>699500</v>
      </c>
      <c r="I36" s="171">
        <f>10000</f>
        <v>10000</v>
      </c>
      <c r="J36" s="170">
        <f>13310+1750</f>
        <v>15060</v>
      </c>
      <c r="K36" s="171">
        <f>209000</f>
        <v>209000</v>
      </c>
      <c r="L36" s="170">
        <f>5000+10500+25000+16000</f>
        <v>56500</v>
      </c>
      <c r="M36" s="56">
        <f t="shared" si="3"/>
        <v>3149060</v>
      </c>
      <c r="N36" s="168">
        <v>3147060</v>
      </c>
      <c r="O36" s="55">
        <f t="shared" si="2"/>
        <v>-2000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71"/>
      <c r="D37" s="174"/>
      <c r="E37" s="171"/>
      <c r="F37" s="170"/>
      <c r="G37" s="171"/>
      <c r="H37" s="170"/>
      <c r="I37" s="171"/>
      <c r="J37" s="170"/>
      <c r="K37" s="171"/>
      <c r="L37" s="170"/>
      <c r="M37" s="56">
        <f t="shared" si="3"/>
        <v>0</v>
      </c>
      <c r="N37" s="168"/>
      <c r="O37" s="55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6976000</v>
      </c>
      <c r="D39" s="25">
        <f>SUM(D7:D38)</f>
        <v>10204000</v>
      </c>
      <c r="E39" s="24">
        <f t="shared" ref="E39:K39" si="4">SUM(E7:E38)</f>
        <v>5605000</v>
      </c>
      <c r="F39" s="59">
        <f t="shared" si="4"/>
        <v>7360000</v>
      </c>
      <c r="G39" s="24">
        <f t="shared" si="4"/>
        <v>7872000</v>
      </c>
      <c r="H39" s="25">
        <f>SUM(H7:H38)</f>
        <v>30146501</v>
      </c>
      <c r="I39" s="24">
        <f t="shared" si="4"/>
        <v>170910</v>
      </c>
      <c r="J39" s="25">
        <f>SUM(J7:J38)</f>
        <v>508302</v>
      </c>
      <c r="K39" s="24">
        <f t="shared" si="4"/>
        <v>460225</v>
      </c>
      <c r="L39" s="25">
        <f>SUM(L7:L38)</f>
        <v>1044125</v>
      </c>
      <c r="M39" s="28">
        <f>SUM(M7:M38)</f>
        <v>70347063</v>
      </c>
      <c r="N39" s="27">
        <f>SUM(N7:N38)</f>
        <v>69101063</v>
      </c>
      <c r="O39" s="26">
        <f>N39-M39</f>
        <v>-1246000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17180000</v>
      </c>
      <c r="D40" s="282"/>
      <c r="E40" s="267">
        <f>SUM(E39:F39)</f>
        <v>12965000</v>
      </c>
      <c r="F40" s="269"/>
      <c r="G40" s="281">
        <f>SUM(G39:H39)</f>
        <v>38018501</v>
      </c>
      <c r="H40" s="282"/>
      <c r="I40" s="267">
        <f>SUM(I39:J39)</f>
        <v>679212</v>
      </c>
      <c r="J40" s="268"/>
      <c r="K40" s="281">
        <f>SUM(K39:L39)</f>
        <v>1504350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45596</v>
      </c>
      <c r="C45" s="3">
        <v>0</v>
      </c>
      <c r="D45" s="14">
        <v>700000</v>
      </c>
      <c r="E45" s="3">
        <v>0</v>
      </c>
      <c r="F45" s="14">
        <v>1200000</v>
      </c>
      <c r="G45" s="3">
        <v>0</v>
      </c>
      <c r="H45" s="14">
        <v>459500</v>
      </c>
      <c r="I45" s="3"/>
      <c r="J45" s="14">
        <v>12700</v>
      </c>
      <c r="K45" s="134"/>
      <c r="L45" s="14">
        <v>18000</v>
      </c>
      <c r="M45" s="3">
        <v>2353700</v>
      </c>
      <c r="N45" s="3">
        <v>2353700</v>
      </c>
      <c r="O45" s="3">
        <f>N45-M45</f>
        <v>0</v>
      </c>
      <c r="P45" s="85">
        <v>45597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 t="s">
        <v>133</v>
      </c>
      <c r="C48" s="3">
        <v>0</v>
      </c>
      <c r="D48" s="14"/>
      <c r="E48" s="3">
        <v>0</v>
      </c>
      <c r="F48" s="14"/>
      <c r="G48" s="3">
        <v>0</v>
      </c>
      <c r="H48" s="14">
        <v>699500</v>
      </c>
      <c r="I48" s="3">
        <v>0</v>
      </c>
      <c r="J48" s="14">
        <v>15060</v>
      </c>
      <c r="K48" s="134">
        <v>0</v>
      </c>
      <c r="L48" s="14">
        <v>46000</v>
      </c>
      <c r="M48" s="3">
        <v>760560</v>
      </c>
      <c r="N48" s="3">
        <v>760560</v>
      </c>
      <c r="O48" s="3">
        <f>N48-M48</f>
        <v>0</v>
      </c>
      <c r="P48" s="151">
        <v>45627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700000</v>
      </c>
      <c r="E50" s="262">
        <f>F45+F46-F47-F48</f>
        <v>1200000</v>
      </c>
      <c r="F50" s="263"/>
      <c r="G50" s="262">
        <f>H45+H46-H47-H48</f>
        <v>-240000</v>
      </c>
      <c r="H50" s="263"/>
      <c r="I50" s="262">
        <f>J45+J46-J47-J48</f>
        <v>-2360</v>
      </c>
      <c r="J50" s="263"/>
      <c r="K50" s="262">
        <f>L45+L46-L47-L48</f>
        <v>-28000</v>
      </c>
      <c r="L50" s="263"/>
    </row>
    <row r="51" spans="2:28" x14ac:dyDescent="0.25">
      <c r="B51" s="264" t="s">
        <v>12</v>
      </c>
      <c r="C51" s="264"/>
      <c r="D51" s="31">
        <f>D39+D50</f>
        <v>10904000</v>
      </c>
      <c r="E51" s="265">
        <f>F39+E50</f>
        <v>8560000</v>
      </c>
      <c r="F51" s="266"/>
      <c r="G51" s="265">
        <f>H39+G50</f>
        <v>29906501</v>
      </c>
      <c r="H51" s="266"/>
      <c r="I51" s="286">
        <f>J39+I50</f>
        <v>505942</v>
      </c>
      <c r="J51" s="287"/>
      <c r="K51" s="265">
        <f>L39+K50</f>
        <v>1016125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50892568</v>
      </c>
      <c r="E52" s="283"/>
      <c r="F52" s="283"/>
      <c r="G52" s="283"/>
      <c r="H52" s="283"/>
      <c r="I52" s="173"/>
      <c r="J52" s="173"/>
      <c r="K52" s="173"/>
      <c r="L52" s="173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96694.35</v>
      </c>
      <c r="P54" s="87"/>
      <c r="S54">
        <v>21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21084135</v>
      </c>
      <c r="D55" s="149">
        <f>D39+H39+F39+J39+L39</f>
        <v>49262928</v>
      </c>
      <c r="E55" s="58"/>
      <c r="F55" s="58"/>
      <c r="M55" s="63" t="s">
        <v>25</v>
      </c>
      <c r="N55" s="64">
        <v>73671.88</v>
      </c>
      <c r="P55" s="88"/>
      <c r="S55">
        <v>16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70347063</v>
      </c>
      <c r="D56" s="285"/>
      <c r="E56" s="57"/>
      <c r="F56" s="57"/>
      <c r="M56" s="63" t="s">
        <v>28</v>
      </c>
      <c r="N56" s="64">
        <v>271665.08</v>
      </c>
      <c r="R56" s="87"/>
      <c r="S56">
        <v>59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4604.49</v>
      </c>
      <c r="S57">
        <v>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13813.48</v>
      </c>
      <c r="S58">
        <v>3</v>
      </c>
      <c r="Y58" s="4"/>
      <c r="AA58" s="78"/>
      <c r="AB58" s="68"/>
    </row>
    <row r="59" spans="2:28" x14ac:dyDescent="0.25">
      <c r="J59" t="s">
        <v>3</v>
      </c>
      <c r="N59" s="64">
        <v>460449.28000000003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71976703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72"/>
  <sheetViews>
    <sheetView workbookViewId="0">
      <selection activeCell="D3" sqref="D3:G3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38</v>
      </c>
      <c r="E3" s="274"/>
      <c r="F3" s="274"/>
      <c r="G3" s="274"/>
      <c r="H3" s="39">
        <v>2024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45627</v>
      </c>
      <c r="C7" s="171"/>
      <c r="D7" s="170"/>
      <c r="E7" s="171"/>
      <c r="F7" s="170"/>
      <c r="G7" s="119">
        <f>180000</f>
        <v>180000</v>
      </c>
      <c r="H7" s="120">
        <f>6000+290000+76500+3000</f>
        <v>375500</v>
      </c>
      <c r="I7" s="119">
        <f>15000</f>
        <v>15000</v>
      </c>
      <c r="J7" s="120">
        <f>7110</f>
        <v>7110</v>
      </c>
      <c r="K7" s="119"/>
      <c r="L7" s="120"/>
      <c r="M7" s="56">
        <f t="shared" ref="M7:M14" si="0">SUM(C7:L7)</f>
        <v>577610</v>
      </c>
      <c r="N7" s="52">
        <v>574610</v>
      </c>
      <c r="O7" s="53">
        <f>N7-M7</f>
        <v>-3000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45628</v>
      </c>
      <c r="C8" s="121"/>
      <c r="D8" s="170">
        <f>850000</f>
        <v>850000</v>
      </c>
      <c r="E8" s="171">
        <f>60000</f>
        <v>60000</v>
      </c>
      <c r="F8" s="170">
        <f>550000</f>
        <v>550000</v>
      </c>
      <c r="G8" s="121">
        <f>430000</f>
        <v>430000</v>
      </c>
      <c r="H8" s="170">
        <f>6000+515000+1500</f>
        <v>522500</v>
      </c>
      <c r="I8" s="121">
        <f>8000+6000</f>
        <v>14000</v>
      </c>
      <c r="J8" s="170">
        <f>8500+100+6000+11500</f>
        <v>26100</v>
      </c>
      <c r="K8" s="121"/>
      <c r="L8" s="170"/>
      <c r="M8" s="56">
        <f t="shared" si="0"/>
        <v>2452600</v>
      </c>
      <c r="N8" s="52">
        <v>2452600</v>
      </c>
      <c r="O8" s="53">
        <f t="shared" ref="O8:O37" si="2">N8-M8</f>
        <v>0</v>
      </c>
      <c r="Z8" s="78"/>
      <c r="AB8" s="68"/>
    </row>
    <row r="9" spans="2:28" x14ac:dyDescent="0.25">
      <c r="B9" s="15">
        <f t="shared" si="1"/>
        <v>45629</v>
      </c>
      <c r="C9" s="171">
        <f>750000</f>
        <v>750000</v>
      </c>
      <c r="D9" s="122"/>
      <c r="E9" s="171"/>
      <c r="F9" s="170">
        <f>60000</f>
        <v>60000</v>
      </c>
      <c r="G9" s="171">
        <f>950000+200000</f>
        <v>1150000</v>
      </c>
      <c r="H9" s="170">
        <f>500000+340000</f>
        <v>840000</v>
      </c>
      <c r="I9" s="171"/>
      <c r="J9" s="170">
        <f>6200+10610+14900</f>
        <v>31710</v>
      </c>
      <c r="K9" s="171"/>
      <c r="L9" s="170">
        <f>44550</f>
        <v>44550</v>
      </c>
      <c r="M9" s="56">
        <f t="shared" si="0"/>
        <v>2876260</v>
      </c>
      <c r="N9" s="51">
        <v>2876260</v>
      </c>
      <c r="O9" s="53">
        <f t="shared" si="2"/>
        <v>0</v>
      </c>
      <c r="P9" s="101"/>
      <c r="Z9" s="78"/>
      <c r="AB9" s="68"/>
    </row>
    <row r="10" spans="2:28" x14ac:dyDescent="0.25">
      <c r="B10" s="15">
        <f t="shared" si="1"/>
        <v>45630</v>
      </c>
      <c r="C10" s="171">
        <f>7000</f>
        <v>7000</v>
      </c>
      <c r="D10" s="122"/>
      <c r="E10" s="171">
        <f>950000</f>
        <v>950000</v>
      </c>
      <c r="F10" s="170">
        <f>455000+5000</f>
        <v>460000</v>
      </c>
      <c r="G10" s="171"/>
      <c r="H10" s="170">
        <f>303000+340000+340000+3000+1500+3000+3000</f>
        <v>993500</v>
      </c>
      <c r="I10" s="171">
        <f>6200+15000</f>
        <v>21200</v>
      </c>
      <c r="J10" s="170">
        <f>3500</f>
        <v>3500</v>
      </c>
      <c r="K10" s="171">
        <f>10000+5500</f>
        <v>15500</v>
      </c>
      <c r="L10" s="170">
        <f>35000</f>
        <v>35000</v>
      </c>
      <c r="M10" s="56">
        <f t="shared" si="0"/>
        <v>2485700</v>
      </c>
      <c r="N10" s="51">
        <v>2474700</v>
      </c>
      <c r="O10" s="53">
        <f>N10-M10</f>
        <v>-11000</v>
      </c>
      <c r="P10" s="101"/>
      <c r="Z10" s="78"/>
      <c r="AB10" s="68"/>
    </row>
    <row r="11" spans="2:28" x14ac:dyDescent="0.25">
      <c r="B11" s="15">
        <f t="shared" si="1"/>
        <v>45631</v>
      </c>
      <c r="C11" s="121">
        <f>800000</f>
        <v>800000</v>
      </c>
      <c r="D11" s="170">
        <f>150000</f>
        <v>150000</v>
      </c>
      <c r="E11" s="171">
        <f>655000</f>
        <v>655000</v>
      </c>
      <c r="F11" s="170">
        <f>550000</f>
        <v>550000</v>
      </c>
      <c r="G11" s="121">
        <f>130000+280000</f>
        <v>410000</v>
      </c>
      <c r="H11" s="121">
        <f>640000+990000+360000</f>
        <v>1990000</v>
      </c>
      <c r="I11" s="121">
        <f>3500+11000+3606</f>
        <v>18106</v>
      </c>
      <c r="J11" s="170"/>
      <c r="K11" s="121"/>
      <c r="L11" s="170">
        <f>98000</f>
        <v>98000</v>
      </c>
      <c r="M11" s="56">
        <f t="shared" si="0"/>
        <v>4671106</v>
      </c>
      <c r="N11" s="52">
        <v>4671106</v>
      </c>
      <c r="O11" s="53">
        <f>N11-M11</f>
        <v>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45632</v>
      </c>
      <c r="C12" s="171"/>
      <c r="D12" s="170">
        <f>1250000</f>
        <v>1250000</v>
      </c>
      <c r="E12" s="171">
        <f>5000</f>
        <v>5000</v>
      </c>
      <c r="F12" s="170">
        <f>10000+5000</f>
        <v>15000</v>
      </c>
      <c r="G12" s="171">
        <f>3000+460000+290000</f>
        <v>753000</v>
      </c>
      <c r="H12" s="170">
        <f>372000+2000+280000+450000+2000</f>
        <v>1106000</v>
      </c>
      <c r="I12" s="171"/>
      <c r="J12" s="170">
        <f>4000+47600+7445+2100</f>
        <v>61145</v>
      </c>
      <c r="K12" s="171">
        <f>44000</f>
        <v>44000</v>
      </c>
      <c r="L12" s="170">
        <f>84450+137000</f>
        <v>221450</v>
      </c>
      <c r="M12" s="56">
        <f t="shared" si="0"/>
        <v>3455595</v>
      </c>
      <c r="N12" s="52">
        <v>3450595</v>
      </c>
      <c r="O12" s="53">
        <f>N12-M12</f>
        <v>-5000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45633</v>
      </c>
      <c r="C13" s="171"/>
      <c r="D13" s="170"/>
      <c r="E13" s="171"/>
      <c r="F13" s="170"/>
      <c r="G13" s="171"/>
      <c r="H13" s="170">
        <f>10000+4000+3000+3000+3000</f>
        <v>23000</v>
      </c>
      <c r="I13" s="171"/>
      <c r="J13" s="170">
        <f>6900</f>
        <v>6900</v>
      </c>
      <c r="K13" s="171"/>
      <c r="L13" s="170">
        <f>3000+6500</f>
        <v>9500</v>
      </c>
      <c r="M13" s="56">
        <f t="shared" si="0"/>
        <v>39400</v>
      </c>
      <c r="N13" s="52">
        <v>36400</v>
      </c>
      <c r="O13" s="53">
        <f>N13-M13</f>
        <v>-3000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45634</v>
      </c>
      <c r="C14" s="171"/>
      <c r="D14" s="170"/>
      <c r="E14" s="171"/>
      <c r="F14" s="170"/>
      <c r="G14" s="171">
        <f>60000+629000</f>
        <v>689000</v>
      </c>
      <c r="H14" s="170">
        <f>6000+290000+83000+80000+410000</f>
        <v>869000</v>
      </c>
      <c r="I14" s="171"/>
      <c r="J14" s="170">
        <f>7110</f>
        <v>7110</v>
      </c>
      <c r="K14" s="171"/>
      <c r="L14" s="170">
        <f>2000</f>
        <v>2000</v>
      </c>
      <c r="M14" s="56">
        <f t="shared" si="0"/>
        <v>1567110</v>
      </c>
      <c r="N14" s="51">
        <v>1567110</v>
      </c>
      <c r="O14" s="53">
        <f>N14-M14</f>
        <v>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45635</v>
      </c>
      <c r="C15" s="171"/>
      <c r="D15" s="174"/>
      <c r="E15" s="171"/>
      <c r="F15" s="170">
        <f>630075+5000</f>
        <v>635075</v>
      </c>
      <c r="G15" s="171">
        <f>190000+440000+430000</f>
        <v>1060000</v>
      </c>
      <c r="H15" s="170">
        <f>504000+300000+2000</f>
        <v>806000</v>
      </c>
      <c r="I15" s="171"/>
      <c r="J15" s="170">
        <f>15000</f>
        <v>15000</v>
      </c>
      <c r="K15" s="171"/>
      <c r="L15" s="170">
        <f>204100</f>
        <v>204100</v>
      </c>
      <c r="M15" s="56">
        <f t="shared" ref="M15:M38" si="3">SUM(C15:L15)</f>
        <v>2720175</v>
      </c>
      <c r="N15" s="51">
        <v>2713175</v>
      </c>
      <c r="O15" s="53">
        <f t="shared" si="2"/>
        <v>-7000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45636</v>
      </c>
      <c r="C16" s="136"/>
      <c r="D16" s="170">
        <f>600000</f>
        <v>600000</v>
      </c>
      <c r="E16" s="171"/>
      <c r="F16" s="170">
        <f>730000</f>
        <v>730000</v>
      </c>
      <c r="G16" s="136"/>
      <c r="H16" s="170">
        <f>290000+80000+320000+100000+3000</f>
        <v>793000</v>
      </c>
      <c r="I16" s="121"/>
      <c r="J16" s="170">
        <f>19000+6200+8280</f>
        <v>33480</v>
      </c>
      <c r="K16" s="121"/>
      <c r="L16" s="170">
        <f>87500</f>
        <v>87500</v>
      </c>
      <c r="M16" s="56">
        <f t="shared" si="3"/>
        <v>2243980</v>
      </c>
      <c r="N16" s="52">
        <v>2240980</v>
      </c>
      <c r="O16" s="53">
        <f t="shared" si="2"/>
        <v>-3000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45637</v>
      </c>
      <c r="C17" s="171"/>
      <c r="D17" s="170">
        <f>7000</f>
        <v>7000</v>
      </c>
      <c r="E17" s="121">
        <f>821000</f>
        <v>821000</v>
      </c>
      <c r="F17" s="122">
        <f>369000+5000</f>
        <v>374000</v>
      </c>
      <c r="G17" s="171">
        <f>485000</f>
        <v>485000</v>
      </c>
      <c r="H17" s="122">
        <f>20000+2000+490500+7000+360000+3000+3000</f>
        <v>885500</v>
      </c>
      <c r="I17" s="171"/>
      <c r="J17" s="122">
        <f>8500</f>
        <v>8500</v>
      </c>
      <c r="K17" s="171">
        <f>6500</f>
        <v>6500</v>
      </c>
      <c r="L17" s="122">
        <f>70450</f>
        <v>70450</v>
      </c>
      <c r="M17" s="56">
        <f t="shared" si="3"/>
        <v>2657950</v>
      </c>
      <c r="N17" s="52">
        <v>2646950</v>
      </c>
      <c r="O17" s="53">
        <f t="shared" si="2"/>
        <v>-11000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45638</v>
      </c>
      <c r="C18" s="121">
        <f>600000</f>
        <v>600000</v>
      </c>
      <c r="D18" s="170"/>
      <c r="E18" s="171">
        <f>1150000</f>
        <v>1150000</v>
      </c>
      <c r="F18" s="170">
        <f>5000</f>
        <v>5000</v>
      </c>
      <c r="G18" s="121">
        <f>200000+470000+2000+1500</f>
        <v>673500</v>
      </c>
      <c r="H18" s="170">
        <f>540000+160000+300000+455000+2000+1500+3000+2000+2000</f>
        <v>1465500</v>
      </c>
      <c r="I18" s="121"/>
      <c r="J18" s="170">
        <f>13500+4200+2000</f>
        <v>19700</v>
      </c>
      <c r="K18" s="121"/>
      <c r="L18" s="170">
        <f>2000</f>
        <v>2000</v>
      </c>
      <c r="M18" s="176">
        <f t="shared" si="3"/>
        <v>3915700</v>
      </c>
      <c r="N18" s="183">
        <v>3903700</v>
      </c>
      <c r="O18" s="178">
        <f t="shared" si="2"/>
        <v>-12000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45639</v>
      </c>
      <c r="C19" s="171"/>
      <c r="D19" s="170"/>
      <c r="E19" s="171"/>
      <c r="F19" s="170">
        <f>5000+5000</f>
        <v>10000</v>
      </c>
      <c r="G19" s="171">
        <f>2000</f>
        <v>2000</v>
      </c>
      <c r="H19" s="170">
        <f>515000+4000+3000+468000+480000+3000</f>
        <v>1473000</v>
      </c>
      <c r="I19" s="171"/>
      <c r="J19" s="170">
        <f>6000</f>
        <v>6000</v>
      </c>
      <c r="K19" s="171"/>
      <c r="L19" s="170">
        <f>39000+13000+30000</f>
        <v>82000</v>
      </c>
      <c r="M19" s="56">
        <f>SUM(C19:L19)</f>
        <v>1573000</v>
      </c>
      <c r="N19" s="52">
        <v>1568000</v>
      </c>
      <c r="O19" s="53">
        <f t="shared" si="2"/>
        <v>-5000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45640</v>
      </c>
      <c r="C20" s="171"/>
      <c r="D20" s="175"/>
      <c r="E20" s="171"/>
      <c r="F20" s="170"/>
      <c r="G20" s="171">
        <f>3000+290000+462000</f>
        <v>755000</v>
      </c>
      <c r="H20" s="170">
        <f>370000+740000+6950+10000+6000+2000+434500+6000+4500</f>
        <v>1579950</v>
      </c>
      <c r="I20" s="171"/>
      <c r="J20" s="170">
        <f>7110+19250</f>
        <v>26360</v>
      </c>
      <c r="K20" s="171"/>
      <c r="L20" s="170">
        <f>6500</f>
        <v>6500</v>
      </c>
      <c r="M20" s="56">
        <f t="shared" si="3"/>
        <v>2367810</v>
      </c>
      <c r="N20" s="52">
        <v>2367810</v>
      </c>
      <c r="O20" s="53">
        <f t="shared" si="2"/>
        <v>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36.75" customHeight="1" x14ac:dyDescent="0.25">
      <c r="B21" s="15">
        <f>B20+1</f>
        <v>45641</v>
      </c>
      <c r="C21" s="171"/>
      <c r="D21" s="170"/>
      <c r="E21" s="171"/>
      <c r="F21" s="170"/>
      <c r="G21" s="171">
        <f>450000+900000</f>
        <v>1350000</v>
      </c>
      <c r="H21" s="170">
        <f>15000+6000+4000+15000+410000+13000+3000+2000</f>
        <v>468000</v>
      </c>
      <c r="I21" s="171"/>
      <c r="J21" s="170">
        <f>10000</f>
        <v>10000</v>
      </c>
      <c r="K21" s="171"/>
      <c r="L21" s="170"/>
      <c r="M21" s="56">
        <f t="shared" si="3"/>
        <v>1828000</v>
      </c>
      <c r="N21" s="157">
        <v>1823000</v>
      </c>
      <c r="O21" s="155">
        <f t="shared" si="2"/>
        <v>-5000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45642</v>
      </c>
      <c r="C22" s="171"/>
      <c r="D22" s="174"/>
      <c r="E22" s="171"/>
      <c r="F22" s="170"/>
      <c r="G22" s="171"/>
      <c r="H22" s="170">
        <f>750000+462000+150000+2000</f>
        <v>1364000</v>
      </c>
      <c r="I22" s="171"/>
      <c r="J22" s="170">
        <f>14220+20220</f>
        <v>34440</v>
      </c>
      <c r="K22" s="45"/>
      <c r="L22" s="46">
        <f>19590+96250</f>
        <v>115840</v>
      </c>
      <c r="M22" s="56">
        <f t="shared" si="3"/>
        <v>1514280</v>
      </c>
      <c r="N22" s="52">
        <v>1512280</v>
      </c>
      <c r="O22" s="53">
        <f t="shared" si="2"/>
        <v>-2000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45643</v>
      </c>
      <c r="C23" s="171"/>
      <c r="D23" s="170"/>
      <c r="E23" s="171"/>
      <c r="F23" s="170"/>
      <c r="G23" s="171"/>
      <c r="H23" s="170">
        <f>462000+1500+1500+1500+5000+3000+1500</f>
        <v>476000</v>
      </c>
      <c r="I23" s="171">
        <f>2500</f>
        <v>2500</v>
      </c>
      <c r="J23" s="170"/>
      <c r="K23" s="171"/>
      <c r="L23" s="170"/>
      <c r="M23" s="56">
        <f t="shared" si="3"/>
        <v>478500</v>
      </c>
      <c r="N23" s="52">
        <v>467500</v>
      </c>
      <c r="O23" s="155">
        <f t="shared" si="2"/>
        <v>-11000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45644</v>
      </c>
      <c r="C24" s="121"/>
      <c r="D24" s="170"/>
      <c r="E24" s="171"/>
      <c r="F24" s="170"/>
      <c r="G24" s="121">
        <f>240000+65000</f>
        <v>305000</v>
      </c>
      <c r="H24" s="170">
        <f>300000+700000+485000+4500+2000+1500+2000+2000+1500</f>
        <v>1498500</v>
      </c>
      <c r="I24" s="121"/>
      <c r="J24" s="170">
        <f>15000</f>
        <v>15000</v>
      </c>
      <c r="K24" s="121"/>
      <c r="L24" s="170">
        <f>5000</f>
        <v>5000</v>
      </c>
      <c r="M24" s="56">
        <f>SUM(C24:L24)</f>
        <v>1823500</v>
      </c>
      <c r="N24" s="51">
        <v>1814500</v>
      </c>
      <c r="O24" s="53">
        <f t="shared" si="2"/>
        <v>-9000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45645</v>
      </c>
      <c r="C25" s="171"/>
      <c r="D25" s="170"/>
      <c r="E25" s="171"/>
      <c r="F25" s="170"/>
      <c r="G25" s="171"/>
      <c r="H25" s="170">
        <f>550000+2000+440000+2000+843000+2000+1500+2000+1500</f>
        <v>1844000</v>
      </c>
      <c r="I25" s="171">
        <f>6000</f>
        <v>6000</v>
      </c>
      <c r="J25" s="170">
        <f>200+8400</f>
        <v>8600</v>
      </c>
      <c r="K25" s="171"/>
      <c r="L25" s="170">
        <f>8260+99400</f>
        <v>107660</v>
      </c>
      <c r="M25" s="176">
        <f t="shared" si="3"/>
        <v>1966260</v>
      </c>
      <c r="N25" s="177">
        <v>1959260</v>
      </c>
      <c r="O25" s="178">
        <f t="shared" si="2"/>
        <v>-7000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45646</v>
      </c>
      <c r="C26" s="171"/>
      <c r="D26" s="170"/>
      <c r="E26" s="171"/>
      <c r="F26" s="170"/>
      <c r="G26" s="171">
        <f>4000</f>
        <v>4000</v>
      </c>
      <c r="H26" s="170">
        <f>290000+2000+675000+170950+867000+1500+1500+1500</f>
        <v>2009450</v>
      </c>
      <c r="I26" s="171"/>
      <c r="J26" s="170">
        <f>13000+6000+8960</f>
        <v>27960</v>
      </c>
      <c r="K26" s="171"/>
      <c r="L26" s="170"/>
      <c r="M26" s="56">
        <f t="shared" si="3"/>
        <v>2041410</v>
      </c>
      <c r="N26" s="52">
        <v>2036910</v>
      </c>
      <c r="O26" s="53">
        <f t="shared" si="2"/>
        <v>-4500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45647</v>
      </c>
      <c r="C27" s="171"/>
      <c r="D27" s="170"/>
      <c r="E27" s="171"/>
      <c r="F27" s="170"/>
      <c r="G27" s="171">
        <f>2000+1500</f>
        <v>3500</v>
      </c>
      <c r="H27" s="170">
        <f>290000+10500+464000+400000+1500+2000+1500</f>
        <v>1169500</v>
      </c>
      <c r="I27" s="171"/>
      <c r="J27" s="137"/>
      <c r="K27" s="171"/>
      <c r="L27" s="170"/>
      <c r="M27" s="176">
        <f t="shared" si="3"/>
        <v>1173000</v>
      </c>
      <c r="N27" s="180">
        <v>1168000</v>
      </c>
      <c r="O27" s="181">
        <f>N27-M27</f>
        <v>-5000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45648</v>
      </c>
      <c r="C28" s="171"/>
      <c r="D28" s="170"/>
      <c r="E28" s="171"/>
      <c r="F28" s="170"/>
      <c r="G28" s="171">
        <f>1500</f>
        <v>1500</v>
      </c>
      <c r="H28" s="170">
        <f>520000+660000+464000+75+371500</f>
        <v>2015575</v>
      </c>
      <c r="I28" s="171"/>
      <c r="J28" s="170">
        <f>10000+40910</f>
        <v>50910</v>
      </c>
      <c r="K28" s="171"/>
      <c r="L28" s="170">
        <f>118000</f>
        <v>118000</v>
      </c>
      <c r="M28" s="156">
        <f t="shared" si="3"/>
        <v>2185985</v>
      </c>
      <c r="N28" s="157">
        <v>2185985</v>
      </c>
      <c r="O28" s="155">
        <f t="shared" si="2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45649</v>
      </c>
      <c r="C29" s="171"/>
      <c r="D29" s="170"/>
      <c r="E29" s="171"/>
      <c r="F29" s="170"/>
      <c r="G29" s="171">
        <f>190000+165000+220000</f>
        <v>575000</v>
      </c>
      <c r="H29" s="170">
        <f>12000+4000+39750+360000+9900+100000+1500</f>
        <v>527150</v>
      </c>
      <c r="I29" s="171"/>
      <c r="J29" s="170">
        <f>670+26400</f>
        <v>27070</v>
      </c>
      <c r="K29" s="171"/>
      <c r="L29" s="170"/>
      <c r="M29" s="56">
        <f t="shared" si="3"/>
        <v>1129220</v>
      </c>
      <c r="N29" s="52">
        <v>1127720</v>
      </c>
      <c r="O29" s="53">
        <f t="shared" si="2"/>
        <v>-1500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45650</v>
      </c>
      <c r="C30" s="138"/>
      <c r="D30" s="179"/>
      <c r="E30" s="171"/>
      <c r="F30" s="170"/>
      <c r="G30" s="171">
        <f>540000+1500</f>
        <v>541500</v>
      </c>
      <c r="H30" s="170">
        <f>456000+1500+1500+1500+1500</f>
        <v>462000</v>
      </c>
      <c r="I30" s="171"/>
      <c r="J30" s="170">
        <f>13310+38527</f>
        <v>51837</v>
      </c>
      <c r="K30" s="138"/>
      <c r="L30" s="137">
        <f>30000</f>
        <v>30000</v>
      </c>
      <c r="M30" s="56">
        <f t="shared" si="3"/>
        <v>1085337</v>
      </c>
      <c r="N30" s="51">
        <v>1083837</v>
      </c>
      <c r="O30" s="155">
        <f t="shared" si="2"/>
        <v>-1500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45651</v>
      </c>
      <c r="C31" s="121"/>
      <c r="D31" s="170"/>
      <c r="E31" s="171"/>
      <c r="F31" s="170"/>
      <c r="G31" s="121">
        <f>460000</f>
        <v>460000</v>
      </c>
      <c r="H31" s="170">
        <f>290000+2000+1500+207000+11400+1500</f>
        <v>513400</v>
      </c>
      <c r="I31" s="171"/>
      <c r="J31" s="170">
        <f>20400+6200</f>
        <v>26600</v>
      </c>
      <c r="K31" s="171"/>
      <c r="L31" s="170">
        <f>2000+2000</f>
        <v>4000</v>
      </c>
      <c r="M31" s="56">
        <f t="shared" si="3"/>
        <v>1004000</v>
      </c>
      <c r="N31" s="51">
        <v>1002500</v>
      </c>
      <c r="O31" s="53">
        <f t="shared" si="2"/>
        <v>-1500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45652</v>
      </c>
      <c r="C32" s="171"/>
      <c r="D32" s="170"/>
      <c r="E32" s="171"/>
      <c r="F32" s="170"/>
      <c r="G32" s="171">
        <f>300000+370000</f>
        <v>670000</v>
      </c>
      <c r="H32" s="170">
        <f>600000+370000+207000+10000+2000</f>
        <v>1189000</v>
      </c>
      <c r="I32" s="138">
        <f>72.16+2127.84</f>
        <v>2200</v>
      </c>
      <c r="J32" s="170">
        <f>10150</f>
        <v>10150</v>
      </c>
      <c r="K32" s="171"/>
      <c r="L32" s="170"/>
      <c r="M32" s="156">
        <f t="shared" si="3"/>
        <v>1871350</v>
      </c>
      <c r="N32" s="157">
        <v>1869350</v>
      </c>
      <c r="O32" s="155">
        <f t="shared" si="2"/>
        <v>-2000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45653</v>
      </c>
      <c r="C33" s="171"/>
      <c r="D33" s="170"/>
      <c r="E33" s="171"/>
      <c r="F33" s="170"/>
      <c r="G33" s="171"/>
      <c r="H33" s="170">
        <f>10000+290000+1000000+330000+6000+317000</f>
        <v>1953000</v>
      </c>
      <c r="I33" s="171">
        <f>20000</f>
        <v>20000</v>
      </c>
      <c r="J33" s="170">
        <f>23080+16610</f>
        <v>39690</v>
      </c>
      <c r="K33" s="171"/>
      <c r="L33" s="170">
        <f>15000</f>
        <v>15000</v>
      </c>
      <c r="M33" s="56">
        <f t="shared" si="3"/>
        <v>2027690</v>
      </c>
      <c r="N33" s="51">
        <v>2027690</v>
      </c>
      <c r="O33" s="53">
        <f t="shared" si="2"/>
        <v>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45654</v>
      </c>
      <c r="C34" s="171"/>
      <c r="D34" s="174"/>
      <c r="E34" s="171"/>
      <c r="F34" s="170"/>
      <c r="G34" s="138"/>
      <c r="H34" s="137">
        <f>1500</f>
        <v>1500</v>
      </c>
      <c r="I34" s="138"/>
      <c r="J34" s="137">
        <v>7110</v>
      </c>
      <c r="K34" s="138"/>
      <c r="L34" s="137"/>
      <c r="M34" s="156">
        <f>SUM(C34:L34)</f>
        <v>8610</v>
      </c>
      <c r="N34" s="157">
        <v>7110</v>
      </c>
      <c r="O34" s="53">
        <f t="shared" si="2"/>
        <v>-1500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45655</v>
      </c>
      <c r="C35" s="171"/>
      <c r="D35" s="174"/>
      <c r="E35" s="171"/>
      <c r="F35" s="170"/>
      <c r="G35" s="171">
        <f>78200</f>
        <v>78200</v>
      </c>
      <c r="H35" s="170">
        <f>54500</f>
        <v>54500</v>
      </c>
      <c r="I35" s="171"/>
      <c r="J35" s="170"/>
      <c r="K35" s="171"/>
      <c r="L35" s="170"/>
      <c r="M35" s="56">
        <f t="shared" si="3"/>
        <v>132700</v>
      </c>
      <c r="N35" s="168">
        <v>132700</v>
      </c>
      <c r="O35" s="55">
        <f t="shared" si="2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45656</v>
      </c>
      <c r="C36" s="171"/>
      <c r="D36" s="174"/>
      <c r="E36" s="171"/>
      <c r="F36" s="170">
        <f>305000</f>
        <v>305000</v>
      </c>
      <c r="G36" s="171"/>
      <c r="H36" s="170">
        <f>1500+5000</f>
        <v>6500</v>
      </c>
      <c r="I36" s="171">
        <f>6000</f>
        <v>6000</v>
      </c>
      <c r="J36" s="170"/>
      <c r="K36" s="171">
        <f>34100</f>
        <v>34100</v>
      </c>
      <c r="L36" s="170">
        <f>16400</f>
        <v>16400</v>
      </c>
      <c r="M36" s="56">
        <f t="shared" si="3"/>
        <v>368000</v>
      </c>
      <c r="N36" s="168">
        <v>363000</v>
      </c>
      <c r="O36" s="55">
        <f t="shared" si="2"/>
        <v>-5000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71"/>
      <c r="D37" s="174"/>
      <c r="E37" s="171"/>
      <c r="F37" s="170"/>
      <c r="G37" s="171"/>
      <c r="H37" s="170"/>
      <c r="I37" s="171"/>
      <c r="J37" s="170"/>
      <c r="K37" s="171"/>
      <c r="L37" s="170"/>
      <c r="M37" s="56">
        <f t="shared" si="3"/>
        <v>0</v>
      </c>
      <c r="N37" s="168"/>
      <c r="O37" s="55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2157000</v>
      </c>
      <c r="D39" s="25">
        <f>SUM(D7:D38)</f>
        <v>2857000</v>
      </c>
      <c r="E39" s="24">
        <f t="shared" ref="E39:K39" si="4">SUM(E7:E38)</f>
        <v>3641000</v>
      </c>
      <c r="F39" s="59">
        <f t="shared" si="4"/>
        <v>3694075</v>
      </c>
      <c r="G39" s="24">
        <f t="shared" si="4"/>
        <v>10576200</v>
      </c>
      <c r="H39" s="25">
        <f>SUM(H7:H38)</f>
        <v>29274525</v>
      </c>
      <c r="I39" s="24">
        <f t="shared" si="4"/>
        <v>105006</v>
      </c>
      <c r="J39" s="25">
        <f>SUM(J7:J38)</f>
        <v>561982</v>
      </c>
      <c r="K39" s="24">
        <f t="shared" si="4"/>
        <v>100100</v>
      </c>
      <c r="L39" s="25">
        <f>SUM(L7:L38)</f>
        <v>1274950</v>
      </c>
      <c r="M39" s="28">
        <f>SUM(M7:M38)</f>
        <v>54241838</v>
      </c>
      <c r="N39" s="27">
        <f>SUM(N7:N38)</f>
        <v>54125338</v>
      </c>
      <c r="O39" s="26">
        <f>N39-M39</f>
        <v>-116500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5014000</v>
      </c>
      <c r="D40" s="282"/>
      <c r="E40" s="267">
        <f>SUM(E39:F39)</f>
        <v>7335075</v>
      </c>
      <c r="F40" s="269"/>
      <c r="G40" s="281">
        <f>SUM(G39:H39)</f>
        <v>39850725</v>
      </c>
      <c r="H40" s="282"/>
      <c r="I40" s="267">
        <f>SUM(I39:J39)</f>
        <v>666988</v>
      </c>
      <c r="J40" s="268"/>
      <c r="K40" s="281">
        <f>SUM(K39:L39)</f>
        <v>1375050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45626</v>
      </c>
      <c r="C45" s="3">
        <v>0</v>
      </c>
      <c r="D45" s="14"/>
      <c r="E45" s="3">
        <v>0</v>
      </c>
      <c r="F45" s="14"/>
      <c r="G45" s="3">
        <v>0</v>
      </c>
      <c r="H45" s="14">
        <v>699500</v>
      </c>
      <c r="I45" s="3"/>
      <c r="J45" s="14">
        <v>15060</v>
      </c>
      <c r="K45" s="134"/>
      <c r="L45" s="14">
        <v>46000</v>
      </c>
      <c r="M45" s="3">
        <v>760560</v>
      </c>
      <c r="N45" s="3">
        <v>760560</v>
      </c>
      <c r="O45" s="3">
        <f>N45-M45</f>
        <v>0</v>
      </c>
      <c r="P45" s="85">
        <v>45627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45657</v>
      </c>
      <c r="C48" s="3">
        <v>0</v>
      </c>
      <c r="D48" s="14"/>
      <c r="E48" s="3">
        <v>0</v>
      </c>
      <c r="F48" s="14"/>
      <c r="G48" s="3">
        <v>0</v>
      </c>
      <c r="H48" s="14"/>
      <c r="I48" s="3">
        <v>0</v>
      </c>
      <c r="J48" s="14"/>
      <c r="K48" s="134">
        <v>0</v>
      </c>
      <c r="L48" s="14"/>
      <c r="M48" s="3"/>
      <c r="N48" s="3"/>
      <c r="O48" s="3">
        <f>N48-M48</f>
        <v>0</v>
      </c>
      <c r="P48" s="151">
        <v>45658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0</v>
      </c>
      <c r="F50" s="263"/>
      <c r="G50" s="262">
        <f>H45+H46-H47-H48</f>
        <v>699500</v>
      </c>
      <c r="H50" s="263"/>
      <c r="I50" s="262">
        <f>J45+J46-J47-J48</f>
        <v>15060</v>
      </c>
      <c r="J50" s="263"/>
      <c r="K50" s="262">
        <f>L45+L46-L47-L48</f>
        <v>46000</v>
      </c>
      <c r="L50" s="263"/>
    </row>
    <row r="51" spans="2:28" x14ac:dyDescent="0.25">
      <c r="B51" s="264" t="s">
        <v>12</v>
      </c>
      <c r="C51" s="264"/>
      <c r="D51" s="31">
        <f>D39+D50</f>
        <v>2857000</v>
      </c>
      <c r="E51" s="265">
        <f>F39+E50</f>
        <v>3694075</v>
      </c>
      <c r="F51" s="266"/>
      <c r="G51" s="265">
        <f>H39+G50</f>
        <v>29974025</v>
      </c>
      <c r="H51" s="266"/>
      <c r="I51" s="286">
        <f>J39+I50</f>
        <v>577042</v>
      </c>
      <c r="J51" s="287"/>
      <c r="K51" s="265">
        <f>L39+K50</f>
        <v>1320950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38423092</v>
      </c>
      <c r="E52" s="283"/>
      <c r="F52" s="283"/>
      <c r="G52" s="283"/>
      <c r="H52" s="283"/>
      <c r="I52" s="182"/>
      <c r="J52" s="182"/>
      <c r="K52" s="182"/>
      <c r="L52" s="182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25356.799999999999</v>
      </c>
      <c r="P54" s="87"/>
      <c r="S54">
        <v>7.4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16579306</v>
      </c>
      <c r="D55" s="149">
        <f>D39+H39+F39+J39+L39</f>
        <v>37662532</v>
      </c>
      <c r="E55" s="58"/>
      <c r="F55" s="58"/>
      <c r="M55" s="63" t="s">
        <v>25</v>
      </c>
      <c r="N55" s="64">
        <v>32895.300000000003</v>
      </c>
      <c r="P55" s="88"/>
      <c r="S55">
        <v>9.6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54241838</v>
      </c>
      <c r="D56" s="285"/>
      <c r="E56" s="57"/>
      <c r="F56" s="57"/>
      <c r="M56" s="63" t="s">
        <v>28</v>
      </c>
      <c r="N56" s="64">
        <v>267274.33</v>
      </c>
      <c r="R56" s="87"/>
      <c r="S56">
        <v>78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5139.8900000000003</v>
      </c>
      <c r="S57">
        <v>1.5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11993.08</v>
      </c>
      <c r="S58">
        <v>3.5</v>
      </c>
      <c r="Y58" s="4"/>
      <c r="AA58" s="78"/>
      <c r="AB58" s="68"/>
    </row>
    <row r="59" spans="2:28" x14ac:dyDescent="0.25">
      <c r="J59" t="s">
        <v>3</v>
      </c>
      <c r="N59" s="64">
        <v>342659.4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55002398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72"/>
  <sheetViews>
    <sheetView workbookViewId="0">
      <selection activeCell="D31" sqref="D31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134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45658</v>
      </c>
      <c r="C7" s="171"/>
      <c r="D7" s="170"/>
      <c r="E7" s="171"/>
      <c r="F7" s="170"/>
      <c r="G7" s="119"/>
      <c r="H7" s="120"/>
      <c r="I7" s="119"/>
      <c r="J7" s="120"/>
      <c r="K7" s="119"/>
      <c r="L7" s="120"/>
      <c r="M7" s="56">
        <f t="shared" ref="M7:M13" si="0">SUM(C7:L7)</f>
        <v>0</v>
      </c>
      <c r="N7" s="52"/>
      <c r="O7" s="53">
        <f>N7-M7</f>
        <v>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7" si="1">B7+1</f>
        <v>45659</v>
      </c>
      <c r="C8" s="121"/>
      <c r="D8" s="170"/>
      <c r="E8" s="171"/>
      <c r="F8" s="170"/>
      <c r="G8" s="121"/>
      <c r="H8" s="170"/>
      <c r="I8" s="121"/>
      <c r="J8" s="170"/>
      <c r="K8" s="121"/>
      <c r="L8" s="170"/>
      <c r="M8" s="56">
        <f t="shared" si="0"/>
        <v>0</v>
      </c>
      <c r="N8" s="52"/>
      <c r="O8" s="53">
        <f t="shared" ref="O8:O37" si="2">N8-M8</f>
        <v>0</v>
      </c>
      <c r="Z8" s="78"/>
      <c r="AB8" s="68"/>
    </row>
    <row r="9" spans="2:28" x14ac:dyDescent="0.25">
      <c r="B9" s="15">
        <f t="shared" si="1"/>
        <v>45660</v>
      </c>
      <c r="C9" s="171"/>
      <c r="D9" s="122"/>
      <c r="E9" s="171">
        <f>630000</f>
        <v>630000</v>
      </c>
      <c r="F9" s="170">
        <f>705000</f>
        <v>705000</v>
      </c>
      <c r="G9" s="171">
        <f>2000</f>
        <v>2000</v>
      </c>
      <c r="H9" s="170">
        <f>75+490000+450000+7500</f>
        <v>947575</v>
      </c>
      <c r="I9" s="171"/>
      <c r="J9" s="170">
        <f>7110</f>
        <v>7110</v>
      </c>
      <c r="K9" s="171">
        <f>19500</f>
        <v>19500</v>
      </c>
      <c r="L9" s="170">
        <f>5000+7500</f>
        <v>12500</v>
      </c>
      <c r="M9" s="56">
        <f t="shared" si="0"/>
        <v>2323685</v>
      </c>
      <c r="N9" s="51">
        <v>2316185</v>
      </c>
      <c r="O9" s="53">
        <f t="shared" si="2"/>
        <v>-7500</v>
      </c>
      <c r="P9" s="101"/>
      <c r="Z9" s="78"/>
      <c r="AB9" s="68"/>
    </row>
    <row r="10" spans="2:28" x14ac:dyDescent="0.25">
      <c r="B10" s="15">
        <f t="shared" si="1"/>
        <v>45661</v>
      </c>
      <c r="C10" s="171"/>
      <c r="D10" s="122"/>
      <c r="E10" s="171">
        <f>120000</f>
        <v>120000</v>
      </c>
      <c r="F10" s="170"/>
      <c r="G10" s="171">
        <f>300000+450000</f>
        <v>750000</v>
      </c>
      <c r="H10" s="170">
        <f>1090000+410000+323000+2000+1500</f>
        <v>1826500</v>
      </c>
      <c r="I10" s="171"/>
      <c r="J10" s="170">
        <f>6000</f>
        <v>6000</v>
      </c>
      <c r="K10" s="171"/>
      <c r="L10" s="170"/>
      <c r="M10" s="56">
        <f t="shared" si="0"/>
        <v>2702500</v>
      </c>
      <c r="N10" s="51">
        <v>2699000</v>
      </c>
      <c r="O10" s="53">
        <f>N10-M10</f>
        <v>-3500</v>
      </c>
      <c r="P10" s="101"/>
      <c r="Z10" s="78"/>
      <c r="AB10" s="68"/>
    </row>
    <row r="11" spans="2:28" x14ac:dyDescent="0.25">
      <c r="B11" s="15">
        <f t="shared" si="1"/>
        <v>45662</v>
      </c>
      <c r="C11" s="121"/>
      <c r="D11" s="170"/>
      <c r="E11" s="171">
        <f>435000</f>
        <v>435000</v>
      </c>
      <c r="F11" s="170">
        <f>180000</f>
        <v>180000</v>
      </c>
      <c r="G11" s="121">
        <f>10000</f>
        <v>10000</v>
      </c>
      <c r="H11" s="121">
        <f>640000+300000+386000+2000+1500+590000+5000</f>
        <v>1924500</v>
      </c>
      <c r="I11" s="121"/>
      <c r="J11" s="170"/>
      <c r="K11" s="121"/>
      <c r="L11" s="170"/>
      <c r="M11" s="56">
        <f t="shared" si="0"/>
        <v>2549500</v>
      </c>
      <c r="N11" s="52">
        <v>2544500</v>
      </c>
      <c r="O11" s="53">
        <f>N11-M11</f>
        <v>-5000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45663</v>
      </c>
      <c r="C12" s="171">
        <f>957000</f>
        <v>957000</v>
      </c>
      <c r="D12" s="170">
        <f>14000</f>
        <v>14000</v>
      </c>
      <c r="E12" s="171">
        <f>1250000</f>
        <v>1250000</v>
      </c>
      <c r="F12" s="170">
        <f>5000</f>
        <v>5000</v>
      </c>
      <c r="G12" s="171">
        <f>170000+1500</f>
        <v>171500</v>
      </c>
      <c r="H12" s="170">
        <f>570000+300000+1500+6000+1500+1500+1500+1500+3000</f>
        <v>886500</v>
      </c>
      <c r="I12" s="171"/>
      <c r="J12" s="170"/>
      <c r="K12" s="171">
        <f>7000</f>
        <v>7000</v>
      </c>
      <c r="L12" s="170">
        <f>74000</f>
        <v>74000</v>
      </c>
      <c r="M12" s="56">
        <f t="shared" si="0"/>
        <v>3365000</v>
      </c>
      <c r="N12" s="52">
        <v>3357500</v>
      </c>
      <c r="O12" s="53">
        <f>N12-M12</f>
        <v>-7500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45664</v>
      </c>
      <c r="C13" s="171">
        <f>850000</f>
        <v>850000</v>
      </c>
      <c r="D13" s="170"/>
      <c r="E13" s="171"/>
      <c r="F13" s="170"/>
      <c r="G13" s="171">
        <f>890000</f>
        <v>890000</v>
      </c>
      <c r="H13" s="170">
        <f>290000+440000+450000+1500+1500+1500+1500</f>
        <v>1186000</v>
      </c>
      <c r="I13" s="171"/>
      <c r="J13" s="170"/>
      <c r="K13" s="171"/>
      <c r="L13" s="170">
        <f>10500</f>
        <v>10500</v>
      </c>
      <c r="M13" s="56">
        <f t="shared" si="0"/>
        <v>2936500</v>
      </c>
      <c r="N13" s="52">
        <v>2930500</v>
      </c>
      <c r="O13" s="53">
        <f>N13-M13</f>
        <v>-6000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45665</v>
      </c>
      <c r="C14" s="171"/>
      <c r="D14" s="170">
        <f>9500</f>
        <v>9500</v>
      </c>
      <c r="E14" s="171"/>
      <c r="F14" s="170">
        <f>830000+615000</f>
        <v>1445000</v>
      </c>
      <c r="G14" s="171">
        <f>460000+295000</f>
        <v>755000</v>
      </c>
      <c r="H14" s="170">
        <f>5000+340000+383000+400000+1500</f>
        <v>1129500</v>
      </c>
      <c r="I14" s="171"/>
      <c r="J14" s="170">
        <f>12000+15000</f>
        <v>27000</v>
      </c>
      <c r="K14" s="171">
        <f>30000</f>
        <v>30000</v>
      </c>
      <c r="L14" s="170">
        <f>68650</f>
        <v>68650</v>
      </c>
      <c r="M14" s="56">
        <f t="shared" ref="M14:M38" si="3">SUM(C14:L14)</f>
        <v>3464650</v>
      </c>
      <c r="N14" s="51">
        <v>3463150</v>
      </c>
      <c r="O14" s="53">
        <f>N14-M14</f>
        <v>-1500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45666</v>
      </c>
      <c r="C15" s="171">
        <f>1300000</f>
        <v>1300000</v>
      </c>
      <c r="D15" s="174">
        <f>250000</f>
        <v>250000</v>
      </c>
      <c r="E15" s="171">
        <f>930000</f>
        <v>930000</v>
      </c>
      <c r="F15" s="170"/>
      <c r="G15" s="171">
        <f>420000</f>
        <v>420000</v>
      </c>
      <c r="H15" s="170">
        <f>2000+8000</f>
        <v>10000</v>
      </c>
      <c r="I15" s="171"/>
      <c r="J15" s="170">
        <f>29800+3900</f>
        <v>33700</v>
      </c>
      <c r="K15" s="171"/>
      <c r="L15" s="170">
        <f>30500</f>
        <v>30500</v>
      </c>
      <c r="M15" s="56">
        <f t="shared" si="3"/>
        <v>2974200</v>
      </c>
      <c r="N15" s="51">
        <v>2966200</v>
      </c>
      <c r="O15" s="53">
        <f t="shared" si="2"/>
        <v>-8000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45667</v>
      </c>
      <c r="C16" s="136"/>
      <c r="D16" s="170"/>
      <c r="E16" s="171">
        <f>5000</f>
        <v>5000</v>
      </c>
      <c r="F16" s="170">
        <f>15000+5000</f>
        <v>20000</v>
      </c>
      <c r="G16" s="136">
        <f>1030000+10000+290000+2000</f>
        <v>1332000</v>
      </c>
      <c r="H16" s="170">
        <f>6000+350000+6000+75000+1500+2000+1500+2000+2000</f>
        <v>446000</v>
      </c>
      <c r="I16" s="121"/>
      <c r="J16" s="170"/>
      <c r="K16" s="121">
        <f>15000</f>
        <v>15000</v>
      </c>
      <c r="L16" s="170">
        <f>11500+3000</f>
        <v>14500</v>
      </c>
      <c r="M16" s="56">
        <f t="shared" si="3"/>
        <v>1832500</v>
      </c>
      <c r="N16" s="52">
        <v>1818500</v>
      </c>
      <c r="O16" s="53">
        <f t="shared" si="2"/>
        <v>-14000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45668</v>
      </c>
      <c r="C17" s="171"/>
      <c r="D17" s="170"/>
      <c r="E17" s="121">
        <f>300000</f>
        <v>300000</v>
      </c>
      <c r="F17" s="122">
        <f>5000</f>
        <v>5000</v>
      </c>
      <c r="G17" s="171"/>
      <c r="H17" s="122">
        <f>440000+160000+6000+4000+280000+1500+2000+1500+2000</f>
        <v>897000</v>
      </c>
      <c r="I17" s="171"/>
      <c r="J17" s="122">
        <f>39500</f>
        <v>39500</v>
      </c>
      <c r="K17" s="171"/>
      <c r="L17" s="122"/>
      <c r="M17" s="56">
        <f t="shared" si="3"/>
        <v>1241500</v>
      </c>
      <c r="N17" s="52">
        <v>1229500</v>
      </c>
      <c r="O17" s="53">
        <f t="shared" si="2"/>
        <v>-12000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45669</v>
      </c>
      <c r="C18" s="121"/>
      <c r="D18" s="170"/>
      <c r="E18" s="171"/>
      <c r="F18" s="170"/>
      <c r="G18" s="121"/>
      <c r="H18" s="170">
        <f>381500+2000</f>
        <v>383500</v>
      </c>
      <c r="I18" s="121">
        <f>6000</f>
        <v>6000</v>
      </c>
      <c r="J18" s="170"/>
      <c r="K18" s="121">
        <f>6000</f>
        <v>6000</v>
      </c>
      <c r="L18" s="170">
        <f>6000</f>
        <v>6000</v>
      </c>
      <c r="M18" s="176">
        <f t="shared" si="3"/>
        <v>401500</v>
      </c>
      <c r="N18" s="183">
        <v>399500</v>
      </c>
      <c r="O18" s="178">
        <f t="shared" si="2"/>
        <v>-2000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45670</v>
      </c>
      <c r="C19" s="171"/>
      <c r="D19" s="170">
        <f>13500</f>
        <v>13500</v>
      </c>
      <c r="E19" s="171"/>
      <c r="F19" s="170">
        <f>345000+75</f>
        <v>345075</v>
      </c>
      <c r="G19" s="171">
        <f>950000</f>
        <v>950000</v>
      </c>
      <c r="H19" s="170">
        <f>2150+300000+2000+451500+3000+1500+1500+1500+1500+1500+1500</f>
        <v>767650</v>
      </c>
      <c r="I19" s="171"/>
      <c r="J19" s="170">
        <f>6000+12000</f>
        <v>18000</v>
      </c>
      <c r="K19" s="171">
        <f>5000</f>
        <v>5000</v>
      </c>
      <c r="L19" s="170">
        <f>47000</f>
        <v>47000</v>
      </c>
      <c r="M19" s="56">
        <f>SUM(C19:L19)</f>
        <v>2146225</v>
      </c>
      <c r="N19" s="52">
        <v>2134225</v>
      </c>
      <c r="O19" s="53">
        <f t="shared" si="2"/>
        <v>-12000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45671</v>
      </c>
      <c r="C20" s="171">
        <f>1250000</f>
        <v>1250000</v>
      </c>
      <c r="D20" s="175"/>
      <c r="E20" s="171"/>
      <c r="F20" s="170">
        <f>5000+5000</f>
        <v>10000</v>
      </c>
      <c r="G20" s="171">
        <f>400000</f>
        <v>400000</v>
      </c>
      <c r="H20" s="170">
        <f>290000+400000</f>
        <v>690000</v>
      </c>
      <c r="I20" s="171">
        <f>18000+4200+6000</f>
        <v>28200</v>
      </c>
      <c r="J20" s="170">
        <f>14000+9950</f>
        <v>23950</v>
      </c>
      <c r="K20" s="171">
        <f>8500</f>
        <v>8500</v>
      </c>
      <c r="L20" s="170">
        <f>6000</f>
        <v>6000</v>
      </c>
      <c r="M20" s="56">
        <f t="shared" si="3"/>
        <v>2416650</v>
      </c>
      <c r="N20" s="52">
        <v>2406650</v>
      </c>
      <c r="O20" s="53">
        <f t="shared" si="2"/>
        <v>-10000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36.75" customHeight="1" x14ac:dyDescent="0.25">
      <c r="B21" s="15">
        <f>B20+1</f>
        <v>45672</v>
      </c>
      <c r="C21" s="171">
        <f>850000</f>
        <v>850000</v>
      </c>
      <c r="D21" s="170">
        <f>7000</f>
        <v>7000</v>
      </c>
      <c r="E21" s="171">
        <f>5000</f>
        <v>5000</v>
      </c>
      <c r="F21" s="170"/>
      <c r="G21" s="171">
        <f>300000+1500</f>
        <v>301500</v>
      </c>
      <c r="H21" s="170">
        <f>300000+4500+350000+800000+1500+2000+1500</f>
        <v>1459500</v>
      </c>
      <c r="I21" s="171"/>
      <c r="J21" s="170">
        <f>3500+9000+24750</f>
        <v>37250</v>
      </c>
      <c r="K21" s="171">
        <f>6500</f>
        <v>6500</v>
      </c>
      <c r="L21" s="170">
        <f>30500</f>
        <v>30500</v>
      </c>
      <c r="M21" s="56">
        <f t="shared" si="3"/>
        <v>2697250</v>
      </c>
      <c r="N21" s="157">
        <v>2692250</v>
      </c>
      <c r="O21" s="155">
        <f t="shared" si="2"/>
        <v>-5000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45673</v>
      </c>
      <c r="C22" s="171">
        <f>950000</f>
        <v>950000</v>
      </c>
      <c r="D22" s="174"/>
      <c r="E22" s="171">
        <f>75000</f>
        <v>75000</v>
      </c>
      <c r="F22" s="170">
        <f>540000</f>
        <v>540000</v>
      </c>
      <c r="G22" s="171">
        <f>350000+3000</f>
        <v>353000</v>
      </c>
      <c r="H22" s="170">
        <f>3000</f>
        <v>3000</v>
      </c>
      <c r="I22" s="171">
        <f>3500</f>
        <v>3500</v>
      </c>
      <c r="J22" s="170">
        <f>3000+15244</f>
        <v>18244</v>
      </c>
      <c r="K22" s="45">
        <f>3000</f>
        <v>3000</v>
      </c>
      <c r="L22" s="46">
        <f>5000+30000</f>
        <v>35000</v>
      </c>
      <c r="M22" s="56">
        <f t="shared" si="3"/>
        <v>1980744</v>
      </c>
      <c r="N22" s="52">
        <v>1980744</v>
      </c>
      <c r="O22" s="53">
        <f t="shared" si="2"/>
        <v>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45674</v>
      </c>
      <c r="C23" s="171">
        <f>900000</f>
        <v>900000</v>
      </c>
      <c r="D23" s="170"/>
      <c r="E23" s="171"/>
      <c r="F23" s="170"/>
      <c r="G23" s="171">
        <f>430000+1500</f>
        <v>431500</v>
      </c>
      <c r="H23" s="170">
        <f>1500+3000</f>
        <v>4500</v>
      </c>
      <c r="I23" s="171"/>
      <c r="J23" s="170">
        <f>18000+3000+3000</f>
        <v>24000</v>
      </c>
      <c r="K23" s="171">
        <f>30000</f>
        <v>30000</v>
      </c>
      <c r="L23" s="170">
        <f>171000+6000</f>
        <v>177000</v>
      </c>
      <c r="M23" s="56">
        <f t="shared" si="3"/>
        <v>1567000</v>
      </c>
      <c r="N23" s="52">
        <v>1564000</v>
      </c>
      <c r="O23" s="155">
        <f t="shared" si="2"/>
        <v>-3000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45675</v>
      </c>
      <c r="C24" s="121"/>
      <c r="D24" s="170"/>
      <c r="E24" s="171"/>
      <c r="F24" s="170">
        <f>5000</f>
        <v>5000</v>
      </c>
      <c r="G24" s="121">
        <f>200000</f>
        <v>200000</v>
      </c>
      <c r="H24" s="170">
        <f>380000+10000+533000+3000+483000+2000+1500</f>
        <v>1412500</v>
      </c>
      <c r="I24" s="121"/>
      <c r="J24" s="170">
        <f>6200</f>
        <v>6200</v>
      </c>
      <c r="K24" s="121"/>
      <c r="L24" s="170">
        <f>16000</f>
        <v>16000</v>
      </c>
      <c r="M24" s="56">
        <f>SUM(C24:L24)</f>
        <v>1639700</v>
      </c>
      <c r="N24" s="51">
        <v>1638200</v>
      </c>
      <c r="O24" s="53">
        <f t="shared" si="2"/>
        <v>-1500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45676</v>
      </c>
      <c r="C25" s="171"/>
      <c r="D25" s="170"/>
      <c r="E25" s="171"/>
      <c r="F25" s="170"/>
      <c r="G25" s="171">
        <f>350000+360000</f>
        <v>710000</v>
      </c>
      <c r="H25" s="170">
        <f>480000+56000+120000+1500+1500</f>
        <v>659000</v>
      </c>
      <c r="I25" s="171"/>
      <c r="J25" s="170">
        <f>3000+6000+3000</f>
        <v>12000</v>
      </c>
      <c r="K25" s="171"/>
      <c r="L25" s="170"/>
      <c r="M25" s="176">
        <f t="shared" si="3"/>
        <v>1381000</v>
      </c>
      <c r="N25" s="177">
        <v>1379500</v>
      </c>
      <c r="O25" s="178">
        <f t="shared" si="2"/>
        <v>-1500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45677</v>
      </c>
      <c r="C26" s="171"/>
      <c r="D26" s="170">
        <f>164000</f>
        <v>164000</v>
      </c>
      <c r="E26" s="171"/>
      <c r="F26" s="170"/>
      <c r="G26" s="171">
        <f>1500</f>
        <v>1500</v>
      </c>
      <c r="H26" s="170">
        <f>5900+3000+1500+8000</f>
        <v>18400</v>
      </c>
      <c r="I26" s="171"/>
      <c r="J26" s="170">
        <f>12500</f>
        <v>12500</v>
      </c>
      <c r="K26" s="171"/>
      <c r="L26" s="170">
        <f>6000</f>
        <v>6000</v>
      </c>
      <c r="M26" s="56">
        <f t="shared" si="3"/>
        <v>202400</v>
      </c>
      <c r="N26" s="52">
        <v>194400</v>
      </c>
      <c r="O26" s="53">
        <f t="shared" si="2"/>
        <v>-8000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45678</v>
      </c>
      <c r="C27" s="171">
        <f>500000</f>
        <v>500000</v>
      </c>
      <c r="D27" s="170">
        <f>1100000</f>
        <v>1100000</v>
      </c>
      <c r="E27" s="171"/>
      <c r="F27" s="170">
        <f>830000</f>
        <v>830000</v>
      </c>
      <c r="G27" s="171"/>
      <c r="H27" s="170">
        <f>10000+872000+3000+6000+360000</f>
        <v>1251000</v>
      </c>
      <c r="I27" s="171"/>
      <c r="J27" s="137">
        <f>3000</f>
        <v>3000</v>
      </c>
      <c r="K27" s="171"/>
      <c r="L27" s="170">
        <f>36830+2000</f>
        <v>38830</v>
      </c>
      <c r="M27" s="176">
        <f t="shared" si="3"/>
        <v>3722830</v>
      </c>
      <c r="N27" s="180">
        <v>3722830</v>
      </c>
      <c r="O27" s="181">
        <f>N27-M27</f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45679</v>
      </c>
      <c r="C28" s="171"/>
      <c r="D28" s="170">
        <f>600000</f>
        <v>600000</v>
      </c>
      <c r="E28" s="171">
        <f>970000</f>
        <v>970000</v>
      </c>
      <c r="F28" s="170">
        <f>1035000</f>
        <v>1035000</v>
      </c>
      <c r="G28" s="171">
        <f>1500</f>
        <v>1500</v>
      </c>
      <c r="H28" s="170">
        <f>393000+6000+6000+4000</f>
        <v>409000</v>
      </c>
      <c r="I28" s="171"/>
      <c r="J28" s="170">
        <f>9000</f>
        <v>9000</v>
      </c>
      <c r="K28" s="171">
        <f>2000</f>
        <v>2000</v>
      </c>
      <c r="L28" s="170">
        <f>30200</f>
        <v>30200</v>
      </c>
      <c r="M28" s="156">
        <f t="shared" si="3"/>
        <v>3056700</v>
      </c>
      <c r="N28" s="157">
        <v>3056700</v>
      </c>
      <c r="O28" s="155">
        <f t="shared" si="2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45680</v>
      </c>
      <c r="C29" s="171">
        <f>950000</f>
        <v>950000</v>
      </c>
      <c r="D29" s="170">
        <f>500000</f>
        <v>500000</v>
      </c>
      <c r="E29" s="171"/>
      <c r="F29" s="170">
        <f>1520000</f>
        <v>1520000</v>
      </c>
      <c r="G29" s="171">
        <f>3000+2000+360000</f>
        <v>365000</v>
      </c>
      <c r="H29" s="170">
        <f>15000+10000+3000+120000+2000</f>
        <v>150000</v>
      </c>
      <c r="I29" s="171"/>
      <c r="J29" s="170">
        <f>75</f>
        <v>75</v>
      </c>
      <c r="K29" s="171">
        <f>42000</f>
        <v>42000</v>
      </c>
      <c r="L29" s="170">
        <f>47000+3000</f>
        <v>50000</v>
      </c>
      <c r="M29" s="56">
        <f t="shared" si="3"/>
        <v>3577075</v>
      </c>
      <c r="N29" s="52">
        <v>3575075</v>
      </c>
      <c r="O29" s="53">
        <f t="shared" si="2"/>
        <v>-2000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45681</v>
      </c>
      <c r="C30" s="138"/>
      <c r="D30" s="179">
        <f>250000</f>
        <v>250000</v>
      </c>
      <c r="E30" s="171">
        <f>5000</f>
        <v>5000</v>
      </c>
      <c r="F30" s="170">
        <f>10000</f>
        <v>10000</v>
      </c>
      <c r="G30" s="171"/>
      <c r="H30" s="170">
        <f>3000+4000+39500+480000+3000</f>
        <v>529500</v>
      </c>
      <c r="I30" s="171"/>
      <c r="J30" s="170">
        <f>14650+15800</f>
        <v>30450</v>
      </c>
      <c r="K30" s="138">
        <f>24000+3000</f>
        <v>27000</v>
      </c>
      <c r="L30" s="137">
        <f>102400</f>
        <v>102400</v>
      </c>
      <c r="M30" s="56">
        <f t="shared" si="3"/>
        <v>954350</v>
      </c>
      <c r="N30" s="51">
        <v>951350</v>
      </c>
      <c r="O30" s="155">
        <f t="shared" si="2"/>
        <v>-3000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45682</v>
      </c>
      <c r="C31" s="121"/>
      <c r="D31" s="170"/>
      <c r="E31" s="171"/>
      <c r="F31" s="170">
        <v>180000</v>
      </c>
      <c r="G31" s="121">
        <f>45000+380000+2000+300000</f>
        <v>727000</v>
      </c>
      <c r="H31" s="170">
        <f>17000+360000+2000+450000+60000+3000+3000</f>
        <v>895000</v>
      </c>
      <c r="I31" s="171"/>
      <c r="J31" s="170"/>
      <c r="K31" s="171">
        <f>3000</f>
        <v>3000</v>
      </c>
      <c r="L31" s="170">
        <f>45715</f>
        <v>45715</v>
      </c>
      <c r="M31" s="56">
        <f t="shared" si="3"/>
        <v>1850715</v>
      </c>
      <c r="N31" s="51">
        <v>1847715</v>
      </c>
      <c r="O31" s="53">
        <f t="shared" si="2"/>
        <v>-3000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45683</v>
      </c>
      <c r="C32" s="171"/>
      <c r="D32" s="170">
        <f>850000</f>
        <v>850000</v>
      </c>
      <c r="E32" s="171"/>
      <c r="F32" s="170"/>
      <c r="G32" s="171">
        <f>6000</f>
        <v>6000</v>
      </c>
      <c r="H32" s="170">
        <f>10000+18000+350000+6000+1500</f>
        <v>385500</v>
      </c>
      <c r="I32" s="138"/>
      <c r="J32" s="170">
        <f>16900+53900</f>
        <v>70800</v>
      </c>
      <c r="K32" s="171"/>
      <c r="L32" s="170">
        <f>80500</f>
        <v>80500</v>
      </c>
      <c r="M32" s="156">
        <f t="shared" si="3"/>
        <v>1392800</v>
      </c>
      <c r="N32" s="157">
        <v>1391300</v>
      </c>
      <c r="O32" s="155">
        <f t="shared" si="2"/>
        <v>-1500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45684</v>
      </c>
      <c r="C33" s="171">
        <f>250000</f>
        <v>250000</v>
      </c>
      <c r="D33" s="170"/>
      <c r="E33" s="171"/>
      <c r="F33" s="170"/>
      <c r="G33" s="171">
        <f>450000+1500</f>
        <v>451500</v>
      </c>
      <c r="H33" s="170">
        <f>3000+436000+185000+410000+450000+20000</f>
        <v>1504000</v>
      </c>
      <c r="I33" s="171"/>
      <c r="J33" s="170">
        <f>6000</f>
        <v>6000</v>
      </c>
      <c r="K33" s="171">
        <f>3000</f>
        <v>3000</v>
      </c>
      <c r="L33" s="170">
        <f>99700+32000</f>
        <v>131700</v>
      </c>
      <c r="M33" s="56">
        <f t="shared" si="3"/>
        <v>2346200</v>
      </c>
      <c r="N33" s="51">
        <v>2326200</v>
      </c>
      <c r="O33" s="53">
        <f t="shared" si="2"/>
        <v>-20000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45685</v>
      </c>
      <c r="C34" s="171">
        <f>750000</f>
        <v>750000</v>
      </c>
      <c r="D34" s="174"/>
      <c r="E34" s="171">
        <f>1910000</f>
        <v>1910000</v>
      </c>
      <c r="F34" s="170">
        <f>850000</f>
        <v>850000</v>
      </c>
      <c r="G34" s="138">
        <f>370000+200000</f>
        <v>570000</v>
      </c>
      <c r="H34" s="137">
        <f>100000+4500+16500</f>
        <v>121000</v>
      </c>
      <c r="I34" s="138">
        <f>15000</f>
        <v>15000</v>
      </c>
      <c r="J34" s="137">
        <f>50600</f>
        <v>50600</v>
      </c>
      <c r="K34" s="138"/>
      <c r="L34" s="137">
        <f>14000</f>
        <v>14000</v>
      </c>
      <c r="M34" s="156">
        <f>SUM(C34:L34)</f>
        <v>4280600</v>
      </c>
      <c r="N34" s="157">
        <v>4264100</v>
      </c>
      <c r="O34" s="53">
        <f t="shared" si="2"/>
        <v>-16500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45686</v>
      </c>
      <c r="C35" s="171"/>
      <c r="D35" s="174"/>
      <c r="E35" s="171">
        <f>600000</f>
        <v>600000</v>
      </c>
      <c r="F35" s="170">
        <f>780075</f>
        <v>780075</v>
      </c>
      <c r="G35" s="171">
        <f>3000</f>
        <v>3000</v>
      </c>
      <c r="H35" s="170">
        <f>21000+2000+74500+15000</f>
        <v>112500</v>
      </c>
      <c r="I35" s="171"/>
      <c r="J35" s="170"/>
      <c r="K35" s="171"/>
      <c r="L35" s="170">
        <f>3250+3000</f>
        <v>6250</v>
      </c>
      <c r="M35" s="56">
        <f t="shared" si="3"/>
        <v>1501825</v>
      </c>
      <c r="N35" s="168">
        <v>1486825</v>
      </c>
      <c r="O35" s="55">
        <f t="shared" si="2"/>
        <v>-15000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45687</v>
      </c>
      <c r="C36" s="171">
        <v>1000000</v>
      </c>
      <c r="D36" s="174">
        <f>1445000</f>
        <v>1445000</v>
      </c>
      <c r="E36" s="171"/>
      <c r="F36" s="170"/>
      <c r="G36" s="171">
        <f>980000+200000</f>
        <v>1180000</v>
      </c>
      <c r="H36" s="170">
        <f>140000+28000</f>
        <v>168000</v>
      </c>
      <c r="I36" s="171">
        <f>3780</f>
        <v>3780</v>
      </c>
      <c r="J36" s="170">
        <f>6020.5+3500+8592.5+1750</f>
        <v>19863</v>
      </c>
      <c r="K36" s="171">
        <f>83000</f>
        <v>83000</v>
      </c>
      <c r="L36" s="170">
        <f>68200</f>
        <v>68200</v>
      </c>
      <c r="M36" s="56">
        <f t="shared" si="3"/>
        <v>3967843</v>
      </c>
      <c r="N36" s="168">
        <v>3939843</v>
      </c>
      <c r="O36" s="55">
        <f t="shared" si="2"/>
        <v>-28000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1"/>
        <v>45688</v>
      </c>
      <c r="C37" s="171">
        <f>750000</f>
        <v>750000</v>
      </c>
      <c r="D37" s="174"/>
      <c r="E37" s="171"/>
      <c r="F37" s="170">
        <f>700000</f>
        <v>700000</v>
      </c>
      <c r="G37" s="171">
        <f>300000+155000</f>
        <v>455000</v>
      </c>
      <c r="H37" s="170">
        <f>6000+290000+42000+2000+1575+380000+8000</f>
        <v>729575</v>
      </c>
      <c r="I37" s="171">
        <f>10000+7500+6000</f>
        <v>23500</v>
      </c>
      <c r="J37" s="170">
        <f>20840+4500</f>
        <v>25340</v>
      </c>
      <c r="K37" s="171"/>
      <c r="L37" s="170">
        <f>15000+3000+19000</f>
        <v>37000</v>
      </c>
      <c r="M37" s="56">
        <f t="shared" si="3"/>
        <v>2720415</v>
      </c>
      <c r="N37" s="168">
        <v>2712415</v>
      </c>
      <c r="O37" s="55">
        <f t="shared" si="2"/>
        <v>-8000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11257000</v>
      </c>
      <c r="D39" s="25">
        <f>SUM(D7:D38)</f>
        <v>5203000</v>
      </c>
      <c r="E39" s="24">
        <f t="shared" ref="E39:K39" si="4">SUM(E7:E38)</f>
        <v>7235000</v>
      </c>
      <c r="F39" s="59">
        <f t="shared" si="4"/>
        <v>9165150</v>
      </c>
      <c r="G39" s="24">
        <f t="shared" si="4"/>
        <v>11437000</v>
      </c>
      <c r="H39" s="25">
        <f>SUM(H7:H38)</f>
        <v>20906700</v>
      </c>
      <c r="I39" s="24">
        <f t="shared" si="4"/>
        <v>79980</v>
      </c>
      <c r="J39" s="25">
        <f>SUM(J7:J38)</f>
        <v>480582</v>
      </c>
      <c r="K39" s="24">
        <f t="shared" si="4"/>
        <v>290500</v>
      </c>
      <c r="L39" s="25">
        <f>SUM(L7:L38)</f>
        <v>1138945</v>
      </c>
      <c r="M39" s="28">
        <f>SUM(M7:M38)</f>
        <v>67193857</v>
      </c>
      <c r="N39" s="27">
        <f>SUM(N7:N38)</f>
        <v>66988857</v>
      </c>
      <c r="O39" s="26">
        <f>N39-M39</f>
        <v>-205000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16460000</v>
      </c>
      <c r="D40" s="282"/>
      <c r="E40" s="267">
        <f>SUM(E39:F39)</f>
        <v>16400150</v>
      </c>
      <c r="F40" s="269"/>
      <c r="G40" s="281">
        <f>SUM(G39:H39)</f>
        <v>32343700</v>
      </c>
      <c r="H40" s="282"/>
      <c r="I40" s="267">
        <f>SUM(I39:J39)</f>
        <v>560562</v>
      </c>
      <c r="J40" s="268"/>
      <c r="K40" s="281">
        <f>SUM(K39:L39)</f>
        <v>1429445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45657</v>
      </c>
      <c r="C45" s="3">
        <v>0</v>
      </c>
      <c r="D45" s="14"/>
      <c r="E45" s="3">
        <v>0</v>
      </c>
      <c r="F45" s="14"/>
      <c r="G45" s="3">
        <v>0</v>
      </c>
      <c r="H45" s="14">
        <v>0</v>
      </c>
      <c r="I45" s="3"/>
      <c r="J45" s="14">
        <v>0</v>
      </c>
      <c r="K45" s="134"/>
      <c r="L45" s="14">
        <v>0</v>
      </c>
      <c r="M45" s="3">
        <v>0</v>
      </c>
      <c r="N45" s="3">
        <v>0</v>
      </c>
      <c r="O45" s="3">
        <f>N45-M45</f>
        <v>0</v>
      </c>
      <c r="P45" s="85">
        <v>45658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45688</v>
      </c>
      <c r="C48" s="3">
        <v>0</v>
      </c>
      <c r="D48" s="14"/>
      <c r="E48" s="3">
        <v>0</v>
      </c>
      <c r="F48" s="14">
        <v>700000</v>
      </c>
      <c r="G48" s="3">
        <v>0</v>
      </c>
      <c r="H48" s="14">
        <f>729575-8000+3000</f>
        <v>724575</v>
      </c>
      <c r="I48" s="3">
        <v>0</v>
      </c>
      <c r="J48" s="14">
        <v>25340</v>
      </c>
      <c r="K48" s="134">
        <v>0</v>
      </c>
      <c r="L48" s="14">
        <v>37000</v>
      </c>
      <c r="M48" s="3"/>
      <c r="N48" s="3">
        <f>F48+H48+J48+L48</f>
        <v>1486915</v>
      </c>
      <c r="O48" s="3">
        <f>N48-M48</f>
        <v>1486915</v>
      </c>
      <c r="P48" s="151">
        <v>45689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-700000</v>
      </c>
      <c r="F50" s="263"/>
      <c r="G50" s="262">
        <f>H45+H46-H47-H48</f>
        <v>-724575</v>
      </c>
      <c r="H50" s="263"/>
      <c r="I50" s="262">
        <f>J45+J46-J47-J48</f>
        <v>-25340</v>
      </c>
      <c r="J50" s="263"/>
      <c r="K50" s="262">
        <f>L45+L46-L47-L48</f>
        <v>-37000</v>
      </c>
      <c r="L50" s="263"/>
    </row>
    <row r="51" spans="2:28" x14ac:dyDescent="0.25">
      <c r="B51" s="264" t="s">
        <v>12</v>
      </c>
      <c r="C51" s="264"/>
      <c r="D51" s="31">
        <f>D39+D50</f>
        <v>5203000</v>
      </c>
      <c r="E51" s="265">
        <f>F39+E50</f>
        <v>8465150</v>
      </c>
      <c r="F51" s="266"/>
      <c r="G51" s="265">
        <f>H39+G50</f>
        <v>20182125</v>
      </c>
      <c r="H51" s="266"/>
      <c r="I51" s="286">
        <f>J39+I50</f>
        <v>455242</v>
      </c>
      <c r="J51" s="287"/>
      <c r="K51" s="265">
        <f>L39+K50</f>
        <v>1101945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35407462</v>
      </c>
      <c r="E52" s="283"/>
      <c r="F52" s="283"/>
      <c r="G52" s="283"/>
      <c r="H52" s="283"/>
      <c r="I52" s="184"/>
      <c r="J52" s="184"/>
      <c r="K52" s="184"/>
      <c r="L52" s="184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48208.86</v>
      </c>
      <c r="P54" s="87"/>
      <c r="S54">
        <v>15.2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30299480</v>
      </c>
      <c r="D55" s="149">
        <f>D39+H39+F39+J39+L39</f>
        <v>36894377</v>
      </c>
      <c r="E55" s="58"/>
      <c r="F55" s="58"/>
      <c r="M55" s="63" t="s">
        <v>25</v>
      </c>
      <c r="N55" s="64">
        <v>74216.27</v>
      </c>
      <c r="P55" s="88"/>
      <c r="S55">
        <v>23.4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67193857</v>
      </c>
      <c r="D56" s="285"/>
      <c r="E56" s="57"/>
      <c r="F56" s="57"/>
      <c r="M56" s="63" t="s">
        <v>28</v>
      </c>
      <c r="N56" s="64">
        <v>180783.21</v>
      </c>
      <c r="R56" s="87"/>
      <c r="S56">
        <v>57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4091.41</v>
      </c>
      <c r="S57">
        <v>1.29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9863.7900000000009</v>
      </c>
      <c r="S58">
        <v>3.11</v>
      </c>
      <c r="Y58" s="4"/>
      <c r="AA58" s="78"/>
      <c r="AB58" s="68"/>
    </row>
    <row r="59" spans="2:28" x14ac:dyDescent="0.25">
      <c r="J59" t="s">
        <v>3</v>
      </c>
      <c r="N59" s="64">
        <v>317163.53999999998</v>
      </c>
      <c r="S59" s="68">
        <f>SUM(S54:S58)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65706942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72"/>
  <sheetViews>
    <sheetView topLeftCell="A28" workbookViewId="0">
      <selection activeCell="M41" sqref="M41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135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45689</v>
      </c>
      <c r="C7" s="171"/>
      <c r="D7" s="170"/>
      <c r="E7" s="171"/>
      <c r="F7" s="170">
        <v>20000</v>
      </c>
      <c r="G7" s="119">
        <f>290000+450000</f>
        <v>740000</v>
      </c>
      <c r="H7" s="120">
        <f>380000+24425+373000+300000+540000+11500</f>
        <v>1628925</v>
      </c>
      <c r="I7" s="119"/>
      <c r="J7" s="120"/>
      <c r="K7" s="119"/>
      <c r="L7" s="120"/>
      <c r="M7" s="56">
        <f t="shared" ref="M7:M13" si="0">SUM(C7:L7)</f>
        <v>2388925</v>
      </c>
      <c r="N7" s="52">
        <v>2357425</v>
      </c>
      <c r="O7" s="53">
        <f>N7-M7</f>
        <v>-31500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7" si="1">B7+1</f>
        <v>45690</v>
      </c>
      <c r="C8" s="121"/>
      <c r="D8" s="170"/>
      <c r="E8" s="171"/>
      <c r="F8" s="170"/>
      <c r="G8" s="121"/>
      <c r="H8" s="170">
        <f>2000+3000+40000</f>
        <v>45000</v>
      </c>
      <c r="I8" s="121"/>
      <c r="J8" s="170">
        <f>45000+2100</f>
        <v>47100</v>
      </c>
      <c r="K8" s="121"/>
      <c r="L8" s="170">
        <f>3000+12000+20000+3000</f>
        <v>38000</v>
      </c>
      <c r="M8" s="56">
        <f t="shared" si="0"/>
        <v>130100</v>
      </c>
      <c r="N8" s="52">
        <v>90100</v>
      </c>
      <c r="O8" s="53">
        <f t="shared" ref="O8:O37" si="2">N8-M8</f>
        <v>-40000</v>
      </c>
      <c r="Z8" s="78"/>
      <c r="AB8" s="68"/>
    </row>
    <row r="9" spans="2:28" x14ac:dyDescent="0.25">
      <c r="B9" s="15">
        <f t="shared" si="1"/>
        <v>45691</v>
      </c>
      <c r="C9" s="171">
        <f>1080000</f>
        <v>1080000</v>
      </c>
      <c r="D9" s="122">
        <f>7000</f>
        <v>7000</v>
      </c>
      <c r="E9" s="171"/>
      <c r="F9" s="170"/>
      <c r="G9" s="171">
        <f>690000</f>
        <v>690000</v>
      </c>
      <c r="H9" s="170">
        <f>300000+480000+450000+300000+75+18500</f>
        <v>1548575</v>
      </c>
      <c r="I9" s="171"/>
      <c r="J9" s="170">
        <f>3000</f>
        <v>3000</v>
      </c>
      <c r="K9" s="171"/>
      <c r="L9" s="170">
        <f>150315+6000</f>
        <v>156315</v>
      </c>
      <c r="M9" s="56">
        <f t="shared" si="0"/>
        <v>3484890</v>
      </c>
      <c r="N9" s="51">
        <v>3466390</v>
      </c>
      <c r="O9" s="53">
        <f t="shared" si="2"/>
        <v>-18500</v>
      </c>
      <c r="P9" s="101"/>
      <c r="Z9" s="78"/>
      <c r="AB9" s="68"/>
    </row>
    <row r="10" spans="2:28" x14ac:dyDescent="0.25">
      <c r="B10" s="15">
        <f t="shared" si="1"/>
        <v>45692</v>
      </c>
      <c r="C10" s="171"/>
      <c r="D10" s="122">
        <f>1550000</f>
        <v>1550000</v>
      </c>
      <c r="E10" s="171">
        <f>75000+1100000</f>
        <v>1175000</v>
      </c>
      <c r="F10" s="170">
        <f>260000+5000</f>
        <v>265000</v>
      </c>
      <c r="G10" s="171">
        <f>230000+5000</f>
        <v>235000</v>
      </c>
      <c r="H10" s="170">
        <f>1020000+70000+25000+1500</f>
        <v>1116500</v>
      </c>
      <c r="I10" s="171"/>
      <c r="J10" s="170"/>
      <c r="K10" s="171"/>
      <c r="L10" s="170">
        <f>3000+23000+3000</f>
        <v>29000</v>
      </c>
      <c r="M10" s="56">
        <f t="shared" si="0"/>
        <v>4370500</v>
      </c>
      <c r="N10" s="51">
        <v>4369000</v>
      </c>
      <c r="O10" s="53">
        <f>N10-M10</f>
        <v>-1500</v>
      </c>
      <c r="P10" s="101"/>
      <c r="Z10" s="78"/>
      <c r="AB10" s="68"/>
    </row>
    <row r="11" spans="2:28" x14ac:dyDescent="0.25">
      <c r="B11" s="15">
        <f t="shared" si="1"/>
        <v>45693</v>
      </c>
      <c r="C11" s="121">
        <f>107000</f>
        <v>107000</v>
      </c>
      <c r="D11" s="170">
        <f>14000</f>
        <v>14000</v>
      </c>
      <c r="E11" s="171">
        <f>5000</f>
        <v>5000</v>
      </c>
      <c r="F11" s="170"/>
      <c r="G11" s="121">
        <f>320000+4500+400000</f>
        <v>724500</v>
      </c>
      <c r="H11" s="121">
        <f>1500+450000+13500</f>
        <v>465000</v>
      </c>
      <c r="I11" s="121"/>
      <c r="J11" s="170">
        <f>4500+6000+6649</f>
        <v>17149</v>
      </c>
      <c r="K11" s="121">
        <f>5000</f>
        <v>5000</v>
      </c>
      <c r="L11" s="170">
        <f>22625</f>
        <v>22625</v>
      </c>
      <c r="M11" s="56">
        <f t="shared" si="0"/>
        <v>1360274</v>
      </c>
      <c r="N11" s="52">
        <v>1346774</v>
      </c>
      <c r="O11" s="53">
        <f>N11-M11</f>
        <v>-13500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45694</v>
      </c>
      <c r="C12" s="171">
        <f>1300000</f>
        <v>1300000</v>
      </c>
      <c r="D12" s="170"/>
      <c r="E12" s="171">
        <f>5000</f>
        <v>5000</v>
      </c>
      <c r="F12" s="170">
        <f>585000</f>
        <v>585000</v>
      </c>
      <c r="G12" s="171"/>
      <c r="H12" s="170">
        <f>300000+10500+416000+50000</f>
        <v>776500</v>
      </c>
      <c r="I12" s="171"/>
      <c r="J12" s="170">
        <f>6000+8400</f>
        <v>14400</v>
      </c>
      <c r="K12" s="171"/>
      <c r="L12" s="170">
        <f>9000</f>
        <v>9000</v>
      </c>
      <c r="M12" s="56">
        <f t="shared" si="0"/>
        <v>2689900</v>
      </c>
      <c r="N12" s="52">
        <v>2639900</v>
      </c>
      <c r="O12" s="53">
        <f>N12-M12</f>
        <v>-50000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45695</v>
      </c>
      <c r="C13" s="171">
        <v>350000</v>
      </c>
      <c r="D13" s="170"/>
      <c r="E13" s="171">
        <v>5000</v>
      </c>
      <c r="F13" s="170">
        <f>20000</f>
        <v>20000</v>
      </c>
      <c r="G13" s="171">
        <f>300000</f>
        <v>300000</v>
      </c>
      <c r="H13" s="170">
        <f>45000+3000+120000+480000+20000+24750</f>
        <v>692750</v>
      </c>
      <c r="I13" s="171"/>
      <c r="J13" s="170">
        <f>3500</f>
        <v>3500</v>
      </c>
      <c r="K13" s="171">
        <f>48000</f>
        <v>48000</v>
      </c>
      <c r="L13" s="170">
        <f>63000+40425+30665</f>
        <v>134090</v>
      </c>
      <c r="M13" s="56">
        <f t="shared" si="0"/>
        <v>1553340</v>
      </c>
      <c r="N13" s="52">
        <v>1508590</v>
      </c>
      <c r="O13" s="53">
        <f>N13-M13</f>
        <v>-44750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45696</v>
      </c>
      <c r="C14" s="171"/>
      <c r="D14" s="170"/>
      <c r="E14" s="171"/>
      <c r="F14" s="170"/>
      <c r="G14" s="171">
        <f>340000</f>
        <v>340000</v>
      </c>
      <c r="H14" s="170">
        <f>200000+2000+10500+85000+100000+51000</f>
        <v>448500</v>
      </c>
      <c r="I14" s="171"/>
      <c r="J14" s="170">
        <f>16150</f>
        <v>16150</v>
      </c>
      <c r="K14" s="171"/>
      <c r="L14" s="170"/>
      <c r="M14" s="56">
        <f t="shared" ref="M14:M38" si="3">SUM(C14:L14)</f>
        <v>804650</v>
      </c>
      <c r="N14" s="51">
        <v>753650</v>
      </c>
      <c r="O14" s="53">
        <f>N14-M14</f>
        <v>-51000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45697</v>
      </c>
      <c r="C15" s="171"/>
      <c r="D15" s="174"/>
      <c r="E15" s="171"/>
      <c r="F15" s="170"/>
      <c r="G15" s="171">
        <f>420000+76000</f>
        <v>496000</v>
      </c>
      <c r="H15" s="170">
        <f>18000+605500+14000</f>
        <v>637500</v>
      </c>
      <c r="I15" s="171"/>
      <c r="J15" s="170">
        <f>9000</f>
        <v>9000</v>
      </c>
      <c r="K15" s="171"/>
      <c r="L15" s="170"/>
      <c r="M15" s="56">
        <f t="shared" si="3"/>
        <v>1142500</v>
      </c>
      <c r="N15" s="51">
        <v>1128500</v>
      </c>
      <c r="O15" s="53">
        <f t="shared" si="2"/>
        <v>-14000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45698</v>
      </c>
      <c r="C16" s="136"/>
      <c r="D16" s="170">
        <f>857000+850000</f>
        <v>1707000</v>
      </c>
      <c r="E16" s="171"/>
      <c r="F16" s="170">
        <v>40000</v>
      </c>
      <c r="G16" s="136">
        <f>280000+680000+3000</f>
        <v>963000</v>
      </c>
      <c r="H16" s="170">
        <f>366000+330000+170000+200000+2000+23000</f>
        <v>1091000</v>
      </c>
      <c r="I16" s="121"/>
      <c r="J16" s="170">
        <f>7900+6500</f>
        <v>14400</v>
      </c>
      <c r="K16" s="121"/>
      <c r="L16" s="170">
        <f>18150+41800+13150</f>
        <v>73100</v>
      </c>
      <c r="M16" s="56">
        <f t="shared" si="3"/>
        <v>3888500</v>
      </c>
      <c r="N16" s="52">
        <v>3825500</v>
      </c>
      <c r="O16" s="53">
        <f t="shared" si="2"/>
        <v>-63000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45699</v>
      </c>
      <c r="C17" s="171">
        <f>1000000</f>
        <v>1000000</v>
      </c>
      <c r="D17" s="170">
        <f>750000</f>
        <v>750000</v>
      </c>
      <c r="E17" s="121">
        <f>5000</f>
        <v>5000</v>
      </c>
      <c r="F17" s="122">
        <f>900000+75000</f>
        <v>975000</v>
      </c>
      <c r="G17" s="171">
        <f>350000+420000+120000+5000</f>
        <v>895000</v>
      </c>
      <c r="H17" s="122">
        <f>150000+450000+6000+410000+20000+21500</f>
        <v>1057500</v>
      </c>
      <c r="I17" s="171"/>
      <c r="J17" s="122">
        <f>6000+17200</f>
        <v>23200</v>
      </c>
      <c r="K17" s="171">
        <f>3000</f>
        <v>3000</v>
      </c>
      <c r="L17" s="122">
        <f>36465</f>
        <v>36465</v>
      </c>
      <c r="M17" s="56">
        <f t="shared" si="3"/>
        <v>4745165</v>
      </c>
      <c r="N17" s="52">
        <v>4723665</v>
      </c>
      <c r="O17" s="53">
        <f t="shared" si="2"/>
        <v>-21500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45700</v>
      </c>
      <c r="C18" s="121">
        <f>50000</f>
        <v>50000</v>
      </c>
      <c r="D18" s="170"/>
      <c r="E18" s="171">
        <f>850000+10000</f>
        <v>860000</v>
      </c>
      <c r="F18" s="170">
        <f>75000+1100000</f>
        <v>1175000</v>
      </c>
      <c r="G18" s="121">
        <f>280000+10000+10000+330000</f>
        <v>630000</v>
      </c>
      <c r="H18" s="170">
        <f>1500+457150+100000+500000+15000+2000+350000+300000+360000+37000</f>
        <v>2122650</v>
      </c>
      <c r="I18" s="121"/>
      <c r="J18" s="170">
        <f>6050+3000</f>
        <v>9050</v>
      </c>
      <c r="K18" s="121">
        <f>3300</f>
        <v>3300</v>
      </c>
      <c r="L18" s="170">
        <f>178700+173670</f>
        <v>352370</v>
      </c>
      <c r="M18" s="176">
        <f t="shared" si="3"/>
        <v>5202370</v>
      </c>
      <c r="N18" s="183">
        <v>5165370</v>
      </c>
      <c r="O18" s="178">
        <f t="shared" si="2"/>
        <v>-37000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45701</v>
      </c>
      <c r="C19" s="171">
        <f>70000</f>
        <v>70000</v>
      </c>
      <c r="D19" s="170"/>
      <c r="E19" s="171"/>
      <c r="F19" s="170">
        <v>20000</v>
      </c>
      <c r="G19" s="171">
        <f>1300000</f>
        <v>1300000</v>
      </c>
      <c r="H19" s="170">
        <f>991810+22000</f>
        <v>1013810</v>
      </c>
      <c r="I19" s="171"/>
      <c r="J19" s="170">
        <f>9000</f>
        <v>9000</v>
      </c>
      <c r="K19" s="171">
        <f>3000</f>
        <v>3000</v>
      </c>
      <c r="L19" s="170">
        <f>25440</f>
        <v>25440</v>
      </c>
      <c r="M19" s="56">
        <f>SUM(C19:L19)</f>
        <v>2441250</v>
      </c>
      <c r="N19" s="52">
        <v>2399250</v>
      </c>
      <c r="O19" s="53">
        <f t="shared" si="2"/>
        <v>-42000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45702</v>
      </c>
      <c r="C20" s="171"/>
      <c r="D20" s="44">
        <f>750000</f>
        <v>750000</v>
      </c>
      <c r="E20" s="171">
        <f>5000</f>
        <v>5000</v>
      </c>
      <c r="F20" s="170">
        <f>20000+20000</f>
        <v>40000</v>
      </c>
      <c r="G20" s="171">
        <f>830000</f>
        <v>830000</v>
      </c>
      <c r="H20" s="170">
        <f>300000+25000+50000</f>
        <v>375000</v>
      </c>
      <c r="I20" s="171"/>
      <c r="J20" s="170">
        <f>6050+12000+23815</f>
        <v>41865</v>
      </c>
      <c r="K20" s="171"/>
      <c r="L20" s="170">
        <f>9000</f>
        <v>9000</v>
      </c>
      <c r="M20" s="56">
        <f t="shared" si="3"/>
        <v>2050865</v>
      </c>
      <c r="N20" s="52">
        <v>1980865</v>
      </c>
      <c r="O20" s="53">
        <f t="shared" si="2"/>
        <v>-70000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36.75" customHeight="1" x14ac:dyDescent="0.25">
      <c r="B21" s="15">
        <f>B20+1</f>
        <v>45703</v>
      </c>
      <c r="C21" s="171"/>
      <c r="D21" s="170"/>
      <c r="E21" s="171"/>
      <c r="F21" s="170"/>
      <c r="G21" s="171">
        <f>1500+8500+450000</f>
        <v>460000</v>
      </c>
      <c r="H21" s="170">
        <f>354500+120000+20000</f>
        <v>494500</v>
      </c>
      <c r="I21" s="171"/>
      <c r="J21" s="170">
        <f>6000+15000</f>
        <v>21000</v>
      </c>
      <c r="K21" s="171"/>
      <c r="L21" s="170">
        <f>44550</f>
        <v>44550</v>
      </c>
      <c r="M21" s="56">
        <f t="shared" si="3"/>
        <v>1020050</v>
      </c>
      <c r="N21" s="157">
        <v>1000050</v>
      </c>
      <c r="O21" s="155">
        <f t="shared" si="2"/>
        <v>-20000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45704</v>
      </c>
      <c r="C22" s="171"/>
      <c r="D22" s="174"/>
      <c r="E22" s="171"/>
      <c r="F22" s="170"/>
      <c r="G22" s="171">
        <f>3000+110000+791500</f>
        <v>904500</v>
      </c>
      <c r="H22" s="170">
        <f>420000+9000+300000+75+8500+16000</f>
        <v>753575</v>
      </c>
      <c r="I22" s="171"/>
      <c r="J22" s="170">
        <f>6300+15000</f>
        <v>21300</v>
      </c>
      <c r="K22" s="45"/>
      <c r="L22" s="46"/>
      <c r="M22" s="56">
        <f t="shared" si="3"/>
        <v>1679375</v>
      </c>
      <c r="N22" s="52">
        <v>1663375</v>
      </c>
      <c r="O22" s="53">
        <f t="shared" si="2"/>
        <v>-16000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45705</v>
      </c>
      <c r="C23" s="171">
        <f>850000</f>
        <v>850000</v>
      </c>
      <c r="D23" s="170">
        <f>7000</f>
        <v>7000</v>
      </c>
      <c r="E23" s="171"/>
      <c r="F23" s="170"/>
      <c r="G23" s="171"/>
      <c r="H23" s="170">
        <f>373000+522000+380000+12000</f>
        <v>1287000</v>
      </c>
      <c r="I23" s="171">
        <f>1000</f>
        <v>1000</v>
      </c>
      <c r="J23" s="170">
        <f>13010+14000</f>
        <v>27010</v>
      </c>
      <c r="K23" s="171">
        <f>3000+6000</f>
        <v>9000</v>
      </c>
      <c r="L23" s="170">
        <f>147350+9075+97050</f>
        <v>253475</v>
      </c>
      <c r="M23" s="56">
        <f t="shared" si="3"/>
        <v>2434485</v>
      </c>
      <c r="N23" s="52">
        <v>2422485</v>
      </c>
      <c r="O23" s="155">
        <f t="shared" si="2"/>
        <v>-12000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45706</v>
      </c>
      <c r="C24" s="121"/>
      <c r="D24" s="170">
        <f>800000</f>
        <v>800000</v>
      </c>
      <c r="E24" s="171"/>
      <c r="F24" s="170">
        <f>295000+20000</f>
        <v>315000</v>
      </c>
      <c r="G24" s="121">
        <f>5000</f>
        <v>5000</v>
      </c>
      <c r="H24" s="170">
        <f>300000+410500+20000+400000+40000</f>
        <v>1170500</v>
      </c>
      <c r="I24" s="121"/>
      <c r="J24" s="170">
        <f>6000</f>
        <v>6000</v>
      </c>
      <c r="K24" s="121"/>
      <c r="L24" s="170">
        <f>63000+29500+59400</f>
        <v>151900</v>
      </c>
      <c r="M24" s="56">
        <f>SUM(C24:L24)</f>
        <v>2448400</v>
      </c>
      <c r="N24" s="51">
        <v>2388400</v>
      </c>
      <c r="O24" s="53">
        <f t="shared" si="2"/>
        <v>-60000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45707</v>
      </c>
      <c r="C25" s="171">
        <f>7000</f>
        <v>7000</v>
      </c>
      <c r="D25" s="170">
        <f>16500</f>
        <v>16500</v>
      </c>
      <c r="E25" s="171">
        <f>980000</f>
        <v>980000</v>
      </c>
      <c r="F25" s="170">
        <f>95000</f>
        <v>95000</v>
      </c>
      <c r="G25" s="171"/>
      <c r="H25" s="170">
        <f>380000+350000+50000+1500+12000</f>
        <v>793500</v>
      </c>
      <c r="I25" s="171"/>
      <c r="J25" s="170">
        <f>4500+21000+12500</f>
        <v>38000</v>
      </c>
      <c r="K25" s="171"/>
      <c r="L25" s="170"/>
      <c r="M25" s="176">
        <f t="shared" si="3"/>
        <v>1930000</v>
      </c>
      <c r="N25" s="177">
        <v>1918000</v>
      </c>
      <c r="O25" s="178">
        <f t="shared" si="2"/>
        <v>-12000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45708</v>
      </c>
      <c r="C26" s="171"/>
      <c r="D26" s="170">
        <f>850000</f>
        <v>850000</v>
      </c>
      <c r="E26" s="171"/>
      <c r="F26" s="170">
        <f>2080000</f>
        <v>2080000</v>
      </c>
      <c r="G26" s="171">
        <f>420000+1200000+350000</f>
        <v>1970000</v>
      </c>
      <c r="H26" s="170">
        <f>460000+20000</f>
        <v>480000</v>
      </c>
      <c r="I26" s="171"/>
      <c r="J26" s="170">
        <f>106225</f>
        <v>106225</v>
      </c>
      <c r="K26" s="171"/>
      <c r="L26" s="170">
        <f>140600</f>
        <v>140600</v>
      </c>
      <c r="M26" s="56">
        <f t="shared" si="3"/>
        <v>5626825</v>
      </c>
      <c r="N26" s="52">
        <v>5606825</v>
      </c>
      <c r="O26" s="53">
        <f t="shared" si="2"/>
        <v>-20000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45709</v>
      </c>
      <c r="C27" s="171"/>
      <c r="D27" s="170"/>
      <c r="E27" s="171">
        <f>5000</f>
        <v>5000</v>
      </c>
      <c r="F27" s="170">
        <f>5000</f>
        <v>5000</v>
      </c>
      <c r="G27" s="171">
        <f>1500+520000+10000</f>
        <v>531500</v>
      </c>
      <c r="H27" s="170">
        <f>650075+350000+4500+35000+670000+20000</f>
        <v>1729575</v>
      </c>
      <c r="I27" s="171"/>
      <c r="J27" s="137">
        <f>6000+11520</f>
        <v>17520</v>
      </c>
      <c r="K27" s="171"/>
      <c r="L27" s="170">
        <f>98050+15000</f>
        <v>113050</v>
      </c>
      <c r="M27" s="176">
        <f t="shared" si="3"/>
        <v>2401645</v>
      </c>
      <c r="N27" s="180">
        <v>2381645</v>
      </c>
      <c r="O27" s="181">
        <f>N27-M27</f>
        <v>-20000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45710</v>
      </c>
      <c r="C28" s="171"/>
      <c r="D28" s="170">
        <f>75</f>
        <v>75</v>
      </c>
      <c r="E28" s="171">
        <f>100000</f>
        <v>100000</v>
      </c>
      <c r="F28" s="170">
        <f>20500+55000+20000</f>
        <v>95500</v>
      </c>
      <c r="G28" s="171">
        <f>290000</f>
        <v>290000</v>
      </c>
      <c r="H28" s="170">
        <f>733000+414000+370000+10000+2000</f>
        <v>1529000</v>
      </c>
      <c r="I28" s="171"/>
      <c r="J28" s="170"/>
      <c r="K28" s="171">
        <f>57500</f>
        <v>57500</v>
      </c>
      <c r="L28" s="170">
        <f>36450</f>
        <v>36450</v>
      </c>
      <c r="M28" s="156">
        <f t="shared" si="3"/>
        <v>2108525</v>
      </c>
      <c r="N28" s="157">
        <v>2086525</v>
      </c>
      <c r="O28" s="155">
        <f t="shared" si="2"/>
        <v>-22000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45711</v>
      </c>
      <c r="C29" s="171"/>
      <c r="D29" s="170"/>
      <c r="E29" s="171"/>
      <c r="F29" s="170"/>
      <c r="G29" s="171">
        <f>700000+3000+300000</f>
        <v>1003000</v>
      </c>
      <c r="H29" s="170">
        <f>9000+340000+459500+17000</f>
        <v>825500</v>
      </c>
      <c r="I29" s="171"/>
      <c r="J29" s="170"/>
      <c r="K29" s="171"/>
      <c r="L29" s="170">
        <f>12300</f>
        <v>12300</v>
      </c>
      <c r="M29" s="56">
        <f t="shared" si="3"/>
        <v>1840800</v>
      </c>
      <c r="N29" s="52">
        <v>1823800</v>
      </c>
      <c r="O29" s="53">
        <f t="shared" si="2"/>
        <v>-17000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45712</v>
      </c>
      <c r="C30" s="138"/>
      <c r="D30" s="179"/>
      <c r="E30" s="171"/>
      <c r="F30" s="170">
        <f>300000+20000</f>
        <v>320000</v>
      </c>
      <c r="G30" s="171">
        <f>640000</f>
        <v>640000</v>
      </c>
      <c r="H30" s="170">
        <f>350000+370000+289000</f>
        <v>1009000</v>
      </c>
      <c r="I30" s="171"/>
      <c r="J30" s="170">
        <f>32675</f>
        <v>32675</v>
      </c>
      <c r="K30" s="138"/>
      <c r="L30" s="137">
        <f>9000</f>
        <v>9000</v>
      </c>
      <c r="M30" s="56">
        <f t="shared" si="3"/>
        <v>2010675</v>
      </c>
      <c r="N30" s="51">
        <v>1990675</v>
      </c>
      <c r="O30" s="155">
        <f t="shared" si="2"/>
        <v>-20000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45713</v>
      </c>
      <c r="C31" s="121"/>
      <c r="D31" s="170">
        <v>1000000</v>
      </c>
      <c r="E31" s="171">
        <f>220000</f>
        <v>220000</v>
      </c>
      <c r="F31" s="170">
        <f>1630000+5000+20000</f>
        <v>1655000</v>
      </c>
      <c r="G31" s="121">
        <f>350000+1500</f>
        <v>351500</v>
      </c>
      <c r="H31" s="170">
        <f>180000+517500+15000</f>
        <v>712500</v>
      </c>
      <c r="I31" s="171">
        <f>5100</f>
        <v>5100</v>
      </c>
      <c r="J31" s="170">
        <f>10280+4056</f>
        <v>14336</v>
      </c>
      <c r="K31" s="171">
        <v>6000</v>
      </c>
      <c r="L31" s="170">
        <f>33950</f>
        <v>33950</v>
      </c>
      <c r="M31" s="56">
        <f t="shared" si="3"/>
        <v>3998386</v>
      </c>
      <c r="N31" s="51">
        <v>3978386</v>
      </c>
      <c r="O31" s="53">
        <f t="shared" si="2"/>
        <v>-20000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45714</v>
      </c>
      <c r="C32" s="171">
        <f>1000000</f>
        <v>1000000</v>
      </c>
      <c r="D32" s="170">
        <f>7000</f>
        <v>7000</v>
      </c>
      <c r="E32" s="171"/>
      <c r="F32" s="170">
        <f>950000</f>
        <v>950000</v>
      </c>
      <c r="G32" s="171"/>
      <c r="H32" s="170">
        <f>3000+350000+260000+650000+3000</f>
        <v>1266000</v>
      </c>
      <c r="I32" s="138"/>
      <c r="J32" s="170">
        <f>6000+5500+6100</f>
        <v>17600</v>
      </c>
      <c r="K32" s="171">
        <f>12100</f>
        <v>12100</v>
      </c>
      <c r="L32" s="170">
        <f>24290+15400</f>
        <v>39690</v>
      </c>
      <c r="M32" s="156">
        <f t="shared" si="3"/>
        <v>3292390</v>
      </c>
      <c r="N32" s="157">
        <v>3289390</v>
      </c>
      <c r="O32" s="155">
        <f t="shared" si="2"/>
        <v>-3000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45715</v>
      </c>
      <c r="C33" s="171">
        <f>1200000+1700000</f>
        <v>2900000</v>
      </c>
      <c r="D33" s="170">
        <v>20000</v>
      </c>
      <c r="E33" s="171">
        <f>5000</f>
        <v>5000</v>
      </c>
      <c r="F33" s="170">
        <f>35</f>
        <v>35</v>
      </c>
      <c r="G33" s="171">
        <f>630500+2000+2000</f>
        <v>634500</v>
      </c>
      <c r="H33" s="170">
        <f>980000+200000+870000+2500+450000+10000</f>
        <v>2512500</v>
      </c>
      <c r="I33" s="171">
        <f>12000</f>
        <v>12000</v>
      </c>
      <c r="J33" s="170"/>
      <c r="K33" s="171">
        <f>5500+7900</f>
        <v>13400</v>
      </c>
      <c r="L33" s="170">
        <f>11500</f>
        <v>11500</v>
      </c>
      <c r="M33" s="56">
        <f t="shared" si="3"/>
        <v>6108935</v>
      </c>
      <c r="N33" s="51">
        <v>6078935</v>
      </c>
      <c r="O33" s="53">
        <f t="shared" si="2"/>
        <v>-30000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45716</v>
      </c>
      <c r="C34" s="171"/>
      <c r="D34" s="174"/>
      <c r="E34" s="171">
        <f>10000</f>
        <v>10000</v>
      </c>
      <c r="F34" s="170">
        <f>80000</f>
        <v>80000</v>
      </c>
      <c r="G34" s="138">
        <f>10000+5000</f>
        <v>15000</v>
      </c>
      <c r="H34" s="137">
        <f>410000+300000+4000+450000+440000+15000+35</f>
        <v>1619035</v>
      </c>
      <c r="I34" s="138"/>
      <c r="J34" s="137">
        <f>7110+24500+17567</f>
        <v>49177</v>
      </c>
      <c r="K34" s="138">
        <f>3000+56900</f>
        <v>59900</v>
      </c>
      <c r="L34" s="137">
        <f>149040+92000</f>
        <v>241040</v>
      </c>
      <c r="M34" s="156">
        <f>SUM(C34:L34)</f>
        <v>2074152</v>
      </c>
      <c r="N34" s="157">
        <v>2074152</v>
      </c>
      <c r="O34" s="53">
        <f t="shared" si="2"/>
        <v>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45717</v>
      </c>
      <c r="C35" s="171"/>
      <c r="D35" s="174"/>
      <c r="E35" s="171"/>
      <c r="F35" s="170"/>
      <c r="G35" s="171"/>
      <c r="H35" s="170"/>
      <c r="I35" s="171"/>
      <c r="J35" s="170"/>
      <c r="K35" s="171"/>
      <c r="L35" s="170"/>
      <c r="M35" s="56">
        <f t="shared" si="3"/>
        <v>0</v>
      </c>
      <c r="N35" s="168"/>
      <c r="O35" s="55">
        <f t="shared" si="2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45718</v>
      </c>
      <c r="C36" s="171"/>
      <c r="D36" s="174"/>
      <c r="E36" s="171"/>
      <c r="F36" s="170"/>
      <c r="G36" s="171"/>
      <c r="H36" s="170"/>
      <c r="I36" s="171"/>
      <c r="J36" s="170"/>
      <c r="K36" s="171"/>
      <c r="L36" s="170"/>
      <c r="M36" s="56">
        <f t="shared" si="3"/>
        <v>0</v>
      </c>
      <c r="N36" s="168"/>
      <c r="O36" s="55">
        <f t="shared" si="2"/>
        <v>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1"/>
        <v>45719</v>
      </c>
      <c r="C37" s="171"/>
      <c r="D37" s="174"/>
      <c r="E37" s="171"/>
      <c r="F37" s="170"/>
      <c r="G37" s="171"/>
      <c r="H37" s="170"/>
      <c r="I37" s="171"/>
      <c r="J37" s="170"/>
      <c r="K37" s="171"/>
      <c r="L37" s="170"/>
      <c r="M37" s="56">
        <f t="shared" si="3"/>
        <v>0</v>
      </c>
      <c r="N37" s="168"/>
      <c r="O37" s="55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8714000</v>
      </c>
      <c r="D39" s="25">
        <f>SUM(D7:D38)</f>
        <v>7478575</v>
      </c>
      <c r="E39" s="24">
        <f t="shared" ref="E39:K39" si="4">SUM(E7:E38)</f>
        <v>3380000</v>
      </c>
      <c r="F39" s="59">
        <f t="shared" si="4"/>
        <v>8735535</v>
      </c>
      <c r="G39" s="24">
        <f t="shared" si="4"/>
        <v>14948500</v>
      </c>
      <c r="H39" s="25">
        <f>SUM(H7:H38)</f>
        <v>29201395</v>
      </c>
      <c r="I39" s="24">
        <f t="shared" si="4"/>
        <v>18100</v>
      </c>
      <c r="J39" s="25">
        <f>SUM(J7:J38)</f>
        <v>558657</v>
      </c>
      <c r="K39" s="24">
        <f t="shared" si="4"/>
        <v>220200</v>
      </c>
      <c r="L39" s="25">
        <f>SUM(L7:L38)</f>
        <v>1972910</v>
      </c>
      <c r="M39" s="28">
        <f>SUM(M7:M38)</f>
        <v>75227872</v>
      </c>
      <c r="N39" s="27">
        <f>SUM(N7:N38)</f>
        <v>74457622</v>
      </c>
      <c r="O39" s="26">
        <f>N39-M39</f>
        <v>-770250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16192575</v>
      </c>
      <c r="D40" s="282"/>
      <c r="E40" s="267">
        <f>SUM(E39:F39)</f>
        <v>12115535</v>
      </c>
      <c r="F40" s="269"/>
      <c r="G40" s="281">
        <f>SUM(G39:H39)</f>
        <v>44149895</v>
      </c>
      <c r="H40" s="282"/>
      <c r="I40" s="267">
        <f>SUM(I39:J39)</f>
        <v>576757</v>
      </c>
      <c r="J40" s="268"/>
      <c r="K40" s="281">
        <f>SUM(K39:L39)</f>
        <v>2193110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45688</v>
      </c>
      <c r="C45" s="3">
        <v>0</v>
      </c>
      <c r="D45" s="14"/>
      <c r="E45" s="3">
        <v>0</v>
      </c>
      <c r="F45" s="14"/>
      <c r="G45" s="3">
        <v>0</v>
      </c>
      <c r="H45" s="14">
        <v>724575</v>
      </c>
      <c r="I45" s="3"/>
      <c r="J45" s="14">
        <v>25340</v>
      </c>
      <c r="K45" s="134"/>
      <c r="L45" s="14">
        <v>37000</v>
      </c>
      <c r="M45" s="3">
        <v>0</v>
      </c>
      <c r="N45" s="3">
        <v>1486915</v>
      </c>
      <c r="O45" s="3">
        <f>N45-M45</f>
        <v>1486915</v>
      </c>
      <c r="P45" s="85">
        <v>45689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45716</v>
      </c>
      <c r="C48" s="3">
        <v>0</v>
      </c>
      <c r="D48" s="14"/>
      <c r="E48" s="3">
        <v>0</v>
      </c>
      <c r="F48" s="14">
        <v>80000</v>
      </c>
      <c r="G48" s="3">
        <v>0</v>
      </c>
      <c r="H48" s="14">
        <v>1619035</v>
      </c>
      <c r="I48" s="3">
        <v>0</v>
      </c>
      <c r="J48" s="14">
        <v>49177</v>
      </c>
      <c r="K48" s="134">
        <v>0</v>
      </c>
      <c r="L48" s="14">
        <v>241040</v>
      </c>
      <c r="M48" s="3"/>
      <c r="N48" s="3">
        <f>F48+H48+J48+L48</f>
        <v>1989252</v>
      </c>
      <c r="O48" s="3">
        <f>N48-M48</f>
        <v>1989252</v>
      </c>
      <c r="P48" s="151">
        <v>45717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-80000</v>
      </c>
      <c r="F50" s="263"/>
      <c r="G50" s="262">
        <f>H45+H46-H47-H48</f>
        <v>-894460</v>
      </c>
      <c r="H50" s="263"/>
      <c r="I50" s="262">
        <f>J45+J46-J47-J48</f>
        <v>-23837</v>
      </c>
      <c r="J50" s="263"/>
      <c r="K50" s="262">
        <f>L45+L46-L47-L48</f>
        <v>-204040</v>
      </c>
      <c r="L50" s="263"/>
    </row>
    <row r="51" spans="2:28" x14ac:dyDescent="0.25">
      <c r="B51" s="264" t="s">
        <v>12</v>
      </c>
      <c r="C51" s="264"/>
      <c r="D51" s="31">
        <f>D39+D50</f>
        <v>7478575</v>
      </c>
      <c r="E51" s="265">
        <f>F39+E50</f>
        <v>8655535</v>
      </c>
      <c r="F51" s="266"/>
      <c r="G51" s="265">
        <f>H39+G50</f>
        <v>28306935</v>
      </c>
      <c r="H51" s="266"/>
      <c r="I51" s="286">
        <f>J39+I50</f>
        <v>534820</v>
      </c>
      <c r="J51" s="287"/>
      <c r="K51" s="265">
        <f>L39+K50</f>
        <v>1768870</v>
      </c>
      <c r="L51" s="266"/>
    </row>
    <row r="52" spans="2:28" s="42" customFormat="1" x14ac:dyDescent="0.25">
      <c r="B52" s="257" t="s">
        <v>17</v>
      </c>
      <c r="C52" s="257"/>
      <c r="D52" s="283">
        <f>SUM(D51:L51)</f>
        <v>46744735</v>
      </c>
      <c r="E52" s="283"/>
      <c r="F52" s="283"/>
      <c r="G52" s="283"/>
      <c r="H52" s="283"/>
      <c r="I52" s="185"/>
      <c r="J52" s="185"/>
      <c r="K52" s="185"/>
      <c r="L52" s="185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v>68337.23</v>
      </c>
      <c r="P54" s="87"/>
      <c r="S54">
        <v>16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27280800</v>
      </c>
      <c r="D55" s="149">
        <f>D39+H39+F39+J39+L39</f>
        <v>47947072</v>
      </c>
      <c r="E55" s="58"/>
      <c r="F55" s="58"/>
      <c r="M55" s="63" t="s">
        <v>25</v>
      </c>
      <c r="N55" s="64">
        <v>79014.92</v>
      </c>
      <c r="P55" s="88"/>
      <c r="S55">
        <v>18.5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75227872</v>
      </c>
      <c r="D56" s="285"/>
      <c r="E56" s="57"/>
      <c r="F56" s="57"/>
      <c r="M56" s="63" t="s">
        <v>28</v>
      </c>
      <c r="N56" s="64">
        <v>258827.26</v>
      </c>
      <c r="R56" s="87"/>
      <c r="S56">
        <v>60.6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v>4698.18</v>
      </c>
      <c r="S57">
        <v>1.1000000000000001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v>16230.1</v>
      </c>
      <c r="S58">
        <v>3.8</v>
      </c>
      <c r="Y58" s="4"/>
      <c r="AA58" s="78"/>
      <c r="AB58" s="68"/>
    </row>
    <row r="59" spans="2:28" x14ac:dyDescent="0.25">
      <c r="J59" t="s">
        <v>3</v>
      </c>
      <c r="N59" s="64">
        <v>427107.69</v>
      </c>
      <c r="S59" s="68">
        <f>SUM(S54:S58)</f>
        <v>99.999999999999986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74025535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72"/>
  <sheetViews>
    <sheetView topLeftCell="A22" workbookViewId="0">
      <selection activeCell="G44" sqref="G44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136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45717</v>
      </c>
      <c r="C7" s="192"/>
      <c r="D7" s="191">
        <v>180000</v>
      </c>
      <c r="E7" s="192"/>
      <c r="F7" s="191"/>
      <c r="G7" s="193">
        <v>690000</v>
      </c>
      <c r="H7" s="194">
        <v>636500</v>
      </c>
      <c r="I7" s="193"/>
      <c r="J7" s="194">
        <v>405800</v>
      </c>
      <c r="K7" s="193"/>
      <c r="L7" s="194">
        <v>21300</v>
      </c>
      <c r="M7" s="56">
        <f t="shared" ref="M7:M13" si="0">SUM(C7:L7)</f>
        <v>1933600</v>
      </c>
      <c r="N7" s="205">
        <v>1927100</v>
      </c>
      <c r="O7" s="53">
        <f>N7-M7</f>
        <v>-6500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7" si="1">B7+1</f>
        <v>45718</v>
      </c>
      <c r="C8" s="195"/>
      <c r="D8" s="191"/>
      <c r="E8" s="192"/>
      <c r="F8" s="191">
        <v>70000</v>
      </c>
      <c r="G8" s="195">
        <v>3000</v>
      </c>
      <c r="H8" s="191">
        <f>605000-10000</f>
        <v>595000</v>
      </c>
      <c r="I8" s="195"/>
      <c r="J8" s="191">
        <v>15000</v>
      </c>
      <c r="K8" s="195">
        <v>8500</v>
      </c>
      <c r="L8" s="191">
        <v>12000</v>
      </c>
      <c r="M8" s="56">
        <f t="shared" si="0"/>
        <v>703500</v>
      </c>
      <c r="N8" s="205">
        <v>693500</v>
      </c>
      <c r="O8" s="53">
        <f t="shared" ref="O8:O37" si="2">N8-M8</f>
        <v>-10000</v>
      </c>
      <c r="Z8" s="78"/>
      <c r="AB8" s="68"/>
    </row>
    <row r="9" spans="2:28" x14ac:dyDescent="0.25">
      <c r="B9" s="15">
        <f t="shared" si="1"/>
        <v>45719</v>
      </c>
      <c r="C9" s="192"/>
      <c r="D9" s="196">
        <v>900000</v>
      </c>
      <c r="E9" s="192"/>
      <c r="F9" s="191"/>
      <c r="G9" s="192">
        <v>398000</v>
      </c>
      <c r="H9" s="191">
        <v>1265000</v>
      </c>
      <c r="I9" s="192">
        <v>23350</v>
      </c>
      <c r="J9" s="191">
        <v>22610</v>
      </c>
      <c r="K9" s="192"/>
      <c r="L9" s="191">
        <v>96900</v>
      </c>
      <c r="M9" s="56">
        <f t="shared" si="0"/>
        <v>2705860</v>
      </c>
      <c r="N9" s="204">
        <v>2697860</v>
      </c>
      <c r="O9" s="53">
        <f t="shared" si="2"/>
        <v>-8000</v>
      </c>
      <c r="P9" s="101"/>
      <c r="Z9" s="78"/>
      <c r="AB9" s="68"/>
    </row>
    <row r="10" spans="2:28" x14ac:dyDescent="0.25">
      <c r="B10" s="15">
        <f t="shared" si="1"/>
        <v>45720</v>
      </c>
      <c r="C10" s="192">
        <v>950000</v>
      </c>
      <c r="D10" s="196">
        <v>6000</v>
      </c>
      <c r="E10" s="192">
        <v>75000</v>
      </c>
      <c r="F10" s="191">
        <v>7000</v>
      </c>
      <c r="G10" s="192">
        <v>912000</v>
      </c>
      <c r="H10" s="191">
        <v>1849000</v>
      </c>
      <c r="I10" s="192"/>
      <c r="J10" s="191">
        <v>78500</v>
      </c>
      <c r="K10" s="192">
        <v>3000</v>
      </c>
      <c r="L10" s="191">
        <v>42800</v>
      </c>
      <c r="M10" s="56">
        <f t="shared" si="0"/>
        <v>3923300</v>
      </c>
      <c r="N10" s="204">
        <v>3918300</v>
      </c>
      <c r="O10" s="53">
        <f>N10-M10</f>
        <v>-5000</v>
      </c>
      <c r="P10" s="101"/>
      <c r="Z10" s="78"/>
      <c r="AB10" s="68"/>
    </row>
    <row r="11" spans="2:28" x14ac:dyDescent="0.25">
      <c r="B11" s="15">
        <f t="shared" si="1"/>
        <v>45721</v>
      </c>
      <c r="C11" s="195"/>
      <c r="D11" s="191"/>
      <c r="E11" s="192">
        <v>75000</v>
      </c>
      <c r="F11" s="191">
        <v>260075</v>
      </c>
      <c r="G11" s="195">
        <v>1190000</v>
      </c>
      <c r="H11" s="195">
        <f>34500-8000</f>
        <v>26500</v>
      </c>
      <c r="I11" s="195">
        <v>3500</v>
      </c>
      <c r="J11" s="191">
        <v>23900</v>
      </c>
      <c r="K11" s="195">
        <v>5000</v>
      </c>
      <c r="L11" s="191">
        <v>17300</v>
      </c>
      <c r="M11" s="56">
        <f t="shared" si="0"/>
        <v>1601275</v>
      </c>
      <c r="N11" s="205">
        <v>1591275</v>
      </c>
      <c r="O11" s="53">
        <f>N11-M11</f>
        <v>-10000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45722</v>
      </c>
      <c r="C12" s="192"/>
      <c r="D12" s="191">
        <v>1350000</v>
      </c>
      <c r="E12" s="192">
        <v>850000</v>
      </c>
      <c r="F12" s="191">
        <v>75000</v>
      </c>
      <c r="G12" s="192">
        <v>302000</v>
      </c>
      <c r="H12" s="191">
        <v>438900</v>
      </c>
      <c r="I12" s="192"/>
      <c r="J12" s="191">
        <v>14000</v>
      </c>
      <c r="K12" s="192"/>
      <c r="L12" s="191">
        <v>48050</v>
      </c>
      <c r="M12" s="56">
        <f t="shared" si="0"/>
        <v>3077950</v>
      </c>
      <c r="N12" s="205">
        <v>3075950</v>
      </c>
      <c r="O12" s="53">
        <f>N12-M12</f>
        <v>-2000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45723</v>
      </c>
      <c r="C13" s="192">
        <v>950000</v>
      </c>
      <c r="D13" s="191">
        <v>15000</v>
      </c>
      <c r="E13" s="192">
        <v>5000</v>
      </c>
      <c r="F13" s="191">
        <v>10000</v>
      </c>
      <c r="G13" s="192"/>
      <c r="H13" s="191">
        <v>1954185</v>
      </c>
      <c r="I13" s="192"/>
      <c r="J13" s="191"/>
      <c r="K13" s="192"/>
      <c r="L13" s="191">
        <v>17500</v>
      </c>
      <c r="M13" s="56">
        <f t="shared" si="0"/>
        <v>2951685</v>
      </c>
      <c r="N13" s="205">
        <v>2946685</v>
      </c>
      <c r="O13" s="53">
        <f>N13-M13</f>
        <v>-5000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45724</v>
      </c>
      <c r="C14" s="192"/>
      <c r="D14" s="191"/>
      <c r="E14" s="192"/>
      <c r="F14" s="191"/>
      <c r="G14" s="192">
        <v>245000</v>
      </c>
      <c r="H14" s="191">
        <v>530075</v>
      </c>
      <c r="I14" s="192"/>
      <c r="J14" s="191">
        <v>8448</v>
      </c>
      <c r="K14" s="192"/>
      <c r="L14" s="191">
        <v>122071</v>
      </c>
      <c r="M14" s="56">
        <f t="shared" ref="M14:M38" si="3">SUM(C14:L14)</f>
        <v>905594</v>
      </c>
      <c r="N14" s="204">
        <v>905594</v>
      </c>
      <c r="O14" s="53">
        <f>N14-M14</f>
        <v>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45725</v>
      </c>
      <c r="C15" s="192"/>
      <c r="D15" s="200"/>
      <c r="E15" s="192"/>
      <c r="F15" s="191"/>
      <c r="G15" s="192">
        <v>530000</v>
      </c>
      <c r="H15" s="191">
        <v>1429000</v>
      </c>
      <c r="I15" s="192"/>
      <c r="J15" s="191">
        <v>6500</v>
      </c>
      <c r="K15" s="192"/>
      <c r="L15" s="191">
        <v>12000</v>
      </c>
      <c r="M15" s="56">
        <f t="shared" si="3"/>
        <v>1977500</v>
      </c>
      <c r="N15" s="204">
        <v>1972500</v>
      </c>
      <c r="O15" s="53">
        <f t="shared" si="2"/>
        <v>-5000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45726</v>
      </c>
      <c r="C16" s="197"/>
      <c r="D16" s="191">
        <v>600000</v>
      </c>
      <c r="E16" s="192"/>
      <c r="F16" s="191">
        <v>600000</v>
      </c>
      <c r="G16" s="197">
        <v>1490200</v>
      </c>
      <c r="H16" s="191">
        <v>1632900</v>
      </c>
      <c r="I16" s="195"/>
      <c r="J16" s="191">
        <v>22500</v>
      </c>
      <c r="K16" s="195">
        <v>3000</v>
      </c>
      <c r="L16" s="191">
        <v>82400</v>
      </c>
      <c r="M16" s="56">
        <f t="shared" si="3"/>
        <v>4431000</v>
      </c>
      <c r="N16" s="205">
        <v>4422000</v>
      </c>
      <c r="O16" s="53">
        <f t="shared" si="2"/>
        <v>-9000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45727</v>
      </c>
      <c r="C17" s="192">
        <v>2050000</v>
      </c>
      <c r="D17" s="191">
        <v>500000</v>
      </c>
      <c r="E17" s="195">
        <v>875000</v>
      </c>
      <c r="F17" s="196">
        <v>75</v>
      </c>
      <c r="G17" s="192">
        <v>367000</v>
      </c>
      <c r="H17" s="196">
        <v>379500</v>
      </c>
      <c r="I17" s="192">
        <v>4200</v>
      </c>
      <c r="J17" s="196">
        <v>34200</v>
      </c>
      <c r="K17" s="192">
        <v>3000</v>
      </c>
      <c r="L17" s="196">
        <v>33500</v>
      </c>
      <c r="M17" s="56">
        <f t="shared" si="3"/>
        <v>4246475</v>
      </c>
      <c r="N17" s="205">
        <v>4242475</v>
      </c>
      <c r="O17" s="53">
        <f t="shared" si="2"/>
        <v>-4000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45728</v>
      </c>
      <c r="C18" s="195"/>
      <c r="D18" s="191"/>
      <c r="E18" s="192">
        <v>850000</v>
      </c>
      <c r="F18" s="191">
        <v>75000</v>
      </c>
      <c r="G18" s="195">
        <v>350000</v>
      </c>
      <c r="H18" s="191">
        <v>571000</v>
      </c>
      <c r="I18" s="195"/>
      <c r="J18" s="191">
        <v>29000</v>
      </c>
      <c r="K18" s="195">
        <v>9500</v>
      </c>
      <c r="L18" s="191">
        <v>35400</v>
      </c>
      <c r="M18" s="176">
        <f t="shared" si="3"/>
        <v>1919900</v>
      </c>
      <c r="N18" s="210">
        <v>1915400</v>
      </c>
      <c r="O18" s="178">
        <f t="shared" si="2"/>
        <v>-4500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45729</v>
      </c>
      <c r="C19" s="192"/>
      <c r="D19" s="191"/>
      <c r="E19" s="192"/>
      <c r="F19" s="191">
        <v>850000</v>
      </c>
      <c r="G19" s="192">
        <v>788000</v>
      </c>
      <c r="H19" s="191">
        <v>2751000</v>
      </c>
      <c r="I19" s="192"/>
      <c r="J19" s="191"/>
      <c r="K19" s="192">
        <v>12800</v>
      </c>
      <c r="L19" s="191">
        <v>24500</v>
      </c>
      <c r="M19" s="56">
        <f>SUM(C19:L19)</f>
        <v>4426300</v>
      </c>
      <c r="N19" s="205">
        <v>4423300</v>
      </c>
      <c r="O19" s="53">
        <f t="shared" si="2"/>
        <v>-3000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45730</v>
      </c>
      <c r="C20" s="192"/>
      <c r="D20" s="188"/>
      <c r="E20" s="192"/>
      <c r="F20" s="191"/>
      <c r="G20" s="192">
        <v>530000</v>
      </c>
      <c r="H20" s="191">
        <v>39000</v>
      </c>
      <c r="I20" s="192"/>
      <c r="J20" s="191">
        <v>20500</v>
      </c>
      <c r="K20" s="192">
        <v>6000</v>
      </c>
      <c r="L20" s="191">
        <v>51500</v>
      </c>
      <c r="M20" s="56">
        <f t="shared" si="3"/>
        <v>647000</v>
      </c>
      <c r="N20" s="205">
        <v>645000</v>
      </c>
      <c r="O20" s="53">
        <f t="shared" si="2"/>
        <v>-2000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45731</v>
      </c>
      <c r="C21" s="192"/>
      <c r="D21" s="191"/>
      <c r="E21" s="192"/>
      <c r="F21" s="191"/>
      <c r="G21" s="192">
        <v>1460000</v>
      </c>
      <c r="H21" s="191">
        <v>912500</v>
      </c>
      <c r="I21" s="192"/>
      <c r="J21" s="191">
        <v>14900</v>
      </c>
      <c r="K21" s="192">
        <v>3000</v>
      </c>
      <c r="L21" s="191">
        <v>26000</v>
      </c>
      <c r="M21" s="56">
        <f t="shared" si="3"/>
        <v>2416400</v>
      </c>
      <c r="N21" s="207">
        <v>2414400</v>
      </c>
      <c r="O21" s="155">
        <f t="shared" si="2"/>
        <v>-2000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45732</v>
      </c>
      <c r="C22" s="192"/>
      <c r="D22" s="200"/>
      <c r="E22" s="192"/>
      <c r="F22" s="191"/>
      <c r="G22" s="192">
        <v>650000</v>
      </c>
      <c r="H22" s="191">
        <v>1182075</v>
      </c>
      <c r="I22" s="192"/>
      <c r="J22" s="191">
        <v>8500</v>
      </c>
      <c r="K22" s="189"/>
      <c r="L22" s="190">
        <v>43500</v>
      </c>
      <c r="M22" s="56">
        <f t="shared" si="3"/>
        <v>1884075</v>
      </c>
      <c r="N22" s="205">
        <v>1884075</v>
      </c>
      <c r="O22" s="53">
        <f t="shared" si="2"/>
        <v>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45733</v>
      </c>
      <c r="C23" s="192"/>
      <c r="D23" s="191">
        <v>84000</v>
      </c>
      <c r="E23" s="192"/>
      <c r="F23" s="191">
        <v>20000</v>
      </c>
      <c r="G23" s="192">
        <v>1115500</v>
      </c>
      <c r="H23" s="191">
        <v>2109500</v>
      </c>
      <c r="I23" s="192"/>
      <c r="J23" s="191">
        <v>8500</v>
      </c>
      <c r="K23" s="192">
        <v>3000</v>
      </c>
      <c r="L23" s="191">
        <v>19000</v>
      </c>
      <c r="M23" s="56">
        <f t="shared" si="3"/>
        <v>3359500</v>
      </c>
      <c r="N23" s="205">
        <v>3339500</v>
      </c>
      <c r="O23" s="155">
        <f t="shared" si="2"/>
        <v>-20000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45734</v>
      </c>
      <c r="C24" s="195"/>
      <c r="D24" s="191">
        <v>500000</v>
      </c>
      <c r="E24" s="192">
        <v>750000</v>
      </c>
      <c r="F24" s="191">
        <v>650000</v>
      </c>
      <c r="G24" s="195">
        <v>707500</v>
      </c>
      <c r="H24" s="191">
        <v>740000</v>
      </c>
      <c r="I24" s="195"/>
      <c r="J24" s="191">
        <v>28800</v>
      </c>
      <c r="K24" s="195">
        <v>371500</v>
      </c>
      <c r="L24" s="191">
        <v>66500</v>
      </c>
      <c r="M24" s="56">
        <f>SUM(C24:L24)</f>
        <v>3814300</v>
      </c>
      <c r="N24" s="204">
        <v>3804300</v>
      </c>
      <c r="O24" s="53">
        <f t="shared" si="2"/>
        <v>-10000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45735</v>
      </c>
      <c r="C25" s="192">
        <v>807000</v>
      </c>
      <c r="D25" s="191"/>
      <c r="E25" s="192"/>
      <c r="F25" s="191"/>
      <c r="G25" s="192">
        <v>1084000</v>
      </c>
      <c r="H25" s="191">
        <v>868000</v>
      </c>
      <c r="I25" s="192">
        <v>5000</v>
      </c>
      <c r="J25" s="191">
        <v>28000</v>
      </c>
      <c r="K25" s="192">
        <v>478200</v>
      </c>
      <c r="L25" s="191">
        <v>232400</v>
      </c>
      <c r="M25" s="176">
        <f t="shared" si="3"/>
        <v>3502600</v>
      </c>
      <c r="N25" s="208">
        <v>3499600</v>
      </c>
      <c r="O25" s="178">
        <f t="shared" si="2"/>
        <v>-3000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45736</v>
      </c>
      <c r="C26" s="192">
        <v>7000</v>
      </c>
      <c r="D26" s="191">
        <v>300000</v>
      </c>
      <c r="E26" s="192">
        <v>630000</v>
      </c>
      <c r="F26" s="191">
        <v>80000</v>
      </c>
      <c r="G26" s="192">
        <v>1120000</v>
      </c>
      <c r="H26" s="191">
        <v>772000</v>
      </c>
      <c r="I26" s="192">
        <v>14000</v>
      </c>
      <c r="J26" s="191">
        <v>32920</v>
      </c>
      <c r="K26" s="192"/>
      <c r="L26" s="191">
        <v>34000</v>
      </c>
      <c r="M26" s="56">
        <f t="shared" si="3"/>
        <v>2989920</v>
      </c>
      <c r="N26" s="205">
        <v>2989920</v>
      </c>
      <c r="O26" s="53">
        <f t="shared" si="2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45737</v>
      </c>
      <c r="C27" s="192"/>
      <c r="D27" s="191">
        <v>750000</v>
      </c>
      <c r="E27" s="192"/>
      <c r="F27" s="191">
        <v>25000</v>
      </c>
      <c r="G27" s="192">
        <v>5000</v>
      </c>
      <c r="H27" s="191">
        <v>2331500</v>
      </c>
      <c r="I27" s="192"/>
      <c r="J27" s="198">
        <v>85870</v>
      </c>
      <c r="K27" s="192"/>
      <c r="L27" s="191">
        <v>135200</v>
      </c>
      <c r="M27" s="176">
        <f t="shared" si="3"/>
        <v>3332570</v>
      </c>
      <c r="N27" s="209">
        <v>3316070</v>
      </c>
      <c r="O27" s="181">
        <f>N27-M27</f>
        <v>-16500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45738</v>
      </c>
      <c r="C28" s="192"/>
      <c r="D28" s="191"/>
      <c r="E28" s="192"/>
      <c r="F28" s="191"/>
      <c r="G28" s="192">
        <v>571000</v>
      </c>
      <c r="H28" s="191">
        <v>2575500</v>
      </c>
      <c r="I28" s="192"/>
      <c r="J28" s="191">
        <v>32500</v>
      </c>
      <c r="K28" s="192"/>
      <c r="L28" s="191"/>
      <c r="M28" s="156">
        <f t="shared" si="3"/>
        <v>3179000</v>
      </c>
      <c r="N28" s="207">
        <v>3179000</v>
      </c>
      <c r="O28" s="155">
        <f t="shared" si="2"/>
        <v>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45739</v>
      </c>
      <c r="C29" s="192"/>
      <c r="D29" s="191"/>
      <c r="E29" s="192"/>
      <c r="F29" s="191"/>
      <c r="G29" s="192">
        <v>1158000</v>
      </c>
      <c r="H29" s="191">
        <v>844000</v>
      </c>
      <c r="I29" s="192"/>
      <c r="J29" s="191">
        <v>3000</v>
      </c>
      <c r="K29" s="192"/>
      <c r="L29" s="191">
        <v>14250</v>
      </c>
      <c r="M29" s="56">
        <f t="shared" si="3"/>
        <v>2019250</v>
      </c>
      <c r="N29" s="205">
        <v>1999250</v>
      </c>
      <c r="O29" s="53">
        <f t="shared" si="2"/>
        <v>-20000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45740</v>
      </c>
      <c r="C30" s="199">
        <v>755000</v>
      </c>
      <c r="D30" s="202">
        <v>209000</v>
      </c>
      <c r="E30" s="192"/>
      <c r="F30" s="191"/>
      <c r="G30" s="192">
        <v>160000</v>
      </c>
      <c r="H30" s="191">
        <f>520500-1500-20000</f>
        <v>499000</v>
      </c>
      <c r="I30" s="192">
        <v>100000</v>
      </c>
      <c r="J30" s="191">
        <v>14000</v>
      </c>
      <c r="K30" s="199"/>
      <c r="L30" s="198">
        <v>63000</v>
      </c>
      <c r="M30" s="56">
        <f t="shared" si="3"/>
        <v>1800000</v>
      </c>
      <c r="N30" s="204">
        <f>1781000-1500</f>
        <v>1779500</v>
      </c>
      <c r="O30" s="155">
        <f t="shared" si="2"/>
        <v>-20500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45741</v>
      </c>
      <c r="C31" s="201"/>
      <c r="D31" s="190">
        <v>1580000</v>
      </c>
      <c r="E31" s="189">
        <v>1080000</v>
      </c>
      <c r="F31" s="190">
        <v>1760000</v>
      </c>
      <c r="G31" s="187">
        <v>430000</v>
      </c>
      <c r="H31" s="190">
        <f>1507000-380000-10000</f>
        <v>1117000</v>
      </c>
      <c r="I31" s="189"/>
      <c r="J31" s="190">
        <v>21200</v>
      </c>
      <c r="K31" s="189"/>
      <c r="L31" s="190">
        <v>151350</v>
      </c>
      <c r="M31" s="56">
        <f t="shared" si="3"/>
        <v>6139550</v>
      </c>
      <c r="N31" s="204">
        <f>6489550-380000</f>
        <v>6109550</v>
      </c>
      <c r="O31" s="53">
        <f t="shared" si="2"/>
        <v>-30000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45742</v>
      </c>
      <c r="C32" s="192"/>
      <c r="D32" s="191">
        <v>21000</v>
      </c>
      <c r="E32" s="192">
        <v>60000</v>
      </c>
      <c r="F32" s="191"/>
      <c r="G32" s="192">
        <v>475000</v>
      </c>
      <c r="H32" s="191">
        <v>605500</v>
      </c>
      <c r="I32" s="199">
        <v>17700</v>
      </c>
      <c r="J32" s="191">
        <v>15610</v>
      </c>
      <c r="K32" s="192">
        <v>9450</v>
      </c>
      <c r="L32" s="191">
        <v>33500</v>
      </c>
      <c r="M32" s="156">
        <f t="shared" si="3"/>
        <v>1237760</v>
      </c>
      <c r="N32" s="207">
        <v>1174260</v>
      </c>
      <c r="O32" s="155">
        <f t="shared" si="2"/>
        <v>-63500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45743</v>
      </c>
      <c r="C33" s="192">
        <v>250000</v>
      </c>
      <c r="D33" s="191">
        <v>15000</v>
      </c>
      <c r="E33" s="192">
        <v>960000</v>
      </c>
      <c r="F33" s="191">
        <v>655000</v>
      </c>
      <c r="G33" s="192"/>
      <c r="H33" s="191">
        <v>1922200</v>
      </c>
      <c r="I33" s="192"/>
      <c r="J33" s="191">
        <v>47740</v>
      </c>
      <c r="K33" s="192"/>
      <c r="L33" s="191">
        <v>11500</v>
      </c>
      <c r="M33" s="56">
        <f t="shared" si="3"/>
        <v>3861440</v>
      </c>
      <c r="N33" s="204">
        <v>3859440</v>
      </c>
      <c r="O33" s="53">
        <f t="shared" si="2"/>
        <v>-2000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45744</v>
      </c>
      <c r="C34" s="192"/>
      <c r="D34" s="200"/>
      <c r="E34" s="192">
        <v>10000</v>
      </c>
      <c r="F34" s="191">
        <v>5000</v>
      </c>
      <c r="G34" s="199">
        <v>5000</v>
      </c>
      <c r="H34" s="198">
        <f>1234220-10000</f>
        <v>1224220</v>
      </c>
      <c r="I34" s="199">
        <v>14000</v>
      </c>
      <c r="J34" s="198"/>
      <c r="K34" s="199">
        <v>10000</v>
      </c>
      <c r="L34" s="198">
        <v>21500</v>
      </c>
      <c r="M34" s="156">
        <f>SUM(C34:L34)</f>
        <v>1289720</v>
      </c>
      <c r="N34" s="207">
        <v>1255720</v>
      </c>
      <c r="O34" s="53">
        <f t="shared" si="2"/>
        <v>-34000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45745</v>
      </c>
      <c r="C35" s="192"/>
      <c r="D35" s="200"/>
      <c r="E35" s="192"/>
      <c r="F35" s="191"/>
      <c r="G35" s="192">
        <v>1102000</v>
      </c>
      <c r="H35" s="191">
        <v>1186500</v>
      </c>
      <c r="I35" s="192"/>
      <c r="J35" s="191">
        <v>39000</v>
      </c>
      <c r="K35" s="192"/>
      <c r="L35" s="191">
        <v>175300</v>
      </c>
      <c r="M35" s="56">
        <f t="shared" si="3"/>
        <v>2502800</v>
      </c>
      <c r="N35" s="206">
        <v>2479800</v>
      </c>
      <c r="O35" s="55">
        <f t="shared" si="2"/>
        <v>-23000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45746</v>
      </c>
      <c r="C36" s="192"/>
      <c r="D36" s="200"/>
      <c r="E36" s="192"/>
      <c r="F36" s="191"/>
      <c r="G36" s="192">
        <v>890000</v>
      </c>
      <c r="H36" s="191">
        <v>420000</v>
      </c>
      <c r="I36" s="192"/>
      <c r="J36" s="191"/>
      <c r="K36" s="192"/>
      <c r="L36" s="191">
        <v>7000</v>
      </c>
      <c r="M36" s="56">
        <f t="shared" si="3"/>
        <v>1317000</v>
      </c>
      <c r="N36" s="206">
        <v>1297000</v>
      </c>
      <c r="O36" s="55">
        <f t="shared" si="2"/>
        <v>-20000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1"/>
        <v>45747</v>
      </c>
      <c r="C37" s="192"/>
      <c r="D37" s="200"/>
      <c r="E37" s="192"/>
      <c r="F37" s="191"/>
      <c r="G37" s="192">
        <v>4000</v>
      </c>
      <c r="H37" s="191">
        <v>1064000</v>
      </c>
      <c r="I37" s="192"/>
      <c r="J37" s="191"/>
      <c r="K37" s="192">
        <v>35100</v>
      </c>
      <c r="L37" s="191">
        <v>172500</v>
      </c>
      <c r="M37" s="56">
        <f t="shared" si="3"/>
        <v>1275600</v>
      </c>
      <c r="N37" s="206">
        <v>1242600</v>
      </c>
      <c r="O37" s="55">
        <f t="shared" si="2"/>
        <v>-33000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3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5769000</v>
      </c>
      <c r="D39" s="25">
        <f>SUM(D7:D38)</f>
        <v>7010000</v>
      </c>
      <c r="E39" s="24">
        <f t="shared" ref="E39:K39" si="4">SUM(E7:E38)</f>
        <v>6220000</v>
      </c>
      <c r="F39" s="59">
        <f t="shared" si="4"/>
        <v>5142150</v>
      </c>
      <c r="G39" s="24">
        <f t="shared" si="4"/>
        <v>18732200</v>
      </c>
      <c r="H39" s="25">
        <f>SUM(H7:H38)</f>
        <v>34471055</v>
      </c>
      <c r="I39" s="24">
        <f t="shared" si="4"/>
        <v>181750</v>
      </c>
      <c r="J39" s="25">
        <f>SUM(J7:J38)</f>
        <v>1061498</v>
      </c>
      <c r="K39" s="24">
        <f t="shared" si="4"/>
        <v>961050</v>
      </c>
      <c r="L39" s="25">
        <f>SUM(L7:L38)</f>
        <v>1823721</v>
      </c>
      <c r="M39" s="28">
        <f>SUM(M7:M38)</f>
        <v>81372424</v>
      </c>
      <c r="N39" s="27">
        <f>SUM(N7:N38)</f>
        <v>81000924</v>
      </c>
      <c r="O39" s="26">
        <f>N39-M39</f>
        <v>-371500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12779000</v>
      </c>
      <c r="D40" s="282"/>
      <c r="E40" s="267">
        <f>SUM(E39:F39)</f>
        <v>11362150</v>
      </c>
      <c r="F40" s="269"/>
      <c r="G40" s="281">
        <f>SUM(G39:H39)</f>
        <v>53203255</v>
      </c>
      <c r="H40" s="282"/>
      <c r="I40" s="267">
        <f>SUM(I39:J39)</f>
        <v>1243248</v>
      </c>
      <c r="J40" s="268"/>
      <c r="K40" s="281">
        <f>SUM(K39:L39)</f>
        <v>2784771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45716</v>
      </c>
      <c r="C45" s="3">
        <v>0</v>
      </c>
      <c r="D45" s="14"/>
      <c r="E45" s="3">
        <v>0</v>
      </c>
      <c r="F45" s="14">
        <v>80000</v>
      </c>
      <c r="G45" s="3">
        <v>0</v>
      </c>
      <c r="H45" s="14">
        <v>1619035</v>
      </c>
      <c r="I45" s="3"/>
      <c r="J45" s="14">
        <v>49177</v>
      </c>
      <c r="K45" s="134"/>
      <c r="L45" s="14">
        <v>241040</v>
      </c>
      <c r="M45" s="3">
        <v>0</v>
      </c>
      <c r="N45" s="203">
        <f>F45+H45+J45+L45</f>
        <v>1989252</v>
      </c>
      <c r="O45" s="3">
        <f>N45-M45</f>
        <v>1989252</v>
      </c>
      <c r="P45" s="85">
        <v>45717</v>
      </c>
    </row>
    <row r="46" spans="1:28" x14ac:dyDescent="0.25">
      <c r="A46" t="s">
        <v>15</v>
      </c>
      <c r="B46" s="2"/>
      <c r="C46" s="3"/>
      <c r="D46" s="14"/>
      <c r="E46" s="3"/>
      <c r="F46" s="14"/>
      <c r="G46" s="3"/>
      <c r="H46" s="14"/>
      <c r="I46" s="3"/>
      <c r="J46" s="14"/>
      <c r="K46" s="134"/>
      <c r="L46" s="14"/>
      <c r="M46" s="3">
        <f>SUM(C46:L46)</f>
        <v>0</v>
      </c>
      <c r="N46" s="3"/>
      <c r="O46" s="3">
        <f>N46-M46</f>
        <v>0</v>
      </c>
      <c r="P46" s="85"/>
    </row>
    <row r="47" spans="1:28" x14ac:dyDescent="0.25">
      <c r="A47" t="s">
        <v>16</v>
      </c>
      <c r="B47" s="2"/>
      <c r="C47" s="3"/>
      <c r="D47" s="14"/>
      <c r="E47" s="3"/>
      <c r="F47" s="14"/>
      <c r="G47" s="3"/>
      <c r="H47" s="14"/>
      <c r="I47" s="3"/>
      <c r="J47" s="14"/>
      <c r="K47" s="134"/>
      <c r="L47" s="14"/>
      <c r="M47" s="3">
        <f>SUM(C47:L47)</f>
        <v>0</v>
      </c>
      <c r="N47" s="3"/>
      <c r="O47" s="3">
        <f>N47-M47</f>
        <v>0</v>
      </c>
      <c r="P47" s="85"/>
    </row>
    <row r="48" spans="1:28" x14ac:dyDescent="0.25">
      <c r="A48" t="s">
        <v>16</v>
      </c>
      <c r="B48" s="2">
        <v>45747</v>
      </c>
      <c r="C48" s="3">
        <v>0</v>
      </c>
      <c r="D48" s="14"/>
      <c r="E48" s="3">
        <v>0</v>
      </c>
      <c r="F48" s="14"/>
      <c r="G48" s="3">
        <v>0</v>
      </c>
      <c r="H48" s="14">
        <f>1064000-33000</f>
        <v>1031000</v>
      </c>
      <c r="I48" s="3">
        <v>0</v>
      </c>
      <c r="J48" s="14"/>
      <c r="K48" s="134">
        <v>0</v>
      </c>
      <c r="L48" s="14">
        <v>172500</v>
      </c>
      <c r="M48" s="3"/>
      <c r="N48" s="3">
        <f>F48+H48+J48+L48</f>
        <v>1203500</v>
      </c>
      <c r="O48" s="3">
        <f>N48-M48</f>
        <v>1203500</v>
      </c>
      <c r="P48" s="151">
        <v>45748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80000</v>
      </c>
      <c r="F50" s="263"/>
      <c r="G50" s="262">
        <f>H45+H46-H47-H48</f>
        <v>588035</v>
      </c>
      <c r="H50" s="263"/>
      <c r="I50" s="262">
        <f>J45+J46-J47-J48</f>
        <v>49177</v>
      </c>
      <c r="J50" s="263"/>
      <c r="K50" s="262">
        <f>L45+L46-L47-L48</f>
        <v>68540</v>
      </c>
      <c r="L50" s="263"/>
    </row>
    <row r="51" spans="2:28" x14ac:dyDescent="0.25">
      <c r="B51" s="288" t="s">
        <v>12</v>
      </c>
      <c r="C51" s="288"/>
      <c r="D51" s="212">
        <f>D39+D50</f>
        <v>7010000</v>
      </c>
      <c r="E51" s="289">
        <f>F39+E50</f>
        <v>5222150</v>
      </c>
      <c r="F51" s="290"/>
      <c r="G51" s="289">
        <f>H39+G50</f>
        <v>35059090</v>
      </c>
      <c r="H51" s="290"/>
      <c r="I51" s="291">
        <f>J39+I50</f>
        <v>1110675</v>
      </c>
      <c r="J51" s="292"/>
      <c r="K51" s="289">
        <f>L39+K50</f>
        <v>1892261</v>
      </c>
      <c r="L51" s="290"/>
    </row>
    <row r="52" spans="2:28" s="42" customFormat="1" x14ac:dyDescent="0.25">
      <c r="B52" s="257" t="s">
        <v>17</v>
      </c>
      <c r="C52" s="257"/>
      <c r="D52" s="283">
        <f>SUM(D51:L51)</f>
        <v>50294176</v>
      </c>
      <c r="E52" s="283"/>
      <c r="F52" s="283"/>
      <c r="G52" s="283"/>
      <c r="H52" s="283"/>
      <c r="I52" s="186"/>
      <c r="J52" s="186"/>
      <c r="K52" s="186"/>
      <c r="L52" s="1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62946.196854000002</v>
      </c>
      <c r="P54" s="87"/>
      <c r="S54">
        <v>13.94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31864000</v>
      </c>
      <c r="D55" s="149">
        <f>D39+H39+F39+J39+L39</f>
        <v>49508424</v>
      </c>
      <c r="E55" s="58"/>
      <c r="F55" s="58"/>
      <c r="M55" s="63" t="s">
        <v>25</v>
      </c>
      <c r="N55" s="64">
        <f>N59*S55/100</f>
        <v>46870.984457999999</v>
      </c>
      <c r="P55" s="88"/>
      <c r="S55">
        <v>10.38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81372424</v>
      </c>
      <c r="D56" s="285"/>
      <c r="E56" s="57"/>
      <c r="F56" s="57"/>
      <c r="M56" s="63" t="s">
        <v>28</v>
      </c>
      <c r="N56" s="64">
        <f>N59*S56/100</f>
        <v>314776.13936099992</v>
      </c>
      <c r="R56" s="87"/>
      <c r="S56">
        <v>69.709999999999994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9934.1200200000003</v>
      </c>
      <c r="S57">
        <v>2.2000000000000002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17023.469306999999</v>
      </c>
      <c r="S58">
        <v>3.77</v>
      </c>
      <c r="Y58" s="4"/>
      <c r="AA58" s="78"/>
      <c r="AB58" s="68"/>
    </row>
    <row r="59" spans="2:28" x14ac:dyDescent="0.25">
      <c r="J59" t="s">
        <v>3</v>
      </c>
      <c r="N59" s="64">
        <v>451550.91</v>
      </c>
      <c r="O59" s="211"/>
      <c r="S59" s="68">
        <f>SUM(S54:S58)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82158176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72"/>
  <sheetViews>
    <sheetView topLeftCell="A7" workbookViewId="0">
      <selection activeCell="R9" sqref="R9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137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45748</v>
      </c>
      <c r="C7" s="192"/>
      <c r="D7" s="191"/>
      <c r="E7" s="192">
        <f>1700000</f>
        <v>1700000</v>
      </c>
      <c r="F7" s="191"/>
      <c r="G7" s="193">
        <f>830000</f>
        <v>830000</v>
      </c>
      <c r="H7" s="194">
        <f>350000+8000+23500</f>
        <v>381500</v>
      </c>
      <c r="I7" s="193">
        <f>6500</f>
        <v>6500</v>
      </c>
      <c r="J7" s="194">
        <f>6500</f>
        <v>6500</v>
      </c>
      <c r="K7" s="193">
        <f>20000</f>
        <v>20000</v>
      </c>
      <c r="L7" s="194">
        <f>27150</f>
        <v>27150</v>
      </c>
      <c r="M7" s="56">
        <f>SUM(C7:L7)</f>
        <v>2971650</v>
      </c>
      <c r="N7" s="205">
        <v>2948150</v>
      </c>
      <c r="O7" s="53">
        <f>N7-M7</f>
        <v>-23500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0">B7+1</f>
        <v>45749</v>
      </c>
      <c r="C8" s="195"/>
      <c r="D8" s="191"/>
      <c r="E8" s="192"/>
      <c r="F8" s="191">
        <f>1800000</f>
        <v>1800000</v>
      </c>
      <c r="G8" s="195">
        <f>300000</f>
        <v>300000</v>
      </c>
      <c r="H8" s="191">
        <f>900000+390000+31500</f>
        <v>1321500</v>
      </c>
      <c r="I8" s="195">
        <f>10000</f>
        <v>10000</v>
      </c>
      <c r="J8" s="191">
        <f>30000+9000</f>
        <v>39000</v>
      </c>
      <c r="K8" s="195">
        <v>3000</v>
      </c>
      <c r="L8" s="191">
        <f>3000+30500</f>
        <v>33500</v>
      </c>
      <c r="M8" s="56">
        <f>SUM(C8:L8)</f>
        <v>3507000</v>
      </c>
      <c r="N8" s="205">
        <v>3475500</v>
      </c>
      <c r="O8" s="53">
        <f t="shared" ref="O8:O37" si="1">N8-M8</f>
        <v>-31500</v>
      </c>
      <c r="Z8" s="78"/>
      <c r="AB8" s="68"/>
    </row>
    <row r="9" spans="2:28" x14ac:dyDescent="0.25">
      <c r="B9" s="15">
        <f t="shared" si="0"/>
        <v>45750</v>
      </c>
      <c r="C9" s="192"/>
      <c r="D9" s="196">
        <f>850000</f>
        <v>850000</v>
      </c>
      <c r="E9" s="192">
        <f>705000</f>
        <v>705000</v>
      </c>
      <c r="F9" s="191">
        <f>65000</f>
        <v>65000</v>
      </c>
      <c r="G9" s="192">
        <f>6000</f>
        <v>6000</v>
      </c>
      <c r="H9" s="191">
        <f>630000+354500+350000+320000+70000+1500+550000+40000</f>
        <v>2316000</v>
      </c>
      <c r="I9" s="192">
        <f>15000+30000</f>
        <v>45000</v>
      </c>
      <c r="J9" s="191">
        <f>3500+4200</f>
        <v>7700</v>
      </c>
      <c r="K9" s="192">
        <f>13500</f>
        <v>13500</v>
      </c>
      <c r="L9" s="191">
        <f>43000</f>
        <v>43000</v>
      </c>
      <c r="M9" s="56">
        <f>SUM(C9:L9)</f>
        <v>4051200</v>
      </c>
      <c r="N9" s="204">
        <v>4011200</v>
      </c>
      <c r="O9" s="53">
        <f t="shared" si="1"/>
        <v>-40000</v>
      </c>
      <c r="P9" s="101"/>
      <c r="Z9" s="78"/>
      <c r="AB9" s="68"/>
    </row>
    <row r="10" spans="2:28" x14ac:dyDescent="0.25">
      <c r="B10" s="15">
        <f t="shared" si="0"/>
        <v>45751</v>
      </c>
      <c r="C10" s="192"/>
      <c r="D10" s="196">
        <f>800000</f>
        <v>800000</v>
      </c>
      <c r="E10" s="192">
        <f>15000</f>
        <v>15000</v>
      </c>
      <c r="F10" s="191">
        <f>5000</f>
        <v>5000</v>
      </c>
      <c r="G10" s="192">
        <f>400000+15000</f>
        <v>415000</v>
      </c>
      <c r="H10" s="191">
        <f>3000+30000+820000+430000+1500+325000</f>
        <v>1609500</v>
      </c>
      <c r="I10" s="192"/>
      <c r="J10" s="191">
        <f>21140+30000+13000+3500</f>
        <v>67640</v>
      </c>
      <c r="K10" s="192">
        <f>10500</f>
        <v>10500</v>
      </c>
      <c r="L10" s="191">
        <f>81250+5400+3000</f>
        <v>89650</v>
      </c>
      <c r="M10" s="56">
        <f>SUM(C10:L10)</f>
        <v>3012290</v>
      </c>
      <c r="N10" s="204">
        <v>3012290</v>
      </c>
      <c r="O10" s="53">
        <f>N10-M10</f>
        <v>0</v>
      </c>
      <c r="P10" s="101"/>
      <c r="Z10" s="78"/>
      <c r="AB10" s="68"/>
    </row>
    <row r="11" spans="2:28" x14ac:dyDescent="0.25">
      <c r="B11" s="15">
        <f t="shared" si="0"/>
        <v>45752</v>
      </c>
      <c r="C11" s="195"/>
      <c r="D11" s="191"/>
      <c r="E11" s="192"/>
      <c r="F11" s="191"/>
      <c r="G11" s="195">
        <f>300000+2000+410000</f>
        <v>712000</v>
      </c>
      <c r="H11" s="195">
        <f>320000+110000+788000+240000+23000</f>
        <v>1481000</v>
      </c>
      <c r="I11" s="195"/>
      <c r="J11" s="191">
        <f>7110+26180+5000</f>
        <v>38290</v>
      </c>
      <c r="K11" s="195"/>
      <c r="L11" s="191">
        <f>140000</f>
        <v>140000</v>
      </c>
      <c r="M11" s="56">
        <f>SUM(C11:L11)</f>
        <v>2371290</v>
      </c>
      <c r="N11" s="205">
        <v>2348290</v>
      </c>
      <c r="O11" s="53">
        <f>N11-M11</f>
        <v>-23000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45753</v>
      </c>
      <c r="C12" s="192"/>
      <c r="D12" s="191">
        <f>950000</f>
        <v>950000</v>
      </c>
      <c r="E12" s="192"/>
      <c r="F12" s="191"/>
      <c r="G12" s="192">
        <f>572000</f>
        <v>572000</v>
      </c>
      <c r="H12" s="191">
        <f>384500+300000+9000+286000+70500</f>
        <v>1050000</v>
      </c>
      <c r="I12" s="192"/>
      <c r="J12" s="191">
        <f>5000+3500</f>
        <v>8500</v>
      </c>
      <c r="K12" s="192"/>
      <c r="L12" s="191">
        <f>15500</f>
        <v>15500</v>
      </c>
      <c r="M12" s="56">
        <f t="shared" ref="M12:M38" si="2">SUM(C12:L12)</f>
        <v>2596000</v>
      </c>
      <c r="N12" s="205">
        <v>2525500</v>
      </c>
      <c r="O12" s="53">
        <f>N12-M12</f>
        <v>-70500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45754</v>
      </c>
      <c r="C13" s="192"/>
      <c r="D13" s="191">
        <f>7000</f>
        <v>7000</v>
      </c>
      <c r="E13" s="192"/>
      <c r="F13" s="191"/>
      <c r="G13" s="192">
        <f>1000+350000+6000+490000+450000</f>
        <v>1297000</v>
      </c>
      <c r="H13" s="191">
        <f>6000+18000+4000+25500</f>
        <v>53500</v>
      </c>
      <c r="I13" s="192"/>
      <c r="J13" s="191"/>
      <c r="K13" s="192">
        <f>27500</f>
        <v>27500</v>
      </c>
      <c r="L13" s="191">
        <f>30500</f>
        <v>30500</v>
      </c>
      <c r="M13" s="56">
        <f t="shared" si="2"/>
        <v>1415500</v>
      </c>
      <c r="N13" s="205">
        <v>1390000</v>
      </c>
      <c r="O13" s="53">
        <f>N13-M13</f>
        <v>-25500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45755</v>
      </c>
      <c r="C14" s="192"/>
      <c r="D14" s="191">
        <f>1100000</f>
        <v>1100000</v>
      </c>
      <c r="E14" s="192"/>
      <c r="F14" s="191"/>
      <c r="G14" s="192">
        <f>2000</f>
        <v>2000</v>
      </c>
      <c r="H14" s="191">
        <f>10000+350000+290000+454000+300000+440000+500000+30000</f>
        <v>2374000</v>
      </c>
      <c r="I14" s="192"/>
      <c r="J14" s="191">
        <f>6500+6900+11900+7807</f>
        <v>33107</v>
      </c>
      <c r="K14" s="192"/>
      <c r="L14" s="191">
        <f>47500</f>
        <v>47500</v>
      </c>
      <c r="M14" s="56">
        <f t="shared" si="2"/>
        <v>3556607</v>
      </c>
      <c r="N14" s="204">
        <v>3526607</v>
      </c>
      <c r="O14" s="53">
        <f>N14-M14</f>
        <v>-30000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45756</v>
      </c>
      <c r="C15" s="192"/>
      <c r="D15" s="200">
        <f>607000</f>
        <v>607000</v>
      </c>
      <c r="E15" s="192"/>
      <c r="F15" s="191"/>
      <c r="G15" s="192">
        <f>2500+1500+450000</f>
        <v>454000</v>
      </c>
      <c r="H15" s="191">
        <f>400000+10000+3000+270000+22000</f>
        <v>705000</v>
      </c>
      <c r="I15" s="192">
        <f>3500</f>
        <v>3500</v>
      </c>
      <c r="J15" s="191">
        <f>19120+8000</f>
        <v>27120</v>
      </c>
      <c r="K15" s="192">
        <f>12000</f>
        <v>12000</v>
      </c>
      <c r="L15" s="191">
        <f>85900</f>
        <v>85900</v>
      </c>
      <c r="M15" s="56">
        <f t="shared" si="2"/>
        <v>1894520</v>
      </c>
      <c r="N15" s="204">
        <v>1872520</v>
      </c>
      <c r="O15" s="53">
        <f t="shared" si="1"/>
        <v>-22000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45757</v>
      </c>
      <c r="C16" s="197"/>
      <c r="D16" s="191">
        <f>210000</f>
        <v>210000</v>
      </c>
      <c r="E16" s="192"/>
      <c r="F16" s="191"/>
      <c r="G16" s="197">
        <f>75</f>
        <v>75</v>
      </c>
      <c r="H16" s="191">
        <f>400000+250000+990000+350000+40000</f>
        <v>2030000</v>
      </c>
      <c r="I16" s="195"/>
      <c r="J16" s="191">
        <f>3000+7110+4100</f>
        <v>14210</v>
      </c>
      <c r="K16" s="195">
        <f>42950</f>
        <v>42950</v>
      </c>
      <c r="L16" s="191">
        <f>54550</f>
        <v>54550</v>
      </c>
      <c r="M16" s="56">
        <f t="shared" si="2"/>
        <v>2351785</v>
      </c>
      <c r="N16" s="205">
        <v>2311785</v>
      </c>
      <c r="O16" s="53">
        <f t="shared" si="1"/>
        <v>-40000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45758</v>
      </c>
      <c r="C17" s="192"/>
      <c r="D17" s="191"/>
      <c r="E17" s="195"/>
      <c r="F17" s="196"/>
      <c r="G17" s="192">
        <f>20000+350000+2000+440000+15000</f>
        <v>827000</v>
      </c>
      <c r="H17" s="196">
        <f>414000+305000+37000</f>
        <v>756000</v>
      </c>
      <c r="I17" s="192">
        <f>5000</f>
        <v>5000</v>
      </c>
      <c r="J17" s="196">
        <f>34500</f>
        <v>34500</v>
      </c>
      <c r="K17" s="192"/>
      <c r="L17" s="196">
        <f>3000</f>
        <v>3000</v>
      </c>
      <c r="M17" s="56">
        <f t="shared" si="2"/>
        <v>1625500</v>
      </c>
      <c r="N17" s="205">
        <v>1588500</v>
      </c>
      <c r="O17" s="53">
        <f t="shared" si="1"/>
        <v>-37000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45759</v>
      </c>
      <c r="C18" s="195"/>
      <c r="D18" s="191"/>
      <c r="E18" s="192"/>
      <c r="F18" s="191"/>
      <c r="G18" s="195">
        <f>420000+400000</f>
        <v>820000</v>
      </c>
      <c r="H18" s="191">
        <f>1500+1010000+22000</f>
        <v>1033500</v>
      </c>
      <c r="I18" s="195"/>
      <c r="J18" s="191">
        <f>4500</f>
        <v>4500</v>
      </c>
      <c r="K18" s="195"/>
      <c r="L18" s="191">
        <f>4500+48000+128700+3000</f>
        <v>184200</v>
      </c>
      <c r="M18" s="176">
        <f t="shared" si="2"/>
        <v>2042200</v>
      </c>
      <c r="N18" s="210">
        <v>2020200</v>
      </c>
      <c r="O18" s="178">
        <f t="shared" si="1"/>
        <v>-22000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45760</v>
      </c>
      <c r="C19" s="192"/>
      <c r="D19" s="191"/>
      <c r="E19" s="192"/>
      <c r="F19" s="191"/>
      <c r="G19" s="192">
        <f>2000</f>
        <v>2000</v>
      </c>
      <c r="H19" s="191">
        <f>3000+866000+25500</f>
        <v>894500</v>
      </c>
      <c r="I19" s="192"/>
      <c r="J19" s="191"/>
      <c r="K19" s="192"/>
      <c r="L19" s="191">
        <f>6000</f>
        <v>6000</v>
      </c>
      <c r="M19" s="56">
        <f>SUM(C19:L19)</f>
        <v>902500</v>
      </c>
      <c r="N19" s="205">
        <v>877000</v>
      </c>
      <c r="O19" s="53">
        <f t="shared" si="1"/>
        <v>-25500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45761</v>
      </c>
      <c r="C20" s="192"/>
      <c r="D20" s="188"/>
      <c r="E20" s="192"/>
      <c r="F20" s="191"/>
      <c r="G20" s="192"/>
      <c r="H20" s="191"/>
      <c r="I20" s="192"/>
      <c r="J20" s="191"/>
      <c r="K20" s="192"/>
      <c r="L20" s="191"/>
      <c r="M20" s="56">
        <f t="shared" si="2"/>
        <v>0</v>
      </c>
      <c r="N20" s="205">
        <v>0</v>
      </c>
      <c r="O20" s="53">
        <f t="shared" si="1"/>
        <v>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45762</v>
      </c>
      <c r="C21" s="192">
        <v>1410000</v>
      </c>
      <c r="D21" s="191">
        <v>517000</v>
      </c>
      <c r="E21" s="192">
        <f>675000</f>
        <v>675000</v>
      </c>
      <c r="F21" s="191">
        <f>180000+730000</f>
        <v>910000</v>
      </c>
      <c r="G21" s="192">
        <f>35+2000+750000+2000+35+1000000</f>
        <v>1754070</v>
      </c>
      <c r="H21" s="191">
        <f>380000+300000+4000+1164000+50000+50000+350+320000+86000+980</f>
        <v>2355330</v>
      </c>
      <c r="I21" s="192">
        <v>25000</v>
      </c>
      <c r="J21" s="191">
        <f>17500+15000</f>
        <v>32500</v>
      </c>
      <c r="K21" s="192">
        <v>3000</v>
      </c>
      <c r="L21" s="191">
        <f>3000+133900+65500</f>
        <v>202400</v>
      </c>
      <c r="M21" s="56">
        <f t="shared" si="2"/>
        <v>7884300</v>
      </c>
      <c r="N21" s="207">
        <f>7797320+980</f>
        <v>7798300</v>
      </c>
      <c r="O21" s="155">
        <f t="shared" si="1"/>
        <v>-86000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45763</v>
      </c>
      <c r="C22" s="192"/>
      <c r="D22" s="200">
        <f>28000</f>
        <v>28000</v>
      </c>
      <c r="E22" s="192"/>
      <c r="F22" s="191"/>
      <c r="G22" s="192">
        <f>300000+690000</f>
        <v>990000</v>
      </c>
      <c r="H22" s="191">
        <f>330000+150000+460000+12000-30000</f>
        <v>922000</v>
      </c>
      <c r="I22" s="192"/>
      <c r="J22" s="191">
        <f>8500+14220</f>
        <v>22720</v>
      </c>
      <c r="K22" s="189">
        <f>3000+12000</f>
        <v>15000</v>
      </c>
      <c r="L22" s="190">
        <f>112750</f>
        <v>112750</v>
      </c>
      <c r="M22" s="56">
        <f t="shared" si="2"/>
        <v>2090470</v>
      </c>
      <c r="N22" s="205">
        <f>2108470-30000</f>
        <v>2078470</v>
      </c>
      <c r="O22" s="53">
        <f t="shared" si="1"/>
        <v>-12000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45764</v>
      </c>
      <c r="C23" s="192">
        <f>1000000</f>
        <v>1000000</v>
      </c>
      <c r="D23" s="191"/>
      <c r="E23" s="192"/>
      <c r="F23" s="191">
        <f>1685000</f>
        <v>1685000</v>
      </c>
      <c r="G23" s="192">
        <f>500000</f>
        <v>500000</v>
      </c>
      <c r="H23" s="191">
        <f>987000+40000+475000-460000+44000</f>
        <v>1086000</v>
      </c>
      <c r="I23" s="192"/>
      <c r="J23" s="191">
        <f>76300</f>
        <v>76300</v>
      </c>
      <c r="K23" s="192">
        <f>3000</f>
        <v>3000</v>
      </c>
      <c r="L23" s="191"/>
      <c r="M23" s="56">
        <f t="shared" si="2"/>
        <v>4350300</v>
      </c>
      <c r="N23" s="205">
        <v>4306300</v>
      </c>
      <c r="O23" s="155">
        <f t="shared" si="1"/>
        <v>-44000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45765</v>
      </c>
      <c r="C24" s="195"/>
      <c r="D24" s="191"/>
      <c r="E24" s="192"/>
      <c r="F24" s="191"/>
      <c r="G24" s="195">
        <f>290000+5000</f>
        <v>295000</v>
      </c>
      <c r="H24" s="191">
        <f>810000+10000+250000+3000+30000+400000+38000</f>
        <v>1541000</v>
      </c>
      <c r="I24" s="195">
        <f>85000</f>
        <v>85000</v>
      </c>
      <c r="J24" s="191">
        <f>11340+8500</f>
        <v>19840</v>
      </c>
      <c r="K24" s="195">
        <f>10000</f>
        <v>10000</v>
      </c>
      <c r="L24" s="191">
        <f>25700+50900</f>
        <v>76600</v>
      </c>
      <c r="M24" s="56">
        <f>SUM(C24:L24)</f>
        <v>2027440</v>
      </c>
      <c r="N24" s="204">
        <v>1989440</v>
      </c>
      <c r="O24" s="53">
        <f t="shared" si="1"/>
        <v>-38000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45766</v>
      </c>
      <c r="C25" s="192"/>
      <c r="D25" s="191"/>
      <c r="E25" s="192"/>
      <c r="F25" s="191">
        <f>3000</f>
        <v>3000</v>
      </c>
      <c r="G25" s="192">
        <f>250000</f>
        <v>250000</v>
      </c>
      <c r="H25" s="191">
        <f>1500+6500+926000+2000+100000+360000+30000</f>
        <v>1426000</v>
      </c>
      <c r="I25" s="192"/>
      <c r="J25" s="191"/>
      <c r="K25" s="192"/>
      <c r="L25" s="191">
        <f>3000+9000+85950+7000</f>
        <v>104950</v>
      </c>
      <c r="M25" s="176">
        <f t="shared" si="2"/>
        <v>1783950</v>
      </c>
      <c r="N25" s="208">
        <v>1753950</v>
      </c>
      <c r="O25" s="178">
        <f t="shared" si="1"/>
        <v>-30000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45767</v>
      </c>
      <c r="C26" s="192"/>
      <c r="D26" s="191"/>
      <c r="E26" s="192"/>
      <c r="F26" s="191"/>
      <c r="G26" s="192">
        <f>75</f>
        <v>75</v>
      </c>
      <c r="H26" s="191">
        <f>500000+1004000+742000+500000+3000+58500</f>
        <v>2807500</v>
      </c>
      <c r="I26" s="192"/>
      <c r="J26" s="191"/>
      <c r="K26" s="192"/>
      <c r="L26" s="191">
        <f>9000</f>
        <v>9000</v>
      </c>
      <c r="M26" s="56">
        <f t="shared" si="2"/>
        <v>2816575</v>
      </c>
      <c r="N26" s="205">
        <v>2758075</v>
      </c>
      <c r="O26" s="53">
        <f t="shared" si="1"/>
        <v>-58500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45768</v>
      </c>
      <c r="C27" s="192"/>
      <c r="D27" s="191"/>
      <c r="E27" s="192">
        <f>650000</f>
        <v>650000</v>
      </c>
      <c r="F27" s="191"/>
      <c r="G27" s="192">
        <f>365000+550000</f>
        <v>915000</v>
      </c>
      <c r="H27" s="191">
        <f>3000+450000+1500+838000+3000+494000+250000+505000+5000</f>
        <v>2549500</v>
      </c>
      <c r="I27" s="192"/>
      <c r="J27" s="198">
        <f>7110</f>
        <v>7110</v>
      </c>
      <c r="K27" s="192"/>
      <c r="L27" s="191">
        <f>42000+21600+9000</f>
        <v>72600</v>
      </c>
      <c r="M27" s="176">
        <f t="shared" si="2"/>
        <v>4194210</v>
      </c>
      <c r="N27" s="215">
        <v>4189210</v>
      </c>
      <c r="O27" s="181">
        <f>N27-M27</f>
        <v>-5000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45769</v>
      </c>
      <c r="C28" s="192"/>
      <c r="D28" s="191"/>
      <c r="E28" s="192">
        <f>910000</f>
        <v>910000</v>
      </c>
      <c r="F28" s="191">
        <f>905000</f>
        <v>905000</v>
      </c>
      <c r="G28" s="192">
        <f>2000+12000+15000</f>
        <v>29000</v>
      </c>
      <c r="H28" s="191">
        <f>1200000+300000+4000+2500+500000+6000+75500</f>
        <v>2088000</v>
      </c>
      <c r="I28" s="192"/>
      <c r="J28" s="191">
        <f>15000+4200</f>
        <v>19200</v>
      </c>
      <c r="K28" s="192"/>
      <c r="L28" s="191">
        <f>169725</f>
        <v>169725</v>
      </c>
      <c r="M28" s="156">
        <f t="shared" si="2"/>
        <v>4120925</v>
      </c>
      <c r="N28" s="207">
        <f>2853700+1191725</f>
        <v>4045425</v>
      </c>
      <c r="O28" s="155">
        <f t="shared" si="1"/>
        <v>-75500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45770</v>
      </c>
      <c r="C29" s="192"/>
      <c r="D29" s="191"/>
      <c r="E29" s="192"/>
      <c r="F29" s="191">
        <f>1230000</f>
        <v>1230000</v>
      </c>
      <c r="G29" s="192">
        <f>750000+60000+750000</f>
        <v>1560000</v>
      </c>
      <c r="H29" s="191">
        <f>15000+1500+600000+50000</f>
        <v>666500</v>
      </c>
      <c r="I29" s="192"/>
      <c r="J29" s="191">
        <f>3500</f>
        <v>3500</v>
      </c>
      <c r="K29" s="192">
        <f>45000</f>
        <v>45000</v>
      </c>
      <c r="L29" s="191">
        <f>39500</f>
        <v>39500</v>
      </c>
      <c r="M29" s="56">
        <f t="shared" si="2"/>
        <v>3544500</v>
      </c>
      <c r="N29" s="205">
        <v>3494500</v>
      </c>
      <c r="O29" s="53">
        <f t="shared" si="1"/>
        <v>-50000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45771</v>
      </c>
      <c r="C30" s="199"/>
      <c r="D30" s="202"/>
      <c r="E30" s="192">
        <f>630000</f>
        <v>630000</v>
      </c>
      <c r="F30" s="191">
        <f>805000</f>
        <v>805000</v>
      </c>
      <c r="G30" s="192"/>
      <c r="H30" s="191">
        <f>360000+585000+440000+700000+12000</f>
        <v>2097000</v>
      </c>
      <c r="I30" s="192"/>
      <c r="J30" s="191"/>
      <c r="K30" s="199">
        <f>10000</f>
        <v>10000</v>
      </c>
      <c r="L30" s="198">
        <f>17500+3000</f>
        <v>20500</v>
      </c>
      <c r="M30" s="56">
        <f t="shared" si="2"/>
        <v>3562500</v>
      </c>
      <c r="N30" s="204">
        <v>3550500</v>
      </c>
      <c r="O30" s="155">
        <f t="shared" si="1"/>
        <v>-12000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45772</v>
      </c>
      <c r="C31" s="201"/>
      <c r="D31" s="190"/>
      <c r="E31" s="189">
        <f>5000</f>
        <v>5000</v>
      </c>
      <c r="F31" s="190">
        <f>15000</f>
        <v>15000</v>
      </c>
      <c r="G31" s="187">
        <f>5000+390000+440000</f>
        <v>835000</v>
      </c>
      <c r="H31" s="190">
        <f>550000+45000+120000+680000+514150+1500-20000+10000</f>
        <v>1900650</v>
      </c>
      <c r="I31" s="189"/>
      <c r="J31" s="190">
        <f>21873</f>
        <v>21873</v>
      </c>
      <c r="K31" s="189">
        <f>2000</f>
        <v>2000</v>
      </c>
      <c r="L31" s="190">
        <f>98000+6000</f>
        <v>104000</v>
      </c>
      <c r="M31" s="56">
        <f t="shared" si="2"/>
        <v>2883523</v>
      </c>
      <c r="N31" s="204">
        <v>2873523</v>
      </c>
      <c r="O31" s="53">
        <f t="shared" si="1"/>
        <v>-10000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45773</v>
      </c>
      <c r="C32" s="192"/>
      <c r="D32" s="191"/>
      <c r="E32" s="192"/>
      <c r="F32" s="191"/>
      <c r="G32" s="192">
        <f>475000+385000</f>
        <v>860000</v>
      </c>
      <c r="H32" s="191">
        <f>900000+340000+702000+350000+373000+500000+40000</f>
        <v>3205000</v>
      </c>
      <c r="I32" s="199"/>
      <c r="J32" s="191">
        <f>95000</f>
        <v>95000</v>
      </c>
      <c r="K32" s="192">
        <f>3000</f>
        <v>3000</v>
      </c>
      <c r="L32" s="191">
        <f>165500</f>
        <v>165500</v>
      </c>
      <c r="M32" s="156">
        <f t="shared" si="2"/>
        <v>4328500</v>
      </c>
      <c r="N32" s="207">
        <v>4288500</v>
      </c>
      <c r="O32" s="155">
        <f t="shared" si="1"/>
        <v>-40000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45774</v>
      </c>
      <c r="C33" s="192"/>
      <c r="D33" s="191"/>
      <c r="E33" s="192"/>
      <c r="F33" s="191"/>
      <c r="G33" s="192">
        <f>3000</f>
        <v>3000</v>
      </c>
      <c r="H33" s="191">
        <f>440000+431500+876000+243000+43000</f>
        <v>2033500</v>
      </c>
      <c r="I33" s="192"/>
      <c r="J33" s="191"/>
      <c r="K33" s="192"/>
      <c r="L33" s="191">
        <f>3000+3000</f>
        <v>6000</v>
      </c>
      <c r="M33" s="56">
        <f t="shared" si="2"/>
        <v>2042500</v>
      </c>
      <c r="N33" s="204">
        <v>1999500</v>
      </c>
      <c r="O33" s="53">
        <f t="shared" si="1"/>
        <v>-43000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45775</v>
      </c>
      <c r="C34" s="192"/>
      <c r="D34" s="200"/>
      <c r="E34" s="192"/>
      <c r="F34" s="191"/>
      <c r="G34" s="199">
        <f>5000+390000+1500+920000</f>
        <v>1316500</v>
      </c>
      <c r="H34" s="198">
        <f>590000+360000+2000+50000+6000+460000-440000+60000</f>
        <v>1088000</v>
      </c>
      <c r="I34" s="199"/>
      <c r="J34" s="198">
        <f>6500+5000</f>
        <v>11500</v>
      </c>
      <c r="K34" s="199">
        <f>6000+88000</f>
        <v>94000</v>
      </c>
      <c r="L34" s="198">
        <f>95000+9000</f>
        <v>104000</v>
      </c>
      <c r="M34" s="156">
        <f>SUM(C34:L34)</f>
        <v>2614000</v>
      </c>
      <c r="N34" s="207">
        <f>2554000</f>
        <v>2554000</v>
      </c>
      <c r="O34" s="53">
        <f t="shared" si="1"/>
        <v>-60000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45776</v>
      </c>
      <c r="C35" s="192"/>
      <c r="D35" s="200"/>
      <c r="E35" s="192"/>
      <c r="F35" s="191">
        <f>500000</f>
        <v>500000</v>
      </c>
      <c r="G35" s="192">
        <f>850000+2000</f>
        <v>852000</v>
      </c>
      <c r="H35" s="191">
        <f>800000+24000+10000+200000+25000</f>
        <v>1059000</v>
      </c>
      <c r="I35" s="192"/>
      <c r="J35" s="191"/>
      <c r="K35" s="192">
        <f>22800+66000</f>
        <v>88800</v>
      </c>
      <c r="L35" s="191">
        <f>77600</f>
        <v>77600</v>
      </c>
      <c r="M35" s="56">
        <f t="shared" si="2"/>
        <v>2577400</v>
      </c>
      <c r="N35" s="206">
        <v>2552400</v>
      </c>
      <c r="O35" s="55">
        <f t="shared" si="1"/>
        <v>-25000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45777</v>
      </c>
      <c r="C36" s="192"/>
      <c r="D36" s="200"/>
      <c r="E36" s="192"/>
      <c r="F36" s="191">
        <f>1395000</f>
        <v>1395000</v>
      </c>
      <c r="G36" s="192">
        <f>320000</f>
        <v>320000</v>
      </c>
      <c r="H36" s="191">
        <f>5000+400000+250000+350000+450000-890000+10000</f>
        <v>575000</v>
      </c>
      <c r="I36" s="192">
        <f>15000</f>
        <v>15000</v>
      </c>
      <c r="J36" s="191">
        <f>11500</f>
        <v>11500</v>
      </c>
      <c r="K36" s="192">
        <f>9000</f>
        <v>9000</v>
      </c>
      <c r="L36" s="191">
        <f>6000+24500</f>
        <v>30500</v>
      </c>
      <c r="M36" s="56">
        <f t="shared" si="2"/>
        <v>2356000</v>
      </c>
      <c r="N36" s="206">
        <v>2346000</v>
      </c>
      <c r="O36" s="55">
        <f t="shared" si="1"/>
        <v>-10000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/>
      <c r="I37" s="192"/>
      <c r="J37" s="191"/>
      <c r="K37" s="192"/>
      <c r="L37" s="191"/>
      <c r="M37" s="56">
        <f t="shared" si="2"/>
        <v>0</v>
      </c>
      <c r="N37" s="206"/>
      <c r="O37" s="55">
        <f t="shared" si="1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2410000</v>
      </c>
      <c r="D39" s="25">
        <f>SUM(D7:D38)</f>
        <v>5069000</v>
      </c>
      <c r="E39" s="24">
        <f t="shared" ref="E39:K39" si="3">SUM(E7:E38)</f>
        <v>5290000</v>
      </c>
      <c r="F39" s="59">
        <f t="shared" si="3"/>
        <v>9318000</v>
      </c>
      <c r="G39" s="24">
        <f t="shared" si="3"/>
        <v>16716720</v>
      </c>
      <c r="H39" s="25">
        <f>SUM(H7:H38)</f>
        <v>43405980</v>
      </c>
      <c r="I39" s="24">
        <f t="shared" si="3"/>
        <v>195000</v>
      </c>
      <c r="J39" s="25">
        <f>SUM(J7:J38)</f>
        <v>602110</v>
      </c>
      <c r="K39" s="24">
        <f t="shared" si="3"/>
        <v>412250</v>
      </c>
      <c r="L39" s="25">
        <f>SUM(L7:L38)</f>
        <v>2056075</v>
      </c>
      <c r="M39" s="28">
        <f>SUM(M7:M38)</f>
        <v>85475135</v>
      </c>
      <c r="N39" s="27">
        <f>SUM(N7:N38)</f>
        <v>84485635</v>
      </c>
      <c r="O39" s="26">
        <f>N39-M39</f>
        <v>-989500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7479000</v>
      </c>
      <c r="D40" s="282"/>
      <c r="E40" s="267">
        <f>SUM(E39:F39)</f>
        <v>14608000</v>
      </c>
      <c r="F40" s="269"/>
      <c r="G40" s="281">
        <f>SUM(G39:H39)</f>
        <v>60122700</v>
      </c>
      <c r="H40" s="282"/>
      <c r="I40" s="267">
        <f>SUM(I39:J39)</f>
        <v>797110</v>
      </c>
      <c r="J40" s="268"/>
      <c r="K40" s="281">
        <f>SUM(K39:L39)</f>
        <v>2468325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45747</v>
      </c>
      <c r="C45" s="203">
        <v>0</v>
      </c>
      <c r="D45" s="14"/>
      <c r="E45" s="203">
        <v>0</v>
      </c>
      <c r="F45" s="14"/>
      <c r="G45" s="203">
        <v>0</v>
      </c>
      <c r="H45" s="14">
        <v>1031000</v>
      </c>
      <c r="I45" s="203"/>
      <c r="J45" s="14"/>
      <c r="K45" s="134"/>
      <c r="L45" s="14">
        <v>172500</v>
      </c>
      <c r="M45" s="203">
        <v>0</v>
      </c>
      <c r="N45" s="203">
        <f>F45+H45+J45+L45</f>
        <v>1203500</v>
      </c>
      <c r="O45" s="203">
        <f>N45-M45</f>
        <v>1203500</v>
      </c>
      <c r="P45" s="85">
        <v>45748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45777</v>
      </c>
      <c r="C48" s="203">
        <v>0</v>
      </c>
      <c r="D48" s="14"/>
      <c r="E48" s="203">
        <v>0</v>
      </c>
      <c r="F48" s="14">
        <v>1395000</v>
      </c>
      <c r="G48" s="203">
        <v>0</v>
      </c>
      <c r="H48" s="14">
        <v>575000</v>
      </c>
      <c r="I48" s="203">
        <v>0</v>
      </c>
      <c r="J48" s="14"/>
      <c r="K48" s="134">
        <v>0</v>
      </c>
      <c r="L48" s="14">
        <v>30500</v>
      </c>
      <c r="M48" s="203"/>
      <c r="N48" s="203">
        <f>F48+H48+J48+L48</f>
        <v>2000500</v>
      </c>
      <c r="O48" s="203">
        <f>N48-M48</f>
        <v>2000500</v>
      </c>
      <c r="P48" s="151">
        <v>45778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-1395000</v>
      </c>
      <c r="F50" s="263"/>
      <c r="G50" s="262">
        <f>H45+H46-H47-H48</f>
        <v>456000</v>
      </c>
      <c r="H50" s="263"/>
      <c r="I50" s="262">
        <f>J45+J46-J47-J48</f>
        <v>0</v>
      </c>
      <c r="J50" s="263"/>
      <c r="K50" s="262">
        <f>L45+L46-L47-L48</f>
        <v>142000</v>
      </c>
      <c r="L50" s="263"/>
    </row>
    <row r="51" spans="2:28" x14ac:dyDescent="0.25">
      <c r="B51" s="288" t="s">
        <v>12</v>
      </c>
      <c r="C51" s="288"/>
      <c r="D51" s="212">
        <f>D39+D50</f>
        <v>5069000</v>
      </c>
      <c r="E51" s="289">
        <f>F39+E50</f>
        <v>7923000</v>
      </c>
      <c r="F51" s="290"/>
      <c r="G51" s="289">
        <f>H39+G50</f>
        <v>43861980</v>
      </c>
      <c r="H51" s="290"/>
      <c r="I51" s="291">
        <f>J39+I50</f>
        <v>602110</v>
      </c>
      <c r="J51" s="292"/>
      <c r="K51" s="289">
        <f>L39+K50</f>
        <v>2198075</v>
      </c>
      <c r="L51" s="290"/>
    </row>
    <row r="52" spans="2:28" s="42" customFormat="1" x14ac:dyDescent="0.25">
      <c r="B52" s="257" t="s">
        <v>17</v>
      </c>
      <c r="C52" s="257"/>
      <c r="D52" s="283">
        <f>SUM(D51:L51)</f>
        <v>59654165</v>
      </c>
      <c r="E52" s="283"/>
      <c r="F52" s="283"/>
      <c r="G52" s="283"/>
      <c r="H52" s="283"/>
      <c r="I52" s="213"/>
      <c r="J52" s="213"/>
      <c r="K52" s="213"/>
      <c r="L52" s="213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45021.224950000003</v>
      </c>
      <c r="P54" s="87"/>
      <c r="S54">
        <v>8.5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25023970</v>
      </c>
      <c r="D55" s="149">
        <f>D39+H39+F39+J39+L39</f>
        <v>60451165</v>
      </c>
      <c r="E55" s="58"/>
      <c r="F55" s="58"/>
      <c r="M55" s="63" t="s">
        <v>25</v>
      </c>
      <c r="N55" s="64">
        <f>N59*S55/100</f>
        <v>70339.043215999991</v>
      </c>
      <c r="P55" s="88"/>
      <c r="S55">
        <v>13.28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85475135</v>
      </c>
      <c r="D56" s="285"/>
      <c r="E56" s="57"/>
      <c r="F56" s="57"/>
      <c r="M56" s="63" t="s">
        <v>28</v>
      </c>
      <c r="N56" s="64">
        <f>N59*S56/100</f>
        <v>389460.07889100001</v>
      </c>
      <c r="R56" s="87"/>
      <c r="S56">
        <v>73.53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5349.5808470000002</v>
      </c>
      <c r="S57">
        <v>1.01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19491.542096000001</v>
      </c>
      <c r="S58">
        <v>3.68</v>
      </c>
      <c r="Y58" s="4"/>
      <c r="AA58" s="78"/>
      <c r="AB58" s="68"/>
    </row>
    <row r="59" spans="2:28" x14ac:dyDescent="0.25">
      <c r="J59" t="s">
        <v>3</v>
      </c>
      <c r="N59" s="64">
        <v>529661.47</v>
      </c>
      <c r="O59" s="211"/>
      <c r="S59" s="68">
        <f>SUM(S54:S58)</f>
        <v>100.00000000000001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84678135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72"/>
  <sheetViews>
    <sheetView workbookViewId="0">
      <selection activeCell="D3" sqref="D3:G3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138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45778</v>
      </c>
      <c r="C7" s="192"/>
      <c r="D7" s="191"/>
      <c r="E7" s="192">
        <f>5000</f>
        <v>5000</v>
      </c>
      <c r="F7" s="191">
        <f>655035</f>
        <v>655035</v>
      </c>
      <c r="G7" s="193">
        <f>360000+60000</f>
        <v>420000</v>
      </c>
      <c r="H7" s="194">
        <f>690000+420000+490000+120000+1500+250000+30000</f>
        <v>2001500</v>
      </c>
      <c r="I7" s="193"/>
      <c r="J7" s="194">
        <f>5000+3500</f>
        <v>8500</v>
      </c>
      <c r="K7" s="193">
        <f>3000</f>
        <v>3000</v>
      </c>
      <c r="L7" s="194">
        <f>59500+3000</f>
        <v>62500</v>
      </c>
      <c r="M7" s="56">
        <f>SUM(C7:L7)</f>
        <v>3155535</v>
      </c>
      <c r="N7" s="205">
        <v>3125535</v>
      </c>
      <c r="O7" s="53">
        <f>N7-M7</f>
        <v>-30000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7" si="0">B7+1</f>
        <v>45779</v>
      </c>
      <c r="C8" s="195"/>
      <c r="D8" s="191"/>
      <c r="E8" s="192">
        <f>5000</f>
        <v>5000</v>
      </c>
      <c r="F8" s="191">
        <f>28035</f>
        <v>28035</v>
      </c>
      <c r="G8" s="195">
        <f>490000+390000</f>
        <v>880000</v>
      </c>
      <c r="H8" s="191">
        <f>274900+440075+500000+470000+15000+300000+30000</f>
        <v>2029975</v>
      </c>
      <c r="I8" s="195"/>
      <c r="J8" s="191"/>
      <c r="K8" s="195">
        <f>43000</f>
        <v>43000</v>
      </c>
      <c r="L8" s="191">
        <f>6000+21000</f>
        <v>27000</v>
      </c>
      <c r="M8" s="56">
        <f>SUM(C8:L8)</f>
        <v>3013010</v>
      </c>
      <c r="N8" s="205">
        <v>2983010</v>
      </c>
      <c r="O8" s="53">
        <f t="shared" ref="O8:O37" si="1">N8-M8</f>
        <v>-30000</v>
      </c>
      <c r="Z8" s="78"/>
      <c r="AB8" s="68"/>
    </row>
    <row r="9" spans="2:28" x14ac:dyDescent="0.25">
      <c r="B9" s="15">
        <f t="shared" si="0"/>
        <v>45780</v>
      </c>
      <c r="C9" s="192"/>
      <c r="D9" s="196"/>
      <c r="E9" s="192"/>
      <c r="F9" s="191"/>
      <c r="G9" s="192">
        <f>550000+380000+4000+10000+10000</f>
        <v>954000</v>
      </c>
      <c r="H9" s="191">
        <f>300000+1836000+2000+330000+10000</f>
        <v>2478000</v>
      </c>
      <c r="I9" s="192"/>
      <c r="J9" s="191"/>
      <c r="K9" s="192">
        <f>12000</f>
        <v>12000</v>
      </c>
      <c r="L9" s="191">
        <f>6000+18000</f>
        <v>24000</v>
      </c>
      <c r="M9" s="56">
        <f>SUM(C9:L9)</f>
        <v>3468000</v>
      </c>
      <c r="N9" s="204">
        <v>3468000</v>
      </c>
      <c r="O9" s="53">
        <f t="shared" si="1"/>
        <v>0</v>
      </c>
      <c r="P9" s="101"/>
      <c r="Z9" s="78"/>
      <c r="AB9" s="68"/>
    </row>
    <row r="10" spans="2:28" x14ac:dyDescent="0.25">
      <c r="B10" s="15">
        <f t="shared" si="0"/>
        <v>45781</v>
      </c>
      <c r="C10" s="192"/>
      <c r="D10" s="196"/>
      <c r="E10" s="192"/>
      <c r="F10" s="191"/>
      <c r="G10" s="192">
        <f>550000</f>
        <v>550000</v>
      </c>
      <c r="H10" s="191">
        <f>17000+430000+6000+3500</f>
        <v>456500</v>
      </c>
      <c r="I10" s="192"/>
      <c r="J10" s="191"/>
      <c r="K10" s="192">
        <f>14000</f>
        <v>14000</v>
      </c>
      <c r="L10" s="191">
        <f>32000+3000</f>
        <v>35000</v>
      </c>
      <c r="M10" s="56">
        <f>SUM(C10:L10)</f>
        <v>1055500</v>
      </c>
      <c r="N10" s="204">
        <v>1052000</v>
      </c>
      <c r="O10" s="53">
        <f>N10-M10</f>
        <v>-3500</v>
      </c>
      <c r="P10" s="101"/>
      <c r="Z10" s="78"/>
      <c r="AB10" s="68"/>
    </row>
    <row r="11" spans="2:28" x14ac:dyDescent="0.25">
      <c r="B11" s="15">
        <f t="shared" si="0"/>
        <v>45782</v>
      </c>
      <c r="C11" s="195">
        <f>9500</f>
        <v>9500</v>
      </c>
      <c r="D11" s="191">
        <f>16000</f>
        <v>16000</v>
      </c>
      <c r="E11" s="192"/>
      <c r="F11" s="191"/>
      <c r="G11" s="195">
        <f>75</f>
        <v>75</v>
      </c>
      <c r="H11" s="195">
        <f>21000+538000+1500+25000+3000+10000</f>
        <v>598500</v>
      </c>
      <c r="I11" s="195"/>
      <c r="J11" s="191"/>
      <c r="K11" s="195">
        <f>10000</f>
        <v>10000</v>
      </c>
      <c r="L11" s="191">
        <f>12000+33500</f>
        <v>45500</v>
      </c>
      <c r="M11" s="56">
        <f>SUM(C11:L11)</f>
        <v>679575</v>
      </c>
      <c r="N11" s="205">
        <v>669575</v>
      </c>
      <c r="O11" s="53">
        <f>N11-M11</f>
        <v>-10000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45783</v>
      </c>
      <c r="C12" s="192">
        <f>1000000</f>
        <v>1000000</v>
      </c>
      <c r="D12" s="191"/>
      <c r="E12" s="192"/>
      <c r="F12" s="191">
        <f>580000</f>
        <v>580000</v>
      </c>
      <c r="G12" s="192">
        <f>2000</f>
        <v>2000</v>
      </c>
      <c r="H12" s="191">
        <f>10000+290000+8000+400000+19875+42000</f>
        <v>769875</v>
      </c>
      <c r="I12" s="192">
        <f>9625</f>
        <v>9625</v>
      </c>
      <c r="J12" s="191"/>
      <c r="K12" s="192"/>
      <c r="L12" s="191">
        <f>112000+70450</f>
        <v>182450</v>
      </c>
      <c r="M12" s="56">
        <f t="shared" ref="M12:M38" si="2">SUM(C12:L12)</f>
        <v>2543950</v>
      </c>
      <c r="N12" s="205">
        <v>2501950</v>
      </c>
      <c r="O12" s="53">
        <f>N12-M12</f>
        <v>-42000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45784</v>
      </c>
      <c r="C13" s="192">
        <f>1000000</f>
        <v>1000000</v>
      </c>
      <c r="D13" s="191">
        <f>28000</f>
        <v>28000</v>
      </c>
      <c r="E13" s="192">
        <f>5035</f>
        <v>5035</v>
      </c>
      <c r="F13" s="191">
        <f>21000+10000</f>
        <v>31000</v>
      </c>
      <c r="G13" s="192">
        <f>550000</f>
        <v>550000</v>
      </c>
      <c r="H13" s="191">
        <f>12000+350000+2500+400000+30000</f>
        <v>794500</v>
      </c>
      <c r="I13" s="192"/>
      <c r="J13" s="191">
        <f>6500</f>
        <v>6500</v>
      </c>
      <c r="K13" s="192"/>
      <c r="L13" s="191">
        <f>38300+658+5500</f>
        <v>44458</v>
      </c>
      <c r="M13" s="56">
        <f t="shared" si="2"/>
        <v>2459493</v>
      </c>
      <c r="N13" s="205">
        <v>2419493</v>
      </c>
      <c r="O13" s="53">
        <f>N13-M13</f>
        <v>-40000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45785</v>
      </c>
      <c r="C14" s="192"/>
      <c r="D14" s="191">
        <f>3000+100</f>
        <v>3100</v>
      </c>
      <c r="E14" s="192"/>
      <c r="F14" s="191"/>
      <c r="G14" s="192">
        <f>530000+400000</f>
        <v>930000</v>
      </c>
      <c r="H14" s="191">
        <f>15000+150000+35000</f>
        <v>200000</v>
      </c>
      <c r="I14" s="192"/>
      <c r="J14" s="191">
        <f>4900</f>
        <v>4900</v>
      </c>
      <c r="K14" s="192">
        <f>3000</f>
        <v>3000</v>
      </c>
      <c r="L14" s="191">
        <f>80450</f>
        <v>80450</v>
      </c>
      <c r="M14" s="56">
        <f t="shared" si="2"/>
        <v>1221450</v>
      </c>
      <c r="N14" s="204">
        <v>1186450</v>
      </c>
      <c r="O14" s="53">
        <f>N14-M14</f>
        <v>-35000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45786</v>
      </c>
      <c r="C15" s="192"/>
      <c r="D15" s="200"/>
      <c r="E15" s="192"/>
      <c r="F15" s="191"/>
      <c r="G15" s="192"/>
      <c r="H15" s="191">
        <f>100000+390000+290000+3000</f>
        <v>783000</v>
      </c>
      <c r="I15" s="192"/>
      <c r="J15" s="191">
        <f>3500</f>
        <v>3500</v>
      </c>
      <c r="K15" s="192"/>
      <c r="L15" s="191"/>
      <c r="M15" s="56">
        <f t="shared" si="2"/>
        <v>786500</v>
      </c>
      <c r="N15" s="204">
        <v>786500</v>
      </c>
      <c r="O15" s="53">
        <f t="shared" si="1"/>
        <v>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45787</v>
      </c>
      <c r="C16" s="197"/>
      <c r="D16" s="191"/>
      <c r="E16" s="192"/>
      <c r="F16" s="191"/>
      <c r="G16" s="197">
        <f>5000</f>
        <v>5000</v>
      </c>
      <c r="H16" s="191">
        <f>200000+414000+13000</f>
        <v>627000</v>
      </c>
      <c r="I16" s="195"/>
      <c r="J16" s="191"/>
      <c r="K16" s="195"/>
      <c r="L16" s="191">
        <f>3500</f>
        <v>3500</v>
      </c>
      <c r="M16" s="56">
        <f t="shared" si="2"/>
        <v>635500</v>
      </c>
      <c r="N16" s="205">
        <v>622500</v>
      </c>
      <c r="O16" s="53">
        <f t="shared" si="1"/>
        <v>-13000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45788</v>
      </c>
      <c r="C17" s="216"/>
      <c r="D17" s="217"/>
      <c r="E17" s="218"/>
      <c r="F17" s="219"/>
      <c r="G17" s="216">
        <f>672000</f>
        <v>672000</v>
      </c>
      <c r="H17" s="219">
        <f>6000+1000000-500000+932000+6000+950000+340000+18000</f>
        <v>2752000</v>
      </c>
      <c r="I17" s="216"/>
      <c r="J17" s="219"/>
      <c r="K17" s="216"/>
      <c r="L17" s="219">
        <f>35800</f>
        <v>35800</v>
      </c>
      <c r="M17" s="56">
        <f t="shared" si="2"/>
        <v>3459800</v>
      </c>
      <c r="N17" s="208">
        <f>3441800</f>
        <v>3441800</v>
      </c>
      <c r="O17" s="53">
        <f t="shared" si="1"/>
        <v>-18000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45789</v>
      </c>
      <c r="C18" s="195">
        <f>167000</f>
        <v>167000</v>
      </c>
      <c r="D18" s="191">
        <f>7000</f>
        <v>7000</v>
      </c>
      <c r="E18" s="192"/>
      <c r="F18" s="191"/>
      <c r="G18" s="195">
        <f>195000+3000</f>
        <v>198000</v>
      </c>
      <c r="H18" s="191">
        <f>1500+858000+350000+5000+78500</f>
        <v>1293000</v>
      </c>
      <c r="I18" s="195">
        <f>8500</f>
        <v>8500</v>
      </c>
      <c r="J18" s="191">
        <f>14100+15000</f>
        <v>29100</v>
      </c>
      <c r="K18" s="195">
        <f>2400</f>
        <v>2400</v>
      </c>
      <c r="L18" s="191">
        <f>25250+175500</f>
        <v>200750</v>
      </c>
      <c r="M18" s="176">
        <f t="shared" si="2"/>
        <v>1905750</v>
      </c>
      <c r="N18" s="210">
        <v>1827250</v>
      </c>
      <c r="O18" s="178">
        <f t="shared" si="1"/>
        <v>-78500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45790</v>
      </c>
      <c r="C19" s="192">
        <f>600000</f>
        <v>600000</v>
      </c>
      <c r="D19" s="191">
        <f>807000</f>
        <v>807000</v>
      </c>
      <c r="E19" s="192">
        <f>100</f>
        <v>100</v>
      </c>
      <c r="F19" s="191">
        <f>740000</f>
        <v>740000</v>
      </c>
      <c r="G19" s="192">
        <f>4000</f>
        <v>4000</v>
      </c>
      <c r="H19" s="191">
        <f>250000+90400+420000+53500+53500</f>
        <v>867400</v>
      </c>
      <c r="I19" s="192">
        <f>4500</f>
        <v>4500</v>
      </c>
      <c r="J19" s="191">
        <f>7500</f>
        <v>7500</v>
      </c>
      <c r="K19" s="192">
        <f>66000</f>
        <v>66000</v>
      </c>
      <c r="L19" s="191"/>
      <c r="M19" s="56">
        <f>SUM(C19:L19)</f>
        <v>3096500</v>
      </c>
      <c r="N19" s="205">
        <v>3043000</v>
      </c>
      <c r="O19" s="53">
        <f t="shared" si="1"/>
        <v>-53500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45791</v>
      </c>
      <c r="C20" s="192"/>
      <c r="D20" s="188"/>
      <c r="E20" s="192">
        <f>5000</f>
        <v>5000</v>
      </c>
      <c r="F20" s="191"/>
      <c r="G20" s="192">
        <f>41000+400000</f>
        <v>441000</v>
      </c>
      <c r="H20" s="191">
        <f>75000+5000+150000+7000+215000+3000+15000</f>
        <v>470000</v>
      </c>
      <c r="I20" s="192"/>
      <c r="J20" s="191">
        <f>6500</f>
        <v>6500</v>
      </c>
      <c r="K20" s="192"/>
      <c r="L20" s="191">
        <f>6500</f>
        <v>6500</v>
      </c>
      <c r="M20" s="56">
        <f t="shared" si="2"/>
        <v>929000</v>
      </c>
      <c r="N20" s="205">
        <v>914000</v>
      </c>
      <c r="O20" s="53">
        <f t="shared" si="1"/>
        <v>-15000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45792</v>
      </c>
      <c r="C21" s="192">
        <f>2750000-1660000</f>
        <v>1090000</v>
      </c>
      <c r="D21" s="191">
        <f>750000-90000</f>
        <v>660000</v>
      </c>
      <c r="E21" s="192">
        <f>5000</f>
        <v>5000</v>
      </c>
      <c r="F21" s="191">
        <f>95000</f>
        <v>95000</v>
      </c>
      <c r="G21" s="192"/>
      <c r="H21" s="191">
        <f>250000+150000+565000+400000+3500</f>
        <v>1368500</v>
      </c>
      <c r="I21" s="192"/>
      <c r="J21" s="191">
        <f>6500+4900+4500+6500</f>
        <v>22400</v>
      </c>
      <c r="K21" s="192">
        <f>96800</f>
        <v>96800</v>
      </c>
      <c r="L21" s="191">
        <f>10500</f>
        <v>10500</v>
      </c>
      <c r="M21" s="56">
        <f t="shared" si="2"/>
        <v>3348200</v>
      </c>
      <c r="N21" s="207">
        <v>3344700</v>
      </c>
      <c r="O21" s="155">
        <f t="shared" si="1"/>
        <v>-3500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45793</v>
      </c>
      <c r="C22" s="192"/>
      <c r="D22" s="191">
        <f>440000</f>
        <v>440000</v>
      </c>
      <c r="E22" s="192"/>
      <c r="F22" s="191">
        <f>5000+20000</f>
        <v>25000</v>
      </c>
      <c r="G22" s="192"/>
      <c r="H22" s="191">
        <f>7000+280000+200000+700000+532000+350000+60500</f>
        <v>2129500</v>
      </c>
      <c r="I22" s="192"/>
      <c r="J22" s="191"/>
      <c r="K22" s="189"/>
      <c r="L22" s="190"/>
      <c r="M22" s="56">
        <f t="shared" si="2"/>
        <v>2594500</v>
      </c>
      <c r="N22" s="205">
        <v>2514000</v>
      </c>
      <c r="O22" s="53">
        <f t="shared" si="1"/>
        <v>-80500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45794</v>
      </c>
      <c r="C23" s="192"/>
      <c r="D23" s="191"/>
      <c r="E23" s="192"/>
      <c r="F23" s="191">
        <f>20000</f>
        <v>20000</v>
      </c>
      <c r="G23" s="192">
        <f>2075+435000</f>
        <v>437075</v>
      </c>
      <c r="H23" s="191">
        <f>620000+710000+598000+150000+3000+15000+375000+1220000+4500</f>
        <v>3695500</v>
      </c>
      <c r="I23" s="192"/>
      <c r="J23" s="191"/>
      <c r="K23" s="192">
        <f>37500</f>
        <v>37500</v>
      </c>
      <c r="L23" s="191">
        <f>211420</f>
        <v>211420</v>
      </c>
      <c r="M23" s="56">
        <f t="shared" si="2"/>
        <v>4401495</v>
      </c>
      <c r="N23" s="205">
        <v>4376995</v>
      </c>
      <c r="O23" s="155">
        <f t="shared" si="1"/>
        <v>-24500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45795</v>
      </c>
      <c r="C24" s="195"/>
      <c r="D24" s="191">
        <f>800000</f>
        <v>800000</v>
      </c>
      <c r="E24" s="192"/>
      <c r="F24" s="191">
        <f>5000</f>
        <v>5000</v>
      </c>
      <c r="G24" s="195">
        <f>490000</f>
        <v>490000</v>
      </c>
      <c r="H24" s="191">
        <f>12000+320000+100000+412000+150000+1500+350000+450000+15000</f>
        <v>1810500</v>
      </c>
      <c r="I24" s="195">
        <f>3500+20000</f>
        <v>23500</v>
      </c>
      <c r="J24" s="191">
        <f>17500+90000</f>
        <v>107500</v>
      </c>
      <c r="K24" s="195">
        <f>77000</f>
        <v>77000</v>
      </c>
      <c r="L24" s="191">
        <f>189000-84500</f>
        <v>104500</v>
      </c>
      <c r="M24" s="56">
        <f>SUM(C24:L24)</f>
        <v>3418000</v>
      </c>
      <c r="N24" s="204">
        <v>3398000</v>
      </c>
      <c r="O24" s="53">
        <f t="shared" si="1"/>
        <v>-20000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45796</v>
      </c>
      <c r="C25" s="192">
        <f>7000+4000</f>
        <v>11000</v>
      </c>
      <c r="D25" s="191">
        <f>14000</f>
        <v>14000</v>
      </c>
      <c r="E25" s="192"/>
      <c r="F25" s="191">
        <f>750000+20000</f>
        <v>770000</v>
      </c>
      <c r="G25" s="192">
        <f>1500+500000+2000</f>
        <v>503500</v>
      </c>
      <c r="H25" s="191">
        <f>200+800000+8000+350000+21000+400000+70000+1500+30000+56000</f>
        <v>1736700</v>
      </c>
      <c r="I25" s="192"/>
      <c r="J25" s="191">
        <f>8500</f>
        <v>8500</v>
      </c>
      <c r="K25" s="192">
        <f>52500</f>
        <v>52500</v>
      </c>
      <c r="L25" s="191">
        <f>142700+3500</f>
        <v>146200</v>
      </c>
      <c r="M25" s="176">
        <f t="shared" si="2"/>
        <v>3242400</v>
      </c>
      <c r="N25" s="208">
        <v>3166400</v>
      </c>
      <c r="O25" s="178">
        <f t="shared" si="1"/>
        <v>-76000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45797</v>
      </c>
      <c r="C26" s="192">
        <f>1200000</f>
        <v>1200000</v>
      </c>
      <c r="D26" s="191"/>
      <c r="E26" s="192">
        <f>5000</f>
        <v>5000</v>
      </c>
      <c r="F26" s="191"/>
      <c r="G26" s="192">
        <f>75+939000+2000</f>
        <v>941075</v>
      </c>
      <c r="H26" s="191">
        <f>180000+24000+900000+78000</f>
        <v>1182000</v>
      </c>
      <c r="I26" s="192"/>
      <c r="J26" s="191">
        <f>12600+1400</f>
        <v>14000</v>
      </c>
      <c r="K26" s="192">
        <f>7000</f>
        <v>7000</v>
      </c>
      <c r="L26" s="191">
        <f>62500</f>
        <v>62500</v>
      </c>
      <c r="M26" s="56">
        <f t="shared" si="2"/>
        <v>3411575</v>
      </c>
      <c r="N26" s="205">
        <v>3333575</v>
      </c>
      <c r="O26" s="53">
        <f t="shared" si="1"/>
        <v>-78000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45798</v>
      </c>
      <c r="C27" s="192"/>
      <c r="D27" s="191">
        <f>907000</f>
        <v>907000</v>
      </c>
      <c r="E27" s="192"/>
      <c r="F27" s="191">
        <f>10000</f>
        <v>10000</v>
      </c>
      <c r="G27" s="192"/>
      <c r="H27" s="191">
        <f>423500+117400+170000+2000+100000+410000+530000+65000</f>
        <v>1817900</v>
      </c>
      <c r="I27" s="192"/>
      <c r="J27" s="198">
        <f>2100</f>
        <v>2100</v>
      </c>
      <c r="K27" s="192"/>
      <c r="L27" s="191">
        <f>39100</f>
        <v>39100</v>
      </c>
      <c r="M27" s="176">
        <f t="shared" si="2"/>
        <v>2776100</v>
      </c>
      <c r="N27" s="209">
        <v>2711100</v>
      </c>
      <c r="O27" s="181">
        <f>N27-M27</f>
        <v>-65000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45799</v>
      </c>
      <c r="C28" s="192"/>
      <c r="D28" s="191">
        <f>1000000</f>
        <v>1000000</v>
      </c>
      <c r="E28" s="192">
        <f>200000</f>
        <v>200000</v>
      </c>
      <c r="F28" s="191">
        <f>150000</f>
        <v>150000</v>
      </c>
      <c r="G28" s="192"/>
      <c r="H28" s="191">
        <f>200000+400000+120000+2000+3500+45000</f>
        <v>770500</v>
      </c>
      <c r="I28" s="192"/>
      <c r="J28" s="191">
        <f>6500+16400+6500+15000</f>
        <v>44400</v>
      </c>
      <c r="K28" s="192"/>
      <c r="L28" s="191">
        <f>73400</f>
        <v>73400</v>
      </c>
      <c r="M28" s="156">
        <f t="shared" si="2"/>
        <v>2238300</v>
      </c>
      <c r="N28" s="207">
        <v>2193300</v>
      </c>
      <c r="O28" s="155">
        <f t="shared" si="1"/>
        <v>-45000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45800</v>
      </c>
      <c r="C29" s="192"/>
      <c r="D29" s="191">
        <f>3900</f>
        <v>3900</v>
      </c>
      <c r="E29" s="192"/>
      <c r="F29" s="191">
        <f>670000</f>
        <v>670000</v>
      </c>
      <c r="G29" s="192">
        <f>750000+420000+1500+15000</f>
        <v>1186500</v>
      </c>
      <c r="H29" s="191">
        <f>300000+1500+850000+5000+330000+30000+550000+25000</f>
        <v>2091500</v>
      </c>
      <c r="I29" s="192"/>
      <c r="J29" s="191">
        <f>6450+3500+22500</f>
        <v>32450</v>
      </c>
      <c r="K29" s="192">
        <f>70500+3500</f>
        <v>74000</v>
      </c>
      <c r="L29" s="191">
        <f>4000+24000+21000</f>
        <v>49000</v>
      </c>
      <c r="M29" s="56">
        <f t="shared" si="2"/>
        <v>4107350</v>
      </c>
      <c r="N29" s="205">
        <v>4082350</v>
      </c>
      <c r="O29" s="53">
        <f t="shared" si="1"/>
        <v>-25000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45801</v>
      </c>
      <c r="C30" s="199"/>
      <c r="D30" s="202"/>
      <c r="E30" s="192"/>
      <c r="F30" s="191"/>
      <c r="G30" s="192">
        <f>452000</f>
        <v>452000</v>
      </c>
      <c r="H30" s="191">
        <f>350000+500000+992000+450000+20000</f>
        <v>2312000</v>
      </c>
      <c r="I30" s="192">
        <f>5000</f>
        <v>5000</v>
      </c>
      <c r="J30" s="191">
        <f>25000+10000+17500</f>
        <v>52500</v>
      </c>
      <c r="K30" s="199"/>
      <c r="L30" s="198">
        <f>3500+29500</f>
        <v>33000</v>
      </c>
      <c r="M30" s="56">
        <f t="shared" si="2"/>
        <v>2854500</v>
      </c>
      <c r="N30" s="204">
        <v>2834500</v>
      </c>
      <c r="O30" s="155">
        <f t="shared" si="1"/>
        <v>-20000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45802</v>
      </c>
      <c r="C31" s="201"/>
      <c r="D31" s="190"/>
      <c r="E31" s="189"/>
      <c r="F31" s="190"/>
      <c r="G31" s="187">
        <f>330000+452000</f>
        <v>782000</v>
      </c>
      <c r="H31" s="190">
        <f>350000+100000+490000+25000</f>
        <v>965000</v>
      </c>
      <c r="I31" s="189"/>
      <c r="J31" s="190"/>
      <c r="K31" s="189"/>
      <c r="L31" s="190">
        <f>14000</f>
        <v>14000</v>
      </c>
      <c r="M31" s="56">
        <f t="shared" si="2"/>
        <v>1761000</v>
      </c>
      <c r="N31" s="204">
        <v>1736000</v>
      </c>
      <c r="O31" s="53">
        <f t="shared" si="1"/>
        <v>-25000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45803</v>
      </c>
      <c r="C32" s="192"/>
      <c r="D32" s="191"/>
      <c r="E32" s="192"/>
      <c r="F32" s="191">
        <f>10900</f>
        <v>10900</v>
      </c>
      <c r="G32" s="192">
        <f>350000+750000+360000+3000</f>
        <v>1463000</v>
      </c>
      <c r="H32" s="191">
        <f>350000+2000+2000+125000+560000-10000+38000</f>
        <v>1067000</v>
      </c>
      <c r="I32" s="199"/>
      <c r="J32" s="191">
        <f>6500</f>
        <v>6500</v>
      </c>
      <c r="K32" s="192">
        <f>2400</f>
        <v>2400</v>
      </c>
      <c r="L32" s="191">
        <f>73200</f>
        <v>73200</v>
      </c>
      <c r="M32" s="156">
        <f t="shared" si="2"/>
        <v>2623000</v>
      </c>
      <c r="N32" s="207">
        <v>2585000</v>
      </c>
      <c r="O32" s="155">
        <f t="shared" si="1"/>
        <v>-38000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45804</v>
      </c>
      <c r="C33" s="192"/>
      <c r="D33" s="191">
        <f>700000</f>
        <v>700000</v>
      </c>
      <c r="E33" s="192">
        <f>205000</f>
        <v>205000</v>
      </c>
      <c r="F33" s="191">
        <f>500000</f>
        <v>500000</v>
      </c>
      <c r="G33" s="192">
        <f>250000+7000+1500</f>
        <v>258500</v>
      </c>
      <c r="H33" s="191">
        <f>3000+350000+407000+135000+57000</f>
        <v>952000</v>
      </c>
      <c r="I33" s="192">
        <f>4200</f>
        <v>4200</v>
      </c>
      <c r="J33" s="191">
        <f>10000</f>
        <v>10000</v>
      </c>
      <c r="K33" s="192"/>
      <c r="L33" s="191">
        <f>20000</f>
        <v>20000</v>
      </c>
      <c r="M33" s="56">
        <f t="shared" si="2"/>
        <v>2649700</v>
      </c>
      <c r="N33" s="204">
        <v>2592700</v>
      </c>
      <c r="O33" s="53">
        <f t="shared" si="1"/>
        <v>-57000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45805</v>
      </c>
      <c r="C34" s="192">
        <f>14000</f>
        <v>14000</v>
      </c>
      <c r="D34" s="191">
        <f>857000</f>
        <v>857000</v>
      </c>
      <c r="E34" s="192"/>
      <c r="F34" s="191">
        <f>5000</f>
        <v>5000</v>
      </c>
      <c r="G34" s="199">
        <f>650000</f>
        <v>650000</v>
      </c>
      <c r="H34" s="198">
        <f>583500+350000+350000+3500+5000+25000</f>
        <v>1317000</v>
      </c>
      <c r="I34" s="199"/>
      <c r="J34" s="198">
        <f>4900+15000</f>
        <v>19900</v>
      </c>
      <c r="K34" s="199">
        <f>83000</f>
        <v>83000</v>
      </c>
      <c r="L34" s="198">
        <f>36800</f>
        <v>36800</v>
      </c>
      <c r="M34" s="156">
        <f>SUM(C34:L34)</f>
        <v>2982700</v>
      </c>
      <c r="N34" s="207">
        <v>2977700</v>
      </c>
      <c r="O34" s="53">
        <f t="shared" si="1"/>
        <v>-5000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45806</v>
      </c>
      <c r="C35" s="192"/>
      <c r="D35" s="200"/>
      <c r="E35" s="192">
        <f>5000</f>
        <v>5000</v>
      </c>
      <c r="F35" s="191">
        <f>5000+850000</f>
        <v>855000</v>
      </c>
      <c r="G35" s="192">
        <f>75+126075+400000</f>
        <v>526150</v>
      </c>
      <c r="H35" s="191">
        <f>500000+150000+446000+327000-12000-30000+20000</f>
        <v>1401000</v>
      </c>
      <c r="I35" s="192"/>
      <c r="J35" s="191">
        <f>3300+2000</f>
        <v>5300</v>
      </c>
      <c r="K35" s="192">
        <f>45500</f>
        <v>45500</v>
      </c>
      <c r="L35" s="191">
        <f>10500</f>
        <v>10500</v>
      </c>
      <c r="M35" s="56">
        <f t="shared" si="2"/>
        <v>2848450</v>
      </c>
      <c r="N35" s="206">
        <v>2828450</v>
      </c>
      <c r="O35" s="55">
        <f t="shared" si="1"/>
        <v>-20000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0"/>
        <v>45807</v>
      </c>
      <c r="C36" s="192"/>
      <c r="D36" s="200"/>
      <c r="E36" s="192"/>
      <c r="F36" s="191">
        <f>5000</f>
        <v>5000</v>
      </c>
      <c r="G36" s="192">
        <f>480000+403500</f>
        <v>883500</v>
      </c>
      <c r="H36" s="191">
        <f>350000+400000+1410000+220000+15000+25000</f>
        <v>2420000</v>
      </c>
      <c r="I36" s="192"/>
      <c r="J36" s="191"/>
      <c r="K36" s="192">
        <f>24225+33500</f>
        <v>57725</v>
      </c>
      <c r="L36" s="191">
        <f>6500+18500+183000</f>
        <v>208000</v>
      </c>
      <c r="M36" s="56">
        <f t="shared" si="2"/>
        <v>3574225</v>
      </c>
      <c r="N36" s="206">
        <v>3549225</v>
      </c>
      <c r="O36" s="55">
        <f t="shared" si="1"/>
        <v>-25000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 t="shared" si="0"/>
        <v>45808</v>
      </c>
      <c r="C37" s="192"/>
      <c r="D37" s="200"/>
      <c r="E37" s="192"/>
      <c r="F37" s="191"/>
      <c r="G37" s="192">
        <f>350000</f>
        <v>350000</v>
      </c>
      <c r="H37" s="191">
        <f>6000+893000+424000+330000+13500</f>
        <v>1666500</v>
      </c>
      <c r="I37" s="192"/>
      <c r="J37" s="191"/>
      <c r="K37" s="192"/>
      <c r="L37" s="191">
        <f>21350</f>
        <v>21350</v>
      </c>
      <c r="M37" s="56">
        <f t="shared" si="2"/>
        <v>2037850</v>
      </c>
      <c r="N37" s="206">
        <v>2024350</v>
      </c>
      <c r="O37" s="55">
        <f t="shared" si="1"/>
        <v>-13500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 t="shared" si="2"/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5091500</v>
      </c>
      <c r="D39" s="25">
        <f>SUM(D7:D38)</f>
        <v>6243000</v>
      </c>
      <c r="E39" s="24">
        <f t="shared" ref="E39:K39" si="3">SUM(E7:E38)</f>
        <v>440135</v>
      </c>
      <c r="F39" s="59">
        <f t="shared" si="3"/>
        <v>5154970</v>
      </c>
      <c r="G39" s="24">
        <f t="shared" si="3"/>
        <v>14529375</v>
      </c>
      <c r="H39" s="25">
        <f>SUM(H7:H38)</f>
        <v>44824350</v>
      </c>
      <c r="I39" s="24">
        <f t="shared" si="3"/>
        <v>55325</v>
      </c>
      <c r="J39" s="25">
        <f>SUM(J7:J38)</f>
        <v>392050</v>
      </c>
      <c r="K39" s="24">
        <f t="shared" si="3"/>
        <v>686825</v>
      </c>
      <c r="L39" s="25">
        <f>SUM(L7:L38)</f>
        <v>1861378</v>
      </c>
      <c r="M39" s="28">
        <f>SUM(M7:M38)</f>
        <v>79278908</v>
      </c>
      <c r="N39" s="27">
        <f>SUM(N7:N38)</f>
        <v>78289408</v>
      </c>
      <c r="O39" s="26">
        <f>N39-M39</f>
        <v>-989500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11334500</v>
      </c>
      <c r="D40" s="282"/>
      <c r="E40" s="267">
        <f>SUM(E39:F39)</f>
        <v>5595105</v>
      </c>
      <c r="F40" s="269"/>
      <c r="G40" s="281">
        <f>SUM(G39:H39)</f>
        <v>59353725</v>
      </c>
      <c r="H40" s="282"/>
      <c r="I40" s="267">
        <f>SUM(I39:J39)</f>
        <v>447375</v>
      </c>
      <c r="J40" s="268"/>
      <c r="K40" s="281">
        <f>SUM(K39:L39)</f>
        <v>2548203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45777</v>
      </c>
      <c r="C45" s="203">
        <v>0</v>
      </c>
      <c r="D45" s="14"/>
      <c r="E45" s="203">
        <v>0</v>
      </c>
      <c r="F45" s="14">
        <v>1395000</v>
      </c>
      <c r="G45" s="203">
        <v>0</v>
      </c>
      <c r="H45" s="14">
        <v>575000</v>
      </c>
      <c r="I45" s="203"/>
      <c r="J45" s="14"/>
      <c r="K45" s="134"/>
      <c r="L45" s="14">
        <v>30500</v>
      </c>
      <c r="M45" s="203">
        <v>0</v>
      </c>
      <c r="N45" s="203">
        <f>F45+H45+J45+L45</f>
        <v>2000500</v>
      </c>
      <c r="O45" s="203">
        <f>N45-M45</f>
        <v>2000500</v>
      </c>
      <c r="P45" s="85">
        <v>45778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45808</v>
      </c>
      <c r="C48" s="203">
        <v>0</v>
      </c>
      <c r="D48" s="14"/>
      <c r="E48" s="203">
        <v>0</v>
      </c>
      <c r="F48" s="14"/>
      <c r="G48" s="203">
        <v>0</v>
      </c>
      <c r="H48" s="14">
        <v>1666500</v>
      </c>
      <c r="I48" s="203">
        <v>0</v>
      </c>
      <c r="J48" s="14"/>
      <c r="K48" s="134">
        <v>0</v>
      </c>
      <c r="L48" s="14">
        <v>21350</v>
      </c>
      <c r="M48" s="203"/>
      <c r="N48" s="203">
        <f>F48+H48+J48+L48</f>
        <v>1687850</v>
      </c>
      <c r="O48" s="203">
        <f>N48-M48</f>
        <v>1687850</v>
      </c>
      <c r="P48" s="151">
        <v>45809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1395000</v>
      </c>
      <c r="F50" s="263"/>
      <c r="G50" s="262">
        <f>H45+H46-H47-H48</f>
        <v>-1091500</v>
      </c>
      <c r="H50" s="263"/>
      <c r="I50" s="262">
        <f>J45+J46-J47-J48</f>
        <v>0</v>
      </c>
      <c r="J50" s="263"/>
      <c r="K50" s="262">
        <f>L45+L46-L47-L48</f>
        <v>9150</v>
      </c>
      <c r="L50" s="263"/>
    </row>
    <row r="51" spans="2:28" x14ac:dyDescent="0.25">
      <c r="B51" s="288" t="s">
        <v>12</v>
      </c>
      <c r="C51" s="288"/>
      <c r="D51" s="212">
        <f>D39+D50</f>
        <v>6243000</v>
      </c>
      <c r="E51" s="289">
        <f>F39+E50</f>
        <v>6549970</v>
      </c>
      <c r="F51" s="290"/>
      <c r="G51" s="289">
        <f>H39+G50</f>
        <v>43732850</v>
      </c>
      <c r="H51" s="290"/>
      <c r="I51" s="291">
        <f>J39+I50</f>
        <v>392050</v>
      </c>
      <c r="J51" s="292"/>
      <c r="K51" s="289">
        <f>L39+K50</f>
        <v>1870528</v>
      </c>
      <c r="L51" s="290"/>
    </row>
    <row r="52" spans="2:28" s="42" customFormat="1" x14ac:dyDescent="0.25">
      <c r="B52" s="257" t="s">
        <v>17</v>
      </c>
      <c r="C52" s="257"/>
      <c r="D52" s="283">
        <f>SUM(D51:L51)</f>
        <v>58788398</v>
      </c>
      <c r="E52" s="283"/>
      <c r="F52" s="283"/>
      <c r="G52" s="283"/>
      <c r="H52" s="283"/>
      <c r="I52" s="214"/>
      <c r="J52" s="214"/>
      <c r="K52" s="214"/>
      <c r="L52" s="214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56516.698260000005</v>
      </c>
      <c r="P54" s="87"/>
      <c r="S54">
        <v>10.62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20803160</v>
      </c>
      <c r="D55" s="149">
        <f>D39+H39+F39+J39+L39</f>
        <v>58475748</v>
      </c>
      <c r="E55" s="58"/>
      <c r="F55" s="58"/>
      <c r="M55" s="63" t="s">
        <v>25</v>
      </c>
      <c r="N55" s="64">
        <f>N59*S55/100</f>
        <v>59283.994220000015</v>
      </c>
      <c r="P55" s="88"/>
      <c r="S55">
        <v>11.14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79278908</v>
      </c>
      <c r="D56" s="285"/>
      <c r="E56" s="57"/>
      <c r="F56" s="57"/>
      <c r="M56" s="63" t="s">
        <v>28</v>
      </c>
      <c r="N56" s="64">
        <f>N59*S56/100</f>
        <v>395882.97397000005</v>
      </c>
      <c r="R56" s="87"/>
      <c r="S56">
        <v>74.39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3565.5544100000006</v>
      </c>
      <c r="S57">
        <v>0.67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16923.079140000002</v>
      </c>
      <c r="S58">
        <v>3.18</v>
      </c>
      <c r="Y58" s="4"/>
      <c r="AA58" s="78"/>
      <c r="AB58" s="68"/>
    </row>
    <row r="59" spans="2:28" x14ac:dyDescent="0.25">
      <c r="J59" t="s">
        <v>3</v>
      </c>
      <c r="N59" s="64">
        <v>532172.30000000005</v>
      </c>
      <c r="O59" s="211"/>
      <c r="S59" s="68">
        <f>SUM(S54:S58)</f>
        <v>100.00000000000001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79591558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72"/>
  <sheetViews>
    <sheetView topLeftCell="A25" workbookViewId="0">
      <selection activeCell="T20" sqref="T20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139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45809</v>
      </c>
      <c r="C7" s="192"/>
      <c r="D7" s="191"/>
      <c r="E7" s="192"/>
      <c r="F7" s="191"/>
      <c r="G7" s="193">
        <f>75+630000</f>
        <v>630075</v>
      </c>
      <c r="H7" s="194">
        <f>500000+10000</f>
        <v>510000</v>
      </c>
      <c r="I7" s="193"/>
      <c r="J7" s="194">
        <f>75</f>
        <v>75</v>
      </c>
      <c r="K7" s="193"/>
      <c r="L7" s="194">
        <f>61400</f>
        <v>61400</v>
      </c>
      <c r="M7" s="56">
        <f t="shared" ref="M7:M13" si="0">SUM(C7:L7)</f>
        <v>1201550</v>
      </c>
      <c r="N7" s="205">
        <v>1191550</v>
      </c>
      <c r="O7" s="53">
        <f>N7-M7</f>
        <v>-10000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6" si="1">B7+1</f>
        <v>45810</v>
      </c>
      <c r="C8" s="195"/>
      <c r="D8" s="191"/>
      <c r="E8" s="192"/>
      <c r="F8" s="191"/>
      <c r="G8" s="195">
        <f>452000</f>
        <v>452000</v>
      </c>
      <c r="H8" s="191">
        <f>492000+3500+904000+500000+80000+50000</f>
        <v>2029500</v>
      </c>
      <c r="I8" s="195">
        <f>3500</f>
        <v>3500</v>
      </c>
      <c r="J8" s="191">
        <f>16500</f>
        <v>16500</v>
      </c>
      <c r="K8" s="195">
        <f>21600</f>
        <v>21600</v>
      </c>
      <c r="L8" s="191">
        <f>102900</f>
        <v>102900</v>
      </c>
      <c r="M8" s="56">
        <f t="shared" si="0"/>
        <v>2626000</v>
      </c>
      <c r="N8" s="205">
        <v>2576000</v>
      </c>
      <c r="O8" s="53">
        <f t="shared" ref="O8:O37" si="2">N8-M8</f>
        <v>-50000</v>
      </c>
      <c r="Z8" s="78"/>
      <c r="AB8" s="68"/>
    </row>
    <row r="9" spans="2:28" x14ac:dyDescent="0.25">
      <c r="B9" s="15">
        <f t="shared" si="1"/>
        <v>45811</v>
      </c>
      <c r="C9" s="192"/>
      <c r="D9" s="196"/>
      <c r="E9" s="192">
        <f>1930000</f>
        <v>1930000</v>
      </c>
      <c r="F9" s="191">
        <v>200000</v>
      </c>
      <c r="G9" s="192">
        <f>2075</f>
        <v>2075</v>
      </c>
      <c r="H9" s="191">
        <f>10000+4000+954000+350000+600000+55000-200000</f>
        <v>1773000</v>
      </c>
      <c r="I9" s="192"/>
      <c r="J9" s="191">
        <f>6500</f>
        <v>6500</v>
      </c>
      <c r="K9" s="192"/>
      <c r="L9" s="191">
        <f>11650</f>
        <v>11650</v>
      </c>
      <c r="M9" s="56">
        <f t="shared" si="0"/>
        <v>3923225</v>
      </c>
      <c r="N9" s="204">
        <v>3868225</v>
      </c>
      <c r="O9" s="53">
        <f t="shared" si="2"/>
        <v>-55000</v>
      </c>
      <c r="P9" s="101"/>
      <c r="Z9" s="78"/>
      <c r="AB9" s="68"/>
    </row>
    <row r="10" spans="2:28" x14ac:dyDescent="0.25">
      <c r="B10" s="15">
        <f t="shared" si="1"/>
        <v>45812</v>
      </c>
      <c r="C10" s="192">
        <f>7000</f>
        <v>7000</v>
      </c>
      <c r="D10" s="196">
        <f>14000</f>
        <v>14000</v>
      </c>
      <c r="E10" s="192">
        <f>100</f>
        <v>100</v>
      </c>
      <c r="F10" s="191">
        <f>8500</f>
        <v>8500</v>
      </c>
      <c r="G10" s="192">
        <f>525000+1290000+1500</f>
        <v>1816500</v>
      </c>
      <c r="H10" s="191">
        <f>75000+3000+66500</f>
        <v>144500</v>
      </c>
      <c r="I10" s="192">
        <f>3500</f>
        <v>3500</v>
      </c>
      <c r="J10" s="191">
        <f>24900+10500</f>
        <v>35400</v>
      </c>
      <c r="K10" s="192">
        <f>66</f>
        <v>66</v>
      </c>
      <c r="L10" s="191">
        <f>82500</f>
        <v>82500</v>
      </c>
      <c r="M10" s="56">
        <f t="shared" si="0"/>
        <v>2112066</v>
      </c>
      <c r="N10" s="204">
        <v>2045566</v>
      </c>
      <c r="O10" s="53">
        <f>N10-M10</f>
        <v>-66500</v>
      </c>
      <c r="P10" s="101"/>
      <c r="Z10" s="78"/>
      <c r="AB10" s="68"/>
    </row>
    <row r="11" spans="2:28" x14ac:dyDescent="0.25">
      <c r="B11" s="15">
        <f t="shared" si="1"/>
        <v>45813</v>
      </c>
      <c r="C11" s="195"/>
      <c r="D11" s="191">
        <f>100</f>
        <v>100</v>
      </c>
      <c r="E11" s="192"/>
      <c r="F11" s="191">
        <f>1200000</f>
        <v>1200000</v>
      </c>
      <c r="G11" s="195">
        <f>385000</f>
        <v>385000</v>
      </c>
      <c r="H11" s="195">
        <f>1272+1500+5000+400000+380000+500000+5000</f>
        <v>1292772</v>
      </c>
      <c r="I11" s="195"/>
      <c r="J11" s="191">
        <f>10000+36940</f>
        <v>46940</v>
      </c>
      <c r="K11" s="195"/>
      <c r="L11" s="191">
        <f>19800</f>
        <v>19800</v>
      </c>
      <c r="M11" s="56">
        <f t="shared" si="0"/>
        <v>2944612</v>
      </c>
      <c r="N11" s="205">
        <v>2939612</v>
      </c>
      <c r="O11" s="53">
        <f>N11-M11</f>
        <v>-5000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45814</v>
      </c>
      <c r="C12" s="192"/>
      <c r="D12" s="191"/>
      <c r="E12" s="192">
        <f>3500</f>
        <v>3500</v>
      </c>
      <c r="F12" s="191">
        <f>3500</f>
        <v>3500</v>
      </c>
      <c r="G12" s="192">
        <f>400000+440000+1050000+335000+5000</f>
        <v>2230000</v>
      </c>
      <c r="H12" s="191">
        <f>380000+400000+5000+H135000+4500</f>
        <v>789500</v>
      </c>
      <c r="I12" s="192">
        <f>14000+3500+3500+30000+3500</f>
        <v>54500</v>
      </c>
      <c r="J12" s="191">
        <f>10500+5000+19715</f>
        <v>35215</v>
      </c>
      <c r="K12" s="192"/>
      <c r="L12" s="191"/>
      <c r="M12" s="56">
        <f t="shared" si="0"/>
        <v>3116215</v>
      </c>
      <c r="N12" s="205">
        <v>3111715</v>
      </c>
      <c r="O12" s="53">
        <f>N12-M12</f>
        <v>-4500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45815</v>
      </c>
      <c r="C13" s="192"/>
      <c r="D13" s="191"/>
      <c r="E13" s="192"/>
      <c r="F13" s="191"/>
      <c r="G13" s="192">
        <f>1234000</f>
        <v>1234000</v>
      </c>
      <c r="H13" s="191">
        <f>33500+370000+410000+344000+150000+1500+550000+65000</f>
        <v>1924000</v>
      </c>
      <c r="I13" s="192"/>
      <c r="J13" s="191">
        <f>9000+3500</f>
        <v>12500</v>
      </c>
      <c r="K13" s="192">
        <f>66000</f>
        <v>66000</v>
      </c>
      <c r="L13" s="191">
        <f>206500</f>
        <v>206500</v>
      </c>
      <c r="M13" s="56">
        <f t="shared" si="0"/>
        <v>3443000</v>
      </c>
      <c r="N13" s="205">
        <v>3378000</v>
      </c>
      <c r="O13" s="53">
        <f>N13-M13</f>
        <v>-65000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45816</v>
      </c>
      <c r="C14" s="192"/>
      <c r="D14" s="191"/>
      <c r="E14" s="192"/>
      <c r="F14" s="191"/>
      <c r="G14" s="192">
        <f>100000+75</f>
        <v>100075</v>
      </c>
      <c r="H14" s="191">
        <f>350000+2000+1030000+135000+32000</f>
        <v>1549000</v>
      </c>
      <c r="I14" s="192">
        <f>30000+3500</f>
        <v>33500</v>
      </c>
      <c r="J14" s="191">
        <f>23400</f>
        <v>23400</v>
      </c>
      <c r="K14" s="192">
        <f>9500</f>
        <v>9500</v>
      </c>
      <c r="L14" s="191">
        <f>30000</f>
        <v>30000</v>
      </c>
      <c r="M14" s="56">
        <f t="shared" ref="M14:M36" si="3">SUM(C14:L14)</f>
        <v>1745475</v>
      </c>
      <c r="N14" s="204">
        <v>1713475</v>
      </c>
      <c r="O14" s="53">
        <f>N14-M14</f>
        <v>-32000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45817</v>
      </c>
      <c r="C15" s="192"/>
      <c r="D15" s="200"/>
      <c r="E15" s="192"/>
      <c r="F15" s="191"/>
      <c r="G15" s="192">
        <f>270000+5000+400000+2000</f>
        <v>677000</v>
      </c>
      <c r="H15" s="191">
        <f>380000+80000+3000+500000+3000+5000+3000+2000+3000+24000+3000+5000+2000+430000+3500+1500+5000+33000</f>
        <v>1486000</v>
      </c>
      <c r="I15" s="192">
        <f>3000</f>
        <v>3000</v>
      </c>
      <c r="J15" s="191">
        <f>3500+3500+6500+5000</f>
        <v>18500</v>
      </c>
      <c r="K15" s="192"/>
      <c r="L15" s="191">
        <f>2000+51500</f>
        <v>53500</v>
      </c>
      <c r="M15" s="56">
        <f t="shared" si="3"/>
        <v>2238000</v>
      </c>
      <c r="N15" s="204">
        <v>2205000</v>
      </c>
      <c r="O15" s="53">
        <f t="shared" si="2"/>
        <v>-33000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45818</v>
      </c>
      <c r="C16" s="197"/>
      <c r="D16" s="191"/>
      <c r="E16" s="192"/>
      <c r="F16" s="191">
        <f>65000</f>
        <v>65000</v>
      </c>
      <c r="G16" s="197">
        <f>520000+150000+592075+1500</f>
        <v>1263575</v>
      </c>
      <c r="H16" s="191">
        <f>200000+11000+120000+47000</f>
        <v>378000</v>
      </c>
      <c r="I16" s="195"/>
      <c r="J16" s="191">
        <f>19500+6500+16680</f>
        <v>42680</v>
      </c>
      <c r="K16" s="195">
        <f>23000</f>
        <v>23000</v>
      </c>
      <c r="L16" s="191">
        <f>93000</f>
        <v>93000</v>
      </c>
      <c r="M16" s="56">
        <f t="shared" si="3"/>
        <v>1865255</v>
      </c>
      <c r="N16" s="205">
        <v>1818255</v>
      </c>
      <c r="O16" s="53">
        <f t="shared" si="2"/>
        <v>-47000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45819</v>
      </c>
      <c r="C17" s="216"/>
      <c r="D17" s="217"/>
      <c r="E17" s="218">
        <f>169000</f>
        <v>169000</v>
      </c>
      <c r="F17" s="219"/>
      <c r="G17" s="216">
        <f>400000+213000+1500</f>
        <v>614500</v>
      </c>
      <c r="H17" s="219">
        <f>746000+243000+215000+13000</f>
        <v>1217000</v>
      </c>
      <c r="I17" s="216">
        <f>20000</f>
        <v>20000</v>
      </c>
      <c r="J17" s="219"/>
      <c r="K17" s="216"/>
      <c r="L17" s="219">
        <f>7000</f>
        <v>7000</v>
      </c>
      <c r="M17" s="176">
        <f t="shared" si="3"/>
        <v>2027500</v>
      </c>
      <c r="N17" s="208">
        <v>2014500</v>
      </c>
      <c r="O17" s="53">
        <f t="shared" si="2"/>
        <v>-13000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45820</v>
      </c>
      <c r="C18" s="195"/>
      <c r="D18" s="191"/>
      <c r="E18" s="192"/>
      <c r="F18" s="191">
        <f>205000</f>
        <v>205000</v>
      </c>
      <c r="G18" s="195">
        <f>350000+390000+3000</f>
        <v>743000</v>
      </c>
      <c r="H18" s="191">
        <f>3500+770000+260000+15000+11000</f>
        <v>1059500</v>
      </c>
      <c r="I18" s="195"/>
      <c r="J18" s="191">
        <f>14000</f>
        <v>14000</v>
      </c>
      <c r="K18" s="195"/>
      <c r="L18" s="191">
        <f>19550+3500</f>
        <v>23050</v>
      </c>
      <c r="M18" s="176">
        <f t="shared" si="3"/>
        <v>2044550</v>
      </c>
      <c r="N18" s="210">
        <v>2033550</v>
      </c>
      <c r="O18" s="178">
        <f t="shared" si="2"/>
        <v>-11000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45821</v>
      </c>
      <c r="C19" s="192"/>
      <c r="D19" s="191"/>
      <c r="E19" s="192"/>
      <c r="F19" s="191">
        <f>10000</f>
        <v>10000</v>
      </c>
      <c r="G19" s="192">
        <f>400000+5000</f>
        <v>405000</v>
      </c>
      <c r="H19" s="191">
        <f>35000+1650000+6500+10000</f>
        <v>1701500</v>
      </c>
      <c r="I19" s="192"/>
      <c r="J19" s="191"/>
      <c r="K19" s="192"/>
      <c r="L19" s="191">
        <f>74000+3500</f>
        <v>77500</v>
      </c>
      <c r="M19" s="56">
        <f>SUM(C19:L19)</f>
        <v>2194000</v>
      </c>
      <c r="N19" s="205">
        <v>2184000</v>
      </c>
      <c r="O19" s="53">
        <f t="shared" si="2"/>
        <v>-10000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45822</v>
      </c>
      <c r="C20" s="192"/>
      <c r="D20" s="188"/>
      <c r="E20" s="192"/>
      <c r="F20" s="191"/>
      <c r="G20" s="192">
        <f>350000+410000</f>
        <v>760000</v>
      </c>
      <c r="H20" s="191">
        <f>19400+3500+630000+800000-400000+25000</f>
        <v>1077900</v>
      </c>
      <c r="I20" s="192"/>
      <c r="J20" s="191">
        <f>15000</f>
        <v>15000</v>
      </c>
      <c r="K20" s="192"/>
      <c r="L20" s="191"/>
      <c r="M20" s="56">
        <f t="shared" si="3"/>
        <v>1852900</v>
      </c>
      <c r="N20" s="205">
        <v>1827900</v>
      </c>
      <c r="O20" s="53">
        <f t="shared" si="2"/>
        <v>-25000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45823</v>
      </c>
      <c r="C21" s="192"/>
      <c r="D21" s="191"/>
      <c r="E21" s="192"/>
      <c r="F21" s="191"/>
      <c r="G21" s="192">
        <f>50000+400000</f>
        <v>450000</v>
      </c>
      <c r="H21" s="191">
        <f>682000+120000+3500+500000+3500+30000</f>
        <v>1339000</v>
      </c>
      <c r="I21" s="192"/>
      <c r="J21" s="191">
        <f>30000+6500</f>
        <v>36500</v>
      </c>
      <c r="K21" s="192"/>
      <c r="L21" s="191"/>
      <c r="M21" s="56">
        <f t="shared" si="3"/>
        <v>1825500</v>
      </c>
      <c r="N21" s="207">
        <f>1795500</f>
        <v>1795500</v>
      </c>
      <c r="O21" s="155">
        <f t="shared" si="2"/>
        <v>-30000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45824</v>
      </c>
      <c r="C22" s="192"/>
      <c r="D22" s="200"/>
      <c r="E22" s="192"/>
      <c r="F22" s="191"/>
      <c r="G22" s="192">
        <f>800000+5000+360000</f>
        <v>1165000</v>
      </c>
      <c r="H22" s="191">
        <f>350000+400000+435000+75+3000+351500+560000+25000</f>
        <v>2124575</v>
      </c>
      <c r="I22" s="192"/>
      <c r="J22" s="191">
        <f>8500+5208</f>
        <v>13708</v>
      </c>
      <c r="K22" s="189">
        <f>88000</f>
        <v>88000</v>
      </c>
      <c r="L22" s="190">
        <f>52400</f>
        <v>52400</v>
      </c>
      <c r="M22" s="56">
        <f t="shared" si="3"/>
        <v>3443683</v>
      </c>
      <c r="N22" s="205">
        <v>3418683</v>
      </c>
      <c r="O22" s="53">
        <f t="shared" si="2"/>
        <v>-25000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45825</v>
      </c>
      <c r="C23" s="192"/>
      <c r="D23" s="191"/>
      <c r="E23" s="192"/>
      <c r="F23" s="191">
        <f>1715000</f>
        <v>1715000</v>
      </c>
      <c r="G23" s="192">
        <f>17000</f>
        <v>17000</v>
      </c>
      <c r="H23" s="191">
        <f>400000+37000+400000+48000</f>
        <v>885000</v>
      </c>
      <c r="I23" s="192"/>
      <c r="J23" s="191">
        <f>33718+3500</f>
        <v>37218</v>
      </c>
      <c r="K23" s="192"/>
      <c r="L23" s="191">
        <f>16500</f>
        <v>16500</v>
      </c>
      <c r="M23" s="56">
        <f t="shared" si="3"/>
        <v>2670718</v>
      </c>
      <c r="N23" s="205">
        <v>2622718</v>
      </c>
      <c r="O23" s="155">
        <f t="shared" si="2"/>
        <v>-48000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45826</v>
      </c>
      <c r="C24" s="195"/>
      <c r="D24" s="191"/>
      <c r="E24" s="192">
        <f>160000</f>
        <v>160000</v>
      </c>
      <c r="F24" s="191">
        <f>510000</f>
        <v>510000</v>
      </c>
      <c r="G24" s="195">
        <f>380000+400000+380000+2000-110000</f>
        <v>1052000</v>
      </c>
      <c r="H24" s="191">
        <f>3000+1500+6000+71500</f>
        <v>82000</v>
      </c>
      <c r="I24" s="195"/>
      <c r="J24" s="191">
        <f>3500</f>
        <v>3500</v>
      </c>
      <c r="K24" s="195"/>
      <c r="L24" s="191">
        <f>64000+3500</f>
        <v>67500</v>
      </c>
      <c r="M24" s="56">
        <f>SUM(C24:L24)</f>
        <v>1875000</v>
      </c>
      <c r="N24" s="204">
        <f>1723500+80000</f>
        <v>1803500</v>
      </c>
      <c r="O24" s="53">
        <f t="shared" si="2"/>
        <v>-71500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45827</v>
      </c>
      <c r="C25" s="192"/>
      <c r="D25" s="191"/>
      <c r="E25" s="192">
        <f>5000</f>
        <v>5000</v>
      </c>
      <c r="F25" s="191">
        <f>480000</f>
        <v>480000</v>
      </c>
      <c r="G25" s="192">
        <f>1070000+1500</f>
        <v>1071500</v>
      </c>
      <c r="H25" s="191">
        <f>1500+5000+75000+1500+400000+52000</f>
        <v>535000</v>
      </c>
      <c r="I25" s="192">
        <f>22500</f>
        <v>22500</v>
      </c>
      <c r="J25" s="191">
        <f>6500</f>
        <v>6500</v>
      </c>
      <c r="K25" s="192">
        <f>27500</f>
        <v>27500</v>
      </c>
      <c r="L25" s="191">
        <f>10500+15000</f>
        <v>25500</v>
      </c>
      <c r="M25" s="176">
        <f t="shared" si="3"/>
        <v>2173500</v>
      </c>
      <c r="N25" s="208">
        <v>2121500</v>
      </c>
      <c r="O25" s="178">
        <f t="shared" si="2"/>
        <v>-52000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45828</v>
      </c>
      <c r="C26" s="192"/>
      <c r="D26" s="191"/>
      <c r="E26" s="192"/>
      <c r="F26" s="191">
        <f>5000</f>
        <v>5000</v>
      </c>
      <c r="G26" s="192">
        <f>430000</f>
        <v>430000</v>
      </c>
      <c r="H26" s="191">
        <f>30000+160000+440000+400000+8000+21500</f>
        <v>1059500</v>
      </c>
      <c r="I26" s="192">
        <f>6500</f>
        <v>6500</v>
      </c>
      <c r="J26" s="191">
        <f>600+15000</f>
        <v>15600</v>
      </c>
      <c r="K26" s="192">
        <f>28200</f>
        <v>28200</v>
      </c>
      <c r="L26" s="191">
        <f>28000+157500+99000</f>
        <v>284500</v>
      </c>
      <c r="M26" s="56">
        <f t="shared" si="3"/>
        <v>1829300</v>
      </c>
      <c r="N26" s="205">
        <f>1519300+288500</f>
        <v>1807800</v>
      </c>
      <c r="O26" s="53">
        <f t="shared" si="2"/>
        <v>-21500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45829</v>
      </c>
      <c r="C27" s="192"/>
      <c r="D27" s="191"/>
      <c r="E27" s="192"/>
      <c r="F27" s="191"/>
      <c r="G27" s="192">
        <f>20000+75</f>
        <v>20075</v>
      </c>
      <c r="H27" s="191">
        <f>752500+371500+602000+54000</f>
        <v>1780000</v>
      </c>
      <c r="I27" s="192"/>
      <c r="J27" s="198"/>
      <c r="K27" s="192"/>
      <c r="L27" s="191">
        <f>29050</f>
        <v>29050</v>
      </c>
      <c r="M27" s="176">
        <f t="shared" si="3"/>
        <v>1829125</v>
      </c>
      <c r="N27" s="209">
        <v>1775125</v>
      </c>
      <c r="O27" s="181">
        <f>N27-M27</f>
        <v>-54000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45830</v>
      </c>
      <c r="C28" s="192"/>
      <c r="D28" s="191"/>
      <c r="E28" s="192"/>
      <c r="F28" s="191"/>
      <c r="G28" s="192">
        <f>720000+305000</f>
        <v>1025000</v>
      </c>
      <c r="H28" s="191">
        <f>8000+501500+875000+150000+120000+340000+18500</f>
        <v>2013000</v>
      </c>
      <c r="I28" s="192">
        <f>14900</f>
        <v>14900</v>
      </c>
      <c r="J28" s="191"/>
      <c r="K28" s="192"/>
      <c r="L28" s="191">
        <f>143850+3500</f>
        <v>147350</v>
      </c>
      <c r="M28" s="156">
        <f t="shared" si="3"/>
        <v>3200250</v>
      </c>
      <c r="N28" s="207">
        <v>3181750</v>
      </c>
      <c r="O28" s="155">
        <f t="shared" si="2"/>
        <v>-18500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45831</v>
      </c>
      <c r="C29" s="192"/>
      <c r="D29" s="191"/>
      <c r="E29" s="192"/>
      <c r="F29" s="191">
        <f>830000</f>
        <v>830000</v>
      </c>
      <c r="G29" s="192">
        <f>380000+5000+115000</f>
        <v>500000</v>
      </c>
      <c r="H29" s="191">
        <f>17500+1645500+430000+895000+100000+100000+20000+8000</f>
        <v>3216000</v>
      </c>
      <c r="I29" s="192">
        <f>14000</f>
        <v>14000</v>
      </c>
      <c r="J29" s="191">
        <f>11400</f>
        <v>11400</v>
      </c>
      <c r="K29" s="192"/>
      <c r="L29" s="191">
        <f>35650+49930</f>
        <v>85580</v>
      </c>
      <c r="M29" s="56">
        <f t="shared" si="3"/>
        <v>4656980</v>
      </c>
      <c r="N29" s="205">
        <v>4648980</v>
      </c>
      <c r="O29" s="53">
        <f t="shared" si="2"/>
        <v>-8000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45832</v>
      </c>
      <c r="C30" s="199"/>
      <c r="D30" s="202"/>
      <c r="E30" s="192"/>
      <c r="F30" s="191">
        <f>400000</f>
        <v>400000</v>
      </c>
      <c r="G30" s="192">
        <f>50000+1500+300000+460000</f>
        <v>811500</v>
      </c>
      <c r="H30" s="191">
        <f>1000+2000+3500+3500+100000+3000+400000+32000</f>
        <v>545000</v>
      </c>
      <c r="I30" s="192"/>
      <c r="J30" s="191">
        <f>7500</f>
        <v>7500</v>
      </c>
      <c r="K30" s="199"/>
      <c r="L30" s="198">
        <f>86000+159500</f>
        <v>245500</v>
      </c>
      <c r="M30" s="56">
        <f t="shared" si="3"/>
        <v>2009500</v>
      </c>
      <c r="N30" s="204">
        <f>1737500+240000</f>
        <v>1977500</v>
      </c>
      <c r="O30" s="155">
        <f t="shared" si="2"/>
        <v>-32000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45833</v>
      </c>
      <c r="C31" s="201"/>
      <c r="D31" s="190"/>
      <c r="E31" s="189"/>
      <c r="F31" s="190">
        <f>1630000</f>
        <v>1630000</v>
      </c>
      <c r="G31" s="187">
        <f>260000</f>
        <v>260000</v>
      </c>
      <c r="H31" s="190">
        <f>650000+2500+90000+46000</f>
        <v>788500</v>
      </c>
      <c r="I31" s="189"/>
      <c r="J31" s="190">
        <f>10000</f>
        <v>10000</v>
      </c>
      <c r="K31" s="189"/>
      <c r="L31" s="190">
        <f>60945</f>
        <v>60945</v>
      </c>
      <c r="M31" s="56">
        <f t="shared" si="3"/>
        <v>2749445</v>
      </c>
      <c r="N31" s="204">
        <v>2703445</v>
      </c>
      <c r="O31" s="53">
        <f t="shared" si="2"/>
        <v>-46000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45834</v>
      </c>
      <c r="C32" s="192"/>
      <c r="D32" s="191"/>
      <c r="E32" s="192"/>
      <c r="F32" s="191">
        <f>830000</f>
        <v>830000</v>
      </c>
      <c r="G32" s="192">
        <f>1150000+690000</f>
        <v>1840000</v>
      </c>
      <c r="H32" s="191">
        <f>60000+420000+3500+400000+350000+550000+400000+32000</f>
        <v>2215500</v>
      </c>
      <c r="I32" s="199"/>
      <c r="J32" s="191">
        <f>4200</f>
        <v>4200</v>
      </c>
      <c r="K32" s="192">
        <f>49500</f>
        <v>49500</v>
      </c>
      <c r="L32" s="191">
        <f>30500</f>
        <v>30500</v>
      </c>
      <c r="M32" s="156">
        <f t="shared" si="3"/>
        <v>4969700</v>
      </c>
      <c r="N32" s="207">
        <v>4937700</v>
      </c>
      <c r="O32" s="155">
        <f t="shared" si="2"/>
        <v>-32000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45835</v>
      </c>
      <c r="C33" s="192"/>
      <c r="D33" s="191"/>
      <c r="E33" s="192"/>
      <c r="F33" s="191">
        <f>19000</f>
        <v>19000</v>
      </c>
      <c r="G33" s="192">
        <f>5000+400000+160000</f>
        <v>565000</v>
      </c>
      <c r="H33" s="191">
        <f>550000+40000+7000+45000</f>
        <v>642000</v>
      </c>
      <c r="I33" s="192">
        <f>3500+3500</f>
        <v>7000</v>
      </c>
      <c r="J33" s="191">
        <f>6500</f>
        <v>6500</v>
      </c>
      <c r="K33" s="192"/>
      <c r="L33" s="191">
        <f>141600</f>
        <v>141600</v>
      </c>
      <c r="M33" s="56">
        <f t="shared" si="3"/>
        <v>1381100</v>
      </c>
      <c r="N33" s="204">
        <v>1336100</v>
      </c>
      <c r="O33" s="53">
        <f t="shared" si="2"/>
        <v>-45000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45836</v>
      </c>
      <c r="C34" s="192"/>
      <c r="D34" s="200"/>
      <c r="E34" s="192"/>
      <c r="F34" s="191"/>
      <c r="G34" s="199">
        <f>845000</f>
        <v>845000</v>
      </c>
      <c r="H34" s="198">
        <f>80000+4000+44000+3500+1500+350000+52000</f>
        <v>535000</v>
      </c>
      <c r="I34" s="199"/>
      <c r="J34" s="198">
        <f>25400+15000</f>
        <v>40400</v>
      </c>
      <c r="K34" s="199"/>
      <c r="L34" s="198">
        <f>36500</f>
        <v>36500</v>
      </c>
      <c r="M34" s="156">
        <f>SUM(C34:L34)</f>
        <v>1456900</v>
      </c>
      <c r="N34" s="207">
        <v>1404900</v>
      </c>
      <c r="O34" s="53">
        <f t="shared" si="2"/>
        <v>-52000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45837</v>
      </c>
      <c r="C35" s="192"/>
      <c r="D35" s="200"/>
      <c r="E35" s="192"/>
      <c r="F35" s="191"/>
      <c r="G35" s="192">
        <f>35000</f>
        <v>35000</v>
      </c>
      <c r="H35" s="191">
        <f>9000+30000+2500+550000+350000+48000</f>
        <v>989500</v>
      </c>
      <c r="I35" s="192"/>
      <c r="J35" s="191">
        <f>4500</f>
        <v>4500</v>
      </c>
      <c r="K35" s="192"/>
      <c r="L35" s="191">
        <f>79375</f>
        <v>79375</v>
      </c>
      <c r="M35" s="56">
        <f t="shared" si="3"/>
        <v>1108375</v>
      </c>
      <c r="N35" s="206">
        <v>1060375</v>
      </c>
      <c r="O35" s="55">
        <f t="shared" si="2"/>
        <v>-48000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 t="shared" si="1"/>
        <v>45838</v>
      </c>
      <c r="C36" s="192"/>
      <c r="D36" s="200"/>
      <c r="E36" s="192"/>
      <c r="F36" s="191"/>
      <c r="G36" s="192">
        <f>5000</f>
        <v>5000</v>
      </c>
      <c r="H36" s="191">
        <f>9000+20000+15000+35000</f>
        <v>79000</v>
      </c>
      <c r="I36" s="192"/>
      <c r="J36" s="191">
        <f>52653-6010</f>
        <v>46643</v>
      </c>
      <c r="K36" s="192">
        <f>3500</f>
        <v>3500</v>
      </c>
      <c r="L36" s="191">
        <f>17500+90000+27650</f>
        <v>135150</v>
      </c>
      <c r="M36" s="56">
        <f t="shared" si="3"/>
        <v>269293</v>
      </c>
      <c r="N36" s="206">
        <v>240303</v>
      </c>
      <c r="O36" s="55">
        <f t="shared" si="2"/>
        <v>-28990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/>
      <c r="I37" s="192"/>
      <c r="J37" s="191"/>
      <c r="K37" s="192"/>
      <c r="L37" s="191"/>
      <c r="M37" s="56">
        <f>SUM(C37:L37)</f>
        <v>0</v>
      </c>
      <c r="N37" s="206"/>
      <c r="O37" s="55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>SUM(C38:L38)</f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7000</v>
      </c>
      <c r="D39" s="25">
        <f>SUM(D7:D38)</f>
        <v>14100</v>
      </c>
      <c r="E39" s="24">
        <f t="shared" ref="E39:K39" si="4">SUM(E7:E38)</f>
        <v>2267600</v>
      </c>
      <c r="F39" s="59">
        <f t="shared" si="4"/>
        <v>8111000</v>
      </c>
      <c r="G39" s="24">
        <f t="shared" si="4"/>
        <v>21404875</v>
      </c>
      <c r="H39" s="25">
        <f>SUM(H7:H38)</f>
        <v>35760747</v>
      </c>
      <c r="I39" s="24">
        <f t="shared" si="4"/>
        <v>182900</v>
      </c>
      <c r="J39" s="25">
        <f>SUM(J7:J38)</f>
        <v>510879</v>
      </c>
      <c r="K39" s="24">
        <f t="shared" si="4"/>
        <v>316866</v>
      </c>
      <c r="L39" s="25">
        <f>SUM(L7:L38)</f>
        <v>2206750</v>
      </c>
      <c r="M39" s="28">
        <f>SUM(M7:M38)</f>
        <v>70782717</v>
      </c>
      <c r="N39" s="27">
        <f>SUM(N7:N38)</f>
        <v>69743227</v>
      </c>
      <c r="O39" s="26">
        <f>N39-M39</f>
        <v>-1039490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21100</v>
      </c>
      <c r="D40" s="282"/>
      <c r="E40" s="267">
        <f>SUM(E39:F39)</f>
        <v>10378600</v>
      </c>
      <c r="F40" s="269"/>
      <c r="G40" s="281">
        <f>SUM(G39:H39)</f>
        <v>57165622</v>
      </c>
      <c r="H40" s="282"/>
      <c r="I40" s="267">
        <f>SUM(I39:J39)</f>
        <v>693779</v>
      </c>
      <c r="J40" s="268"/>
      <c r="K40" s="281">
        <f>SUM(K39:L39)</f>
        <v>2523616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45808</v>
      </c>
      <c r="C45" s="203">
        <v>0</v>
      </c>
      <c r="D45" s="14"/>
      <c r="E45" s="203">
        <v>0</v>
      </c>
      <c r="F45" s="14"/>
      <c r="G45" s="203">
        <v>0</v>
      </c>
      <c r="H45" s="14">
        <v>1666500</v>
      </c>
      <c r="I45" s="203"/>
      <c r="J45" s="14"/>
      <c r="K45" s="134"/>
      <c r="L45" s="14">
        <v>21350</v>
      </c>
      <c r="M45" s="203">
        <v>0</v>
      </c>
      <c r="N45" s="203">
        <f>F45+H45+J45+L45</f>
        <v>1687850</v>
      </c>
      <c r="O45" s="203">
        <f>N45-M45</f>
        <v>1687850</v>
      </c>
      <c r="P45" s="85">
        <v>45809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45838</v>
      </c>
      <c r="C48" s="203">
        <v>0</v>
      </c>
      <c r="D48" s="14"/>
      <c r="E48" s="203">
        <v>0</v>
      </c>
      <c r="F48" s="14"/>
      <c r="G48" s="203">
        <v>0</v>
      </c>
      <c r="H48" s="14">
        <v>59000</v>
      </c>
      <c r="I48" s="203">
        <v>0</v>
      </c>
      <c r="J48" s="14">
        <v>52653</v>
      </c>
      <c r="K48" s="134">
        <v>0</v>
      </c>
      <c r="L48" s="14">
        <v>135150</v>
      </c>
      <c r="M48" s="203"/>
      <c r="N48" s="203">
        <f>F48+H48+J48+L48</f>
        <v>246803</v>
      </c>
      <c r="O48" s="203">
        <f>N48-M48</f>
        <v>246803</v>
      </c>
      <c r="P48" s="151">
        <v>45839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0</v>
      </c>
      <c r="F50" s="263"/>
      <c r="G50" s="262">
        <f>H45+H46-H47-H48</f>
        <v>1607500</v>
      </c>
      <c r="H50" s="263"/>
      <c r="I50" s="262">
        <f>J45+J46-J47-J48</f>
        <v>-52653</v>
      </c>
      <c r="J50" s="263"/>
      <c r="K50" s="262">
        <f>L45+L46-L47-L48</f>
        <v>-113800</v>
      </c>
      <c r="L50" s="263"/>
    </row>
    <row r="51" spans="2:28" x14ac:dyDescent="0.25">
      <c r="B51" s="288" t="s">
        <v>12</v>
      </c>
      <c r="C51" s="288"/>
      <c r="D51" s="212">
        <f>D39+D50</f>
        <v>14100</v>
      </c>
      <c r="E51" s="289">
        <f>F39+E50</f>
        <v>8111000</v>
      </c>
      <c r="F51" s="290"/>
      <c r="G51" s="289">
        <f>H39+G50</f>
        <v>37368247</v>
      </c>
      <c r="H51" s="290"/>
      <c r="I51" s="291">
        <f>J39+I50</f>
        <v>458226</v>
      </c>
      <c r="J51" s="292"/>
      <c r="K51" s="289">
        <f>L39+K50</f>
        <v>2092950</v>
      </c>
      <c r="L51" s="290"/>
    </row>
    <row r="52" spans="2:28" s="42" customFormat="1" x14ac:dyDescent="0.25">
      <c r="B52" s="257" t="s">
        <v>17</v>
      </c>
      <c r="C52" s="257"/>
      <c r="D52" s="283">
        <f>SUM(D51:L51)</f>
        <v>48044523</v>
      </c>
      <c r="E52" s="283"/>
      <c r="F52" s="283"/>
      <c r="G52" s="283"/>
      <c r="H52" s="283"/>
      <c r="I52" s="220"/>
      <c r="J52" s="220"/>
      <c r="K52" s="220"/>
      <c r="L52" s="220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91.123389000000003</v>
      </c>
      <c r="P54" s="87"/>
      <c r="S54">
        <v>0.03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24179241</v>
      </c>
      <c r="D55" s="149">
        <f>D39+H39+F39+J39+L39</f>
        <v>46603476</v>
      </c>
      <c r="E55" s="58"/>
      <c r="F55" s="58"/>
      <c r="M55" s="63" t="s">
        <v>25</v>
      </c>
      <c r="N55" s="64">
        <f>N59*S55/100</f>
        <v>51272.093543999996</v>
      </c>
      <c r="P55" s="88"/>
      <c r="S55">
        <v>16.88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70782717</v>
      </c>
      <c r="D56" s="285"/>
      <c r="E56" s="57"/>
      <c r="F56" s="57"/>
      <c r="M56" s="63" t="s">
        <v>28</v>
      </c>
      <c r="N56" s="64">
        <f>N59*S56/100</f>
        <v>236252.573214</v>
      </c>
      <c r="R56" s="87"/>
      <c r="S56">
        <v>77.78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2885.573985</v>
      </c>
      <c r="S57">
        <v>0.95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13243.265868000002</v>
      </c>
      <c r="S58">
        <v>4.3600000000000003</v>
      </c>
      <c r="Y58" s="4"/>
      <c r="AA58" s="78"/>
      <c r="AB58" s="68"/>
    </row>
    <row r="59" spans="2:28" x14ac:dyDescent="0.25">
      <c r="J59" t="s">
        <v>3</v>
      </c>
      <c r="N59" s="64">
        <v>303744.63</v>
      </c>
      <c r="O59" s="211"/>
      <c r="S59" s="68">
        <f>SUM(S54:S58)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72223764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72"/>
  <sheetViews>
    <sheetView topLeftCell="D34" workbookViewId="0">
      <selection activeCell="N54" sqref="N54:N5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140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45839</v>
      </c>
      <c r="C7" s="192"/>
      <c r="D7" s="191"/>
      <c r="E7" s="192"/>
      <c r="F7" s="191"/>
      <c r="G7" s="193"/>
      <c r="H7" s="194">
        <f>11500</f>
        <v>11500</v>
      </c>
      <c r="I7" s="193"/>
      <c r="J7" s="194"/>
      <c r="K7" s="193"/>
      <c r="L7" s="194"/>
      <c r="M7" s="56">
        <f t="shared" ref="M7:M13" si="0">SUM(C7:L7)</f>
        <v>11500</v>
      </c>
      <c r="N7" s="205"/>
      <c r="O7" s="53">
        <f>N7-M7</f>
        <v>-11500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1">B7+1</f>
        <v>45840</v>
      </c>
      <c r="C8" s="195"/>
      <c r="D8" s="191"/>
      <c r="E8" s="192"/>
      <c r="F8" s="191"/>
      <c r="G8" s="195"/>
      <c r="H8" s="191">
        <f>32000</f>
        <v>32000</v>
      </c>
      <c r="I8" s="195"/>
      <c r="J8" s="191"/>
      <c r="K8" s="195"/>
      <c r="L8" s="191"/>
      <c r="M8" s="56">
        <f t="shared" si="0"/>
        <v>32000</v>
      </c>
      <c r="N8" s="205"/>
      <c r="O8" s="53">
        <f t="shared" ref="O8:O37" si="2">N8-M8</f>
        <v>-32000</v>
      </c>
      <c r="Z8" s="78"/>
      <c r="AB8" s="68"/>
    </row>
    <row r="9" spans="2:28" x14ac:dyDescent="0.25">
      <c r="B9" s="15">
        <f t="shared" si="1"/>
        <v>45841</v>
      </c>
      <c r="C9" s="192"/>
      <c r="D9" s="196"/>
      <c r="E9" s="192"/>
      <c r="F9" s="191"/>
      <c r="G9" s="192"/>
      <c r="H9" s="191">
        <f>12500</f>
        <v>12500</v>
      </c>
      <c r="I9" s="192"/>
      <c r="J9" s="191"/>
      <c r="K9" s="192"/>
      <c r="L9" s="191"/>
      <c r="M9" s="56">
        <f t="shared" si="0"/>
        <v>12500</v>
      </c>
      <c r="N9" s="204"/>
      <c r="O9" s="53">
        <f t="shared" si="2"/>
        <v>-12500</v>
      </c>
      <c r="P9" s="101"/>
      <c r="Z9" s="78"/>
      <c r="AB9" s="68"/>
    </row>
    <row r="10" spans="2:28" x14ac:dyDescent="0.25">
      <c r="B10" s="15">
        <f t="shared" si="1"/>
        <v>45842</v>
      </c>
      <c r="C10" s="192"/>
      <c r="D10" s="196"/>
      <c r="E10" s="192"/>
      <c r="F10" s="191"/>
      <c r="G10" s="192"/>
      <c r="H10" s="191">
        <f>3000</f>
        <v>3000</v>
      </c>
      <c r="I10" s="192"/>
      <c r="J10" s="191"/>
      <c r="K10" s="192"/>
      <c r="L10" s="191"/>
      <c r="M10" s="56">
        <f t="shared" si="0"/>
        <v>3000</v>
      </c>
      <c r="N10" s="204"/>
      <c r="O10" s="53">
        <f>N10-M10</f>
        <v>-3000</v>
      </c>
      <c r="P10" s="101"/>
      <c r="Z10" s="78"/>
      <c r="AB10" s="68"/>
    </row>
    <row r="11" spans="2:28" x14ac:dyDescent="0.25">
      <c r="B11" s="15">
        <f t="shared" si="1"/>
        <v>45843</v>
      </c>
      <c r="C11" s="195"/>
      <c r="D11" s="191"/>
      <c r="E11" s="192"/>
      <c r="F11" s="191"/>
      <c r="G11" s="195"/>
      <c r="H11" s="195"/>
      <c r="I11" s="195"/>
      <c r="J11" s="191"/>
      <c r="K11" s="195"/>
      <c r="L11" s="191"/>
      <c r="M11" s="56">
        <f t="shared" si="0"/>
        <v>0</v>
      </c>
      <c r="N11" s="205"/>
      <c r="O11" s="53">
        <f>N11-M11</f>
        <v>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45844</v>
      </c>
      <c r="C12" s="192"/>
      <c r="D12" s="191"/>
      <c r="E12" s="192"/>
      <c r="F12" s="191"/>
      <c r="G12" s="192"/>
      <c r="H12" s="191">
        <f>25000</f>
        <v>25000</v>
      </c>
      <c r="I12" s="192"/>
      <c r="J12" s="191"/>
      <c r="K12" s="192"/>
      <c r="L12" s="191"/>
      <c r="M12" s="56">
        <f t="shared" si="0"/>
        <v>25000</v>
      </c>
      <c r="N12" s="205"/>
      <c r="O12" s="53">
        <f>N12-M12</f>
        <v>-25000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45845</v>
      </c>
      <c r="C13" s="192"/>
      <c r="D13" s="191"/>
      <c r="E13" s="192"/>
      <c r="F13" s="191"/>
      <c r="G13" s="192"/>
      <c r="H13" s="191">
        <f>1500</f>
        <v>1500</v>
      </c>
      <c r="I13" s="192"/>
      <c r="J13" s="191"/>
      <c r="K13" s="192"/>
      <c r="L13" s="191">
        <f>137200</f>
        <v>137200</v>
      </c>
      <c r="M13" s="56">
        <f t="shared" si="0"/>
        <v>138700</v>
      </c>
      <c r="N13" s="205">
        <v>138700</v>
      </c>
      <c r="O13" s="53">
        <f>N13-M13</f>
        <v>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45846</v>
      </c>
      <c r="C14" s="192"/>
      <c r="D14" s="191"/>
      <c r="E14" s="192"/>
      <c r="F14" s="191"/>
      <c r="G14" s="192">
        <f>2000</f>
        <v>2000</v>
      </c>
      <c r="H14" s="191">
        <f>8000+17000+1500+24500</f>
        <v>51000</v>
      </c>
      <c r="I14" s="192"/>
      <c r="J14" s="191">
        <f>33800+6825</f>
        <v>40625</v>
      </c>
      <c r="K14" s="192"/>
      <c r="L14" s="191"/>
      <c r="M14" s="56">
        <f t="shared" ref="M14:M36" si="3">SUM(C14:L14)</f>
        <v>93625</v>
      </c>
      <c r="N14" s="204">
        <v>69125</v>
      </c>
      <c r="O14" s="53">
        <f>N14-M14</f>
        <v>-24500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45847</v>
      </c>
      <c r="C15" s="192"/>
      <c r="D15" s="200"/>
      <c r="E15" s="192"/>
      <c r="F15" s="191"/>
      <c r="G15" s="192"/>
      <c r="H15" s="191">
        <f>33000</f>
        <v>33000</v>
      </c>
      <c r="I15" s="192"/>
      <c r="J15" s="191"/>
      <c r="K15" s="192"/>
      <c r="L15" s="191">
        <f>7000+29000</f>
        <v>36000</v>
      </c>
      <c r="M15" s="56">
        <f t="shared" si="3"/>
        <v>69000</v>
      </c>
      <c r="N15" s="204">
        <v>36000</v>
      </c>
      <c r="O15" s="53">
        <f t="shared" si="2"/>
        <v>-33000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45848</v>
      </c>
      <c r="C16" s="197"/>
      <c r="D16" s="191"/>
      <c r="E16" s="192"/>
      <c r="F16" s="191"/>
      <c r="G16" s="197"/>
      <c r="H16" s="191">
        <f>36000</f>
        <v>36000</v>
      </c>
      <c r="I16" s="195"/>
      <c r="J16" s="191"/>
      <c r="K16" s="195"/>
      <c r="L16" s="191">
        <f>39000</f>
        <v>39000</v>
      </c>
      <c r="M16" s="56">
        <f t="shared" si="3"/>
        <v>75000</v>
      </c>
      <c r="N16" s="205">
        <v>39000</v>
      </c>
      <c r="O16" s="53">
        <f t="shared" si="2"/>
        <v>-36000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45849</v>
      </c>
      <c r="C17" s="216"/>
      <c r="D17" s="217"/>
      <c r="E17" s="218"/>
      <c r="F17" s="219"/>
      <c r="G17" s="216">
        <f>15000</f>
        <v>15000</v>
      </c>
      <c r="H17" s="219">
        <f>35000+6500</f>
        <v>41500</v>
      </c>
      <c r="I17" s="216"/>
      <c r="J17" s="219"/>
      <c r="K17" s="216"/>
      <c r="L17" s="219">
        <f>69900</f>
        <v>69900</v>
      </c>
      <c r="M17" s="176">
        <f t="shared" si="3"/>
        <v>126400</v>
      </c>
      <c r="N17" s="208">
        <f>119900</f>
        <v>119900</v>
      </c>
      <c r="O17" s="53">
        <f t="shared" si="2"/>
        <v>-6500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45850</v>
      </c>
      <c r="C18" s="195"/>
      <c r="D18" s="191"/>
      <c r="E18" s="192"/>
      <c r="F18" s="191"/>
      <c r="G18" s="195">
        <f>2000+15000</f>
        <v>17000</v>
      </c>
      <c r="H18" s="191">
        <f>8000+52000+13000</f>
        <v>73000</v>
      </c>
      <c r="I18" s="195"/>
      <c r="J18" s="191"/>
      <c r="K18" s="195"/>
      <c r="L18" s="191">
        <f>49500</f>
        <v>49500</v>
      </c>
      <c r="M18" s="176">
        <f t="shared" si="3"/>
        <v>139500</v>
      </c>
      <c r="N18" s="210">
        <v>126500</v>
      </c>
      <c r="O18" s="178">
        <f t="shared" si="2"/>
        <v>-13000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45851</v>
      </c>
      <c r="C19" s="192"/>
      <c r="D19" s="191"/>
      <c r="E19" s="192"/>
      <c r="F19" s="191"/>
      <c r="G19" s="192">
        <f>10000</f>
        <v>10000</v>
      </c>
      <c r="H19" s="191">
        <f>925000+40000</f>
        <v>965000</v>
      </c>
      <c r="I19" s="192"/>
      <c r="J19" s="191">
        <f>10000</f>
        <v>10000</v>
      </c>
      <c r="K19" s="192"/>
      <c r="L19" s="191"/>
      <c r="M19" s="56">
        <f>SUM(C19:L19)</f>
        <v>985000</v>
      </c>
      <c r="N19" s="205">
        <v>945000</v>
      </c>
      <c r="O19" s="53">
        <f t="shared" si="2"/>
        <v>-40000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45852</v>
      </c>
      <c r="C20" s="192">
        <f>1007000</f>
        <v>1007000</v>
      </c>
      <c r="D20" s="188">
        <f>217000</f>
        <v>217000</v>
      </c>
      <c r="E20" s="192"/>
      <c r="F20" s="191">
        <f>630000</f>
        <v>630000</v>
      </c>
      <c r="G20" s="192">
        <f>500000+130000</f>
        <v>630000</v>
      </c>
      <c r="H20" s="191">
        <f>15000+360000+950000+350000+500000+9000+30000</f>
        <v>2214000</v>
      </c>
      <c r="I20" s="192"/>
      <c r="J20" s="191"/>
      <c r="K20" s="192">
        <f>7000</f>
        <v>7000</v>
      </c>
      <c r="L20" s="191">
        <f>89000+74925</f>
        <v>163925</v>
      </c>
      <c r="M20" s="56">
        <f t="shared" si="3"/>
        <v>4868925</v>
      </c>
      <c r="N20" s="205">
        <v>4838925</v>
      </c>
      <c r="O20" s="53">
        <f t="shared" si="2"/>
        <v>-30000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45853</v>
      </c>
      <c r="C21" s="192"/>
      <c r="D21" s="191">
        <f>800000</f>
        <v>800000</v>
      </c>
      <c r="E21" s="192"/>
      <c r="F21" s="191">
        <f>930000</f>
        <v>930000</v>
      </c>
      <c r="G21" s="192">
        <f>4000+200000+1500+5000+400000</f>
        <v>610500</v>
      </c>
      <c r="H21" s="191">
        <f>2000+4500+535000+300000+93500</f>
        <v>935000</v>
      </c>
      <c r="I21" s="192">
        <f>4200</f>
        <v>4200</v>
      </c>
      <c r="J21" s="191">
        <f>20600</f>
        <v>20600</v>
      </c>
      <c r="K21" s="192"/>
      <c r="L21" s="191">
        <f>116196</f>
        <v>116196</v>
      </c>
      <c r="M21" s="56">
        <f t="shared" si="3"/>
        <v>3416496</v>
      </c>
      <c r="N21" s="207">
        <v>3322996</v>
      </c>
      <c r="O21" s="155">
        <f t="shared" si="2"/>
        <v>-93500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45854</v>
      </c>
      <c r="C22" s="192"/>
      <c r="D22" s="191">
        <f>1000000</f>
        <v>1000000</v>
      </c>
      <c r="E22" s="192">
        <f>460000</f>
        <v>460000</v>
      </c>
      <c r="F22" s="191">
        <f>5000</f>
        <v>5000</v>
      </c>
      <c r="G22" s="192">
        <f>410000</f>
        <v>410000</v>
      </c>
      <c r="H22" s="191">
        <f>450000+245000+410000+10500+976500+53000</f>
        <v>2145000</v>
      </c>
      <c r="I22" s="192"/>
      <c r="J22" s="191">
        <v>7200</v>
      </c>
      <c r="K22" s="189"/>
      <c r="L22" s="190">
        <f>55000</f>
        <v>55000</v>
      </c>
      <c r="M22" s="56">
        <f t="shared" si="3"/>
        <v>4082200</v>
      </c>
      <c r="N22" s="205">
        <f>4027700+1500</f>
        <v>4029200</v>
      </c>
      <c r="O22" s="53">
        <f t="shared" si="2"/>
        <v>-53000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45855</v>
      </c>
      <c r="C23" s="192"/>
      <c r="D23" s="191">
        <f>30000</f>
        <v>30000</v>
      </c>
      <c r="E23" s="192">
        <f>780000</f>
        <v>780000</v>
      </c>
      <c r="F23" s="191">
        <f>550000</f>
        <v>550000</v>
      </c>
      <c r="G23" s="192">
        <f>345000+700000+5000+340000</f>
        <v>1390000</v>
      </c>
      <c r="H23" s="191">
        <f>195000+45000+540000+36500+9500+1500+26000</f>
        <v>853500</v>
      </c>
      <c r="I23" s="192"/>
      <c r="J23" s="191">
        <f>51200</f>
        <v>51200</v>
      </c>
      <c r="K23" s="192"/>
      <c r="L23" s="191">
        <f>17000</f>
        <v>17000</v>
      </c>
      <c r="M23" s="56">
        <f t="shared" si="3"/>
        <v>3671700</v>
      </c>
      <c r="N23" s="205">
        <v>3645700</v>
      </c>
      <c r="O23" s="155">
        <f t="shared" si="2"/>
        <v>-26000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45856</v>
      </c>
      <c r="C24" s="195"/>
      <c r="D24" s="191"/>
      <c r="E24" s="192"/>
      <c r="F24" s="191">
        <f>58500</f>
        <v>58500</v>
      </c>
      <c r="G24" s="195">
        <f>530000+5000+330000</f>
        <v>865000</v>
      </c>
      <c r="H24" s="191">
        <f>980000+550000+3000+387000+80000+3500+62100+3035+3500+19500</f>
        <v>2091635</v>
      </c>
      <c r="I24" s="195"/>
      <c r="J24" s="191">
        <f>6900+15000</f>
        <v>21900</v>
      </c>
      <c r="K24" s="195"/>
      <c r="L24" s="191">
        <f>64500</f>
        <v>64500</v>
      </c>
      <c r="M24" s="56">
        <f>SUM(C24:L24)</f>
        <v>3101535</v>
      </c>
      <c r="N24" s="204">
        <v>3082035</v>
      </c>
      <c r="O24" s="53">
        <f t="shared" si="2"/>
        <v>-19500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45857</v>
      </c>
      <c r="C25" s="192"/>
      <c r="D25" s="191"/>
      <c r="E25" s="192"/>
      <c r="F25" s="191"/>
      <c r="G25" s="192">
        <f>315000+530000</f>
        <v>845000</v>
      </c>
      <c r="H25" s="191">
        <f>400000+1500+15000+450000+330000+500000+68000+10000</f>
        <v>1774500</v>
      </c>
      <c r="I25" s="192"/>
      <c r="J25" s="191">
        <f>9500+15000</f>
        <v>24500</v>
      </c>
      <c r="K25" s="192">
        <f>3500</f>
        <v>3500</v>
      </c>
      <c r="L25" s="191">
        <f>101350</f>
        <v>101350</v>
      </c>
      <c r="M25" s="176">
        <f t="shared" si="3"/>
        <v>2748850</v>
      </c>
      <c r="N25" s="208">
        <v>2680850</v>
      </c>
      <c r="O25" s="178">
        <f t="shared" si="2"/>
        <v>-68000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45858</v>
      </c>
      <c r="C26" s="192"/>
      <c r="D26" s="191">
        <f>100000</f>
        <v>100000</v>
      </c>
      <c r="E26" s="192"/>
      <c r="F26" s="191">
        <f>3500</f>
        <v>3500</v>
      </c>
      <c r="G26" s="192">
        <f>1000000</f>
        <v>1000000</v>
      </c>
      <c r="H26" s="191">
        <f>6000+413000+960000+550000+40000</f>
        <v>1969000</v>
      </c>
      <c r="I26" s="192"/>
      <c r="J26" s="191"/>
      <c r="K26" s="192"/>
      <c r="L26" s="191"/>
      <c r="M26" s="56">
        <f t="shared" si="3"/>
        <v>3072500</v>
      </c>
      <c r="N26" s="205">
        <v>3032500</v>
      </c>
      <c r="O26" s="53">
        <f t="shared" si="2"/>
        <v>-40000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45859</v>
      </c>
      <c r="C27" s="192"/>
      <c r="D27" s="191">
        <f>7000</f>
        <v>7000</v>
      </c>
      <c r="E27" s="192"/>
      <c r="F27" s="191"/>
      <c r="G27" s="192">
        <f>500000+5000+1500+5000</f>
        <v>511500</v>
      </c>
      <c r="H27" s="191">
        <f>620000+9000+6000+7000+415000+400000+81500</f>
        <v>1538500</v>
      </c>
      <c r="I27" s="192"/>
      <c r="J27" s="198">
        <f>700+16740</f>
        <v>17440</v>
      </c>
      <c r="K27" s="192">
        <f>7000</f>
        <v>7000</v>
      </c>
      <c r="L27" s="191">
        <f>57950+70500</f>
        <v>128450</v>
      </c>
      <c r="M27" s="176">
        <f t="shared" si="3"/>
        <v>2209890</v>
      </c>
      <c r="N27" s="209">
        <v>2128390</v>
      </c>
      <c r="O27" s="181">
        <f>N27-M27</f>
        <v>-81500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45860</v>
      </c>
      <c r="C28" s="192">
        <f>1900000</f>
        <v>1900000</v>
      </c>
      <c r="D28" s="191"/>
      <c r="E28" s="192">
        <f>5000</f>
        <v>5000</v>
      </c>
      <c r="F28" s="191">
        <f>10000</f>
        <v>10000</v>
      </c>
      <c r="G28" s="192">
        <f>30000+600000+410000</f>
        <v>1040000</v>
      </c>
      <c r="H28" s="191">
        <f>41000+758500+45000+360000+1500+350000+155000</f>
        <v>1711000</v>
      </c>
      <c r="I28" s="192"/>
      <c r="J28" s="191">
        <f>4200</f>
        <v>4200</v>
      </c>
      <c r="K28" s="192">
        <f>74500</f>
        <v>74500</v>
      </c>
      <c r="L28" s="191">
        <f>3500+95700</f>
        <v>99200</v>
      </c>
      <c r="M28" s="156">
        <f t="shared" si="3"/>
        <v>4843900</v>
      </c>
      <c r="N28" s="207">
        <v>4788900</v>
      </c>
      <c r="O28" s="155">
        <f t="shared" si="2"/>
        <v>-55000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45861</v>
      </c>
      <c r="C29" s="192">
        <f>1960000</f>
        <v>1960000</v>
      </c>
      <c r="D29" s="191">
        <f>837000</f>
        <v>837000</v>
      </c>
      <c r="E29" s="192">
        <f>600000</f>
        <v>600000</v>
      </c>
      <c r="F29" s="191"/>
      <c r="G29" s="192"/>
      <c r="H29" s="191">
        <f>180000+350000+400000+150000+380000+63500</f>
        <v>1523500</v>
      </c>
      <c r="I29" s="192"/>
      <c r="J29" s="191">
        <f>7000</f>
        <v>7000</v>
      </c>
      <c r="K29" s="192"/>
      <c r="L29" s="191">
        <f>49000</f>
        <v>49000</v>
      </c>
      <c r="M29" s="56">
        <f t="shared" si="3"/>
        <v>4976500</v>
      </c>
      <c r="N29" s="205">
        <v>4813000</v>
      </c>
      <c r="O29" s="53">
        <f t="shared" si="2"/>
        <v>-163500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45862</v>
      </c>
      <c r="C30" s="199"/>
      <c r="D30" s="202">
        <f>20000</f>
        <v>20000</v>
      </c>
      <c r="E30" s="192">
        <f>5000</f>
        <v>5000</v>
      </c>
      <c r="F30" s="191">
        <f>80000</f>
        <v>80000</v>
      </c>
      <c r="G30" s="192">
        <f>440000+450000+600000+750000</f>
        <v>2240000</v>
      </c>
      <c r="H30" s="191">
        <f>3500+290000+200000+76000</f>
        <v>569500</v>
      </c>
      <c r="I30" s="192">
        <f>4200</f>
        <v>4200</v>
      </c>
      <c r="J30" s="191">
        <f>6500</f>
        <v>6500</v>
      </c>
      <c r="K30" s="199">
        <f>122500</f>
        <v>122500</v>
      </c>
      <c r="L30" s="198">
        <f>62500+184500</f>
        <v>247000</v>
      </c>
      <c r="M30" s="56">
        <f t="shared" si="3"/>
        <v>3294700</v>
      </c>
      <c r="N30" s="204">
        <v>3218700</v>
      </c>
      <c r="O30" s="155">
        <f t="shared" si="2"/>
        <v>-76000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45863</v>
      </c>
      <c r="C31" s="201"/>
      <c r="D31" s="190"/>
      <c r="E31" s="189">
        <f>10000</f>
        <v>10000</v>
      </c>
      <c r="F31" s="190">
        <f>58500</f>
        <v>58500</v>
      </c>
      <c r="G31" s="187">
        <f>850000+3500+130000+551000</f>
        <v>1534500</v>
      </c>
      <c r="H31" s="190">
        <f>90000+1000000+6000+10000+1000000+1500+29000+45500+10000</f>
        <v>2192000</v>
      </c>
      <c r="I31" s="189"/>
      <c r="J31" s="190">
        <f>3500+18500</f>
        <v>22000</v>
      </c>
      <c r="K31" s="189"/>
      <c r="L31" s="190">
        <f>387000</f>
        <v>387000</v>
      </c>
      <c r="M31" s="56">
        <f t="shared" si="3"/>
        <v>4204000</v>
      </c>
      <c r="N31" s="204">
        <v>4158500</v>
      </c>
      <c r="O31" s="53">
        <f t="shared" si="2"/>
        <v>-45500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45864</v>
      </c>
      <c r="C32" s="192"/>
      <c r="D32" s="191"/>
      <c r="E32" s="192"/>
      <c r="F32" s="191"/>
      <c r="G32" s="192">
        <f>8500</f>
        <v>8500</v>
      </c>
      <c r="H32" s="191">
        <f>3594500+62000</f>
        <v>3656500</v>
      </c>
      <c r="I32" s="199"/>
      <c r="J32" s="191">
        <f>6500</f>
        <v>6500</v>
      </c>
      <c r="K32" s="192"/>
      <c r="L32" s="191"/>
      <c r="M32" s="156">
        <f t="shared" si="3"/>
        <v>3671500</v>
      </c>
      <c r="N32" s="207">
        <f>3609500</f>
        <v>3609500</v>
      </c>
      <c r="O32" s="155">
        <f t="shared" si="2"/>
        <v>-62000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45865</v>
      </c>
      <c r="C33" s="192"/>
      <c r="D33" s="191"/>
      <c r="E33" s="192"/>
      <c r="F33" s="191"/>
      <c r="G33" s="192">
        <f>1290000-260000</f>
        <v>1030000</v>
      </c>
      <c r="H33" s="191">
        <f>1719500-90000+55000</f>
        <v>1684500</v>
      </c>
      <c r="I33" s="192"/>
      <c r="J33" s="191">
        <f>3500</f>
        <v>3500</v>
      </c>
      <c r="K33" s="192"/>
      <c r="L33" s="191"/>
      <c r="M33" s="56">
        <f t="shared" si="3"/>
        <v>2718000</v>
      </c>
      <c r="N33" s="204">
        <v>2663000</v>
      </c>
      <c r="O33" s="53">
        <f t="shared" si="2"/>
        <v>-55000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45866</v>
      </c>
      <c r="C34" s="192">
        <f>10000</f>
        <v>10000</v>
      </c>
      <c r="D34" s="191">
        <f>30000</f>
        <v>30000</v>
      </c>
      <c r="E34" s="192"/>
      <c r="F34" s="191"/>
      <c r="G34" s="199">
        <f>3000+950000+1012000+5000</f>
        <v>1970000</v>
      </c>
      <c r="H34" s="198">
        <f>850000+435000+4500+400000+9000+61500</f>
        <v>1760000</v>
      </c>
      <c r="I34" s="199"/>
      <c r="J34" s="198">
        <f>14836+7000+6276.5</f>
        <v>28112.5</v>
      </c>
      <c r="K34" s="199"/>
      <c r="L34" s="198">
        <f>7000+1200</f>
        <v>8200</v>
      </c>
      <c r="M34" s="156">
        <f>SUM(C34:L34)</f>
        <v>3806312.5</v>
      </c>
      <c r="N34" s="207">
        <v>3744812.5</v>
      </c>
      <c r="O34" s="53">
        <f t="shared" si="2"/>
        <v>-61500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45867</v>
      </c>
      <c r="C35" s="192">
        <f>2700000</f>
        <v>2700000</v>
      </c>
      <c r="D35" s="191"/>
      <c r="E35" s="192">
        <f>210000</f>
        <v>210000</v>
      </c>
      <c r="F35" s="191">
        <f>465000</f>
        <v>465000</v>
      </c>
      <c r="G35" s="192">
        <f>1200000+600000+2000+405000</f>
        <v>2207000</v>
      </c>
      <c r="H35" s="191">
        <f>410000+150000+437000+1500+800000+108000</f>
        <v>1906500</v>
      </c>
      <c r="I35" s="192">
        <f>10000+4200</f>
        <v>14200</v>
      </c>
      <c r="J35" s="191">
        <f>3500</f>
        <v>3500</v>
      </c>
      <c r="K35" s="192"/>
      <c r="L35" s="191">
        <f>12500</f>
        <v>12500</v>
      </c>
      <c r="M35" s="56">
        <f t="shared" si="3"/>
        <v>7518700</v>
      </c>
      <c r="N35" s="206">
        <v>7410700</v>
      </c>
      <c r="O35" s="55">
        <f t="shared" si="2"/>
        <v>-108000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45868</v>
      </c>
      <c r="C36" s="192"/>
      <c r="D36" s="191"/>
      <c r="E36" s="192">
        <f>5000</f>
        <v>5000</v>
      </c>
      <c r="F36" s="191">
        <f>20000+910000</f>
        <v>930000</v>
      </c>
      <c r="G36" s="192">
        <f>500000+400000</f>
        <v>900000</v>
      </c>
      <c r="H36" s="191">
        <f>6500+600000+631500+4500+400000+350000-400000+60000+10000</f>
        <v>1662500</v>
      </c>
      <c r="I36" s="192"/>
      <c r="J36" s="191">
        <f>250000+10000+3500</f>
        <v>263500</v>
      </c>
      <c r="K36" s="192"/>
      <c r="L36" s="191">
        <f>53500+54300</f>
        <v>107800</v>
      </c>
      <c r="M36" s="56">
        <f t="shared" si="3"/>
        <v>3868800</v>
      </c>
      <c r="N36" s="206">
        <v>3808800</v>
      </c>
      <c r="O36" s="55">
        <f t="shared" si="2"/>
        <v>-60000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>B36+1</f>
        <v>45869</v>
      </c>
      <c r="C37" s="192">
        <f>10000</f>
        <v>10000</v>
      </c>
      <c r="D37" s="191">
        <f>23000</f>
        <v>23000</v>
      </c>
      <c r="E37" s="192">
        <f>5000</f>
        <v>5000</v>
      </c>
      <c r="F37" s="191">
        <f>20000</f>
        <v>20000</v>
      </c>
      <c r="G37" s="192">
        <f>1000000</f>
        <v>1000000</v>
      </c>
      <c r="H37" s="191">
        <f>380000+450000+125000+540000+4500+652000+55000</f>
        <v>2206500</v>
      </c>
      <c r="I37" s="192">
        <f>1452</f>
        <v>1452</v>
      </c>
      <c r="J37" s="191">
        <f>27000+10900+3500+6500</f>
        <v>47900</v>
      </c>
      <c r="K37" s="192">
        <f>14810</f>
        <v>14810</v>
      </c>
      <c r="L37" s="191">
        <f>102750+17500</f>
        <v>120250</v>
      </c>
      <c r="M37" s="56">
        <f>SUM(C37:L37)</f>
        <v>3448912</v>
      </c>
      <c r="N37" s="206">
        <v>3393912</v>
      </c>
      <c r="O37" s="55">
        <f t="shared" si="2"/>
        <v>-55000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>SUM(C38:L38)</f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7587000</v>
      </c>
      <c r="D39" s="25">
        <f>SUM(D7:D38)</f>
        <v>3064000</v>
      </c>
      <c r="E39" s="24">
        <f t="shared" ref="E39:K39" si="4">SUM(E7:E38)</f>
        <v>2080000</v>
      </c>
      <c r="F39" s="59">
        <f t="shared" si="4"/>
        <v>3740500</v>
      </c>
      <c r="G39" s="24">
        <f t="shared" si="4"/>
        <v>18236000</v>
      </c>
      <c r="H39" s="25">
        <f>SUM(H7:H38)</f>
        <v>33678635</v>
      </c>
      <c r="I39" s="24">
        <f t="shared" si="4"/>
        <v>24052</v>
      </c>
      <c r="J39" s="25">
        <f>SUM(J7:J38)</f>
        <v>586177.5</v>
      </c>
      <c r="K39" s="24">
        <f t="shared" si="4"/>
        <v>229310</v>
      </c>
      <c r="L39" s="25">
        <f>SUM(L7:L38)</f>
        <v>2008971</v>
      </c>
      <c r="M39" s="28">
        <f>SUM(M7:M38)</f>
        <v>71234645.5</v>
      </c>
      <c r="N39" s="27">
        <f>SUM(N7:N38)</f>
        <v>69844645.5</v>
      </c>
      <c r="O39" s="26">
        <f>N39-M39</f>
        <v>-1390000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10651000</v>
      </c>
      <c r="D40" s="282"/>
      <c r="E40" s="267">
        <f>SUM(E39:F39)</f>
        <v>5820500</v>
      </c>
      <c r="F40" s="269"/>
      <c r="G40" s="281">
        <f>SUM(G39:H39)</f>
        <v>51914635</v>
      </c>
      <c r="H40" s="282"/>
      <c r="I40" s="267">
        <f>SUM(I39:J39)</f>
        <v>610229.5</v>
      </c>
      <c r="J40" s="268"/>
      <c r="K40" s="281">
        <f>SUM(K39:L39)</f>
        <v>2238281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61" t="s">
        <v>26</v>
      </c>
      <c r="H43" s="261"/>
      <c r="I43" s="261" t="s">
        <v>27</v>
      </c>
      <c r="J43" s="26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45838</v>
      </c>
      <c r="C45" s="203">
        <v>0</v>
      </c>
      <c r="D45" s="14"/>
      <c r="E45" s="203">
        <v>0</v>
      </c>
      <c r="F45" s="14"/>
      <c r="G45" s="203">
        <v>0</v>
      </c>
      <c r="H45" s="14">
        <v>59000</v>
      </c>
      <c r="I45" s="203"/>
      <c r="J45" s="14">
        <v>52653</v>
      </c>
      <c r="K45" s="134"/>
      <c r="L45" s="14">
        <v>135150</v>
      </c>
      <c r="M45" s="203">
        <v>0</v>
      </c>
      <c r="N45" s="203">
        <f>F45+H45+J45+L45</f>
        <v>246803</v>
      </c>
      <c r="O45" s="203">
        <f>N45-M45</f>
        <v>246803</v>
      </c>
      <c r="P45" s="85">
        <v>45839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45869</v>
      </c>
      <c r="C48" s="203">
        <v>0</v>
      </c>
      <c r="D48" s="14"/>
      <c r="E48" s="203">
        <v>0</v>
      </c>
      <c r="F48" s="14"/>
      <c r="G48" s="203">
        <v>0</v>
      </c>
      <c r="H48" s="14">
        <v>2206500</v>
      </c>
      <c r="I48" s="203">
        <v>0</v>
      </c>
      <c r="J48" s="14">
        <v>35900</v>
      </c>
      <c r="K48" s="134">
        <v>0</v>
      </c>
      <c r="L48" s="14">
        <v>120250</v>
      </c>
      <c r="M48" s="203"/>
      <c r="N48" s="203">
        <f>F48+H48+J48+L48</f>
        <v>2362650</v>
      </c>
      <c r="O48" s="203">
        <f>N48-M48</f>
        <v>2362650</v>
      </c>
      <c r="P48" s="151">
        <v>45870</v>
      </c>
    </row>
    <row r="49" spans="2:28" x14ac:dyDescent="0.25">
      <c r="H49" s="14"/>
      <c r="J49" s="14"/>
      <c r="K49" s="135"/>
      <c r="L49" s="135"/>
    </row>
    <row r="50" spans="2:28" x14ac:dyDescent="0.25">
      <c r="B50" s="261" t="s">
        <v>5</v>
      </c>
      <c r="C50" s="261"/>
      <c r="D50" s="6">
        <f>D45+D46-D47-D48</f>
        <v>0</v>
      </c>
      <c r="E50" s="262">
        <f>F45+F46-F47-F48</f>
        <v>0</v>
      </c>
      <c r="F50" s="263"/>
      <c r="G50" s="262">
        <f>H45+H46-H47-H48</f>
        <v>-2147500</v>
      </c>
      <c r="H50" s="263"/>
      <c r="I50" s="262">
        <f>J45+J46-J47-J48</f>
        <v>16753</v>
      </c>
      <c r="J50" s="263"/>
      <c r="K50" s="262">
        <f>L45+L46-L47-L48</f>
        <v>14900</v>
      </c>
      <c r="L50" s="263"/>
    </row>
    <row r="51" spans="2:28" x14ac:dyDescent="0.25">
      <c r="B51" s="288" t="s">
        <v>12</v>
      </c>
      <c r="C51" s="288"/>
      <c r="D51" s="212">
        <f>D39+D50</f>
        <v>3064000</v>
      </c>
      <c r="E51" s="289">
        <f>F39+E50</f>
        <v>3740500</v>
      </c>
      <c r="F51" s="290"/>
      <c r="G51" s="289">
        <f>H39+G50</f>
        <v>31531135</v>
      </c>
      <c r="H51" s="290"/>
      <c r="I51" s="291">
        <f>J39+I50</f>
        <v>602930.5</v>
      </c>
      <c r="J51" s="292"/>
      <c r="K51" s="289">
        <f>L39+K50</f>
        <v>2023871</v>
      </c>
      <c r="L51" s="290"/>
    </row>
    <row r="52" spans="2:28" s="42" customFormat="1" x14ac:dyDescent="0.25">
      <c r="B52" s="257" t="s">
        <v>17</v>
      </c>
      <c r="C52" s="257"/>
      <c r="D52" s="283">
        <f>SUM(D51:L51)</f>
        <v>40962436.5</v>
      </c>
      <c r="E52" s="283"/>
      <c r="F52" s="283"/>
      <c r="G52" s="283"/>
      <c r="H52" s="283"/>
      <c r="I52" s="221"/>
      <c r="J52" s="221"/>
      <c r="K52" s="221"/>
      <c r="L52" s="221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23090.888656000003</v>
      </c>
      <c r="P54" s="87"/>
      <c r="S54">
        <v>7.48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28156362</v>
      </c>
      <c r="D55" s="149">
        <f>D39+H39+F39+J39+L39</f>
        <v>43078283.5</v>
      </c>
      <c r="E55" s="58"/>
      <c r="F55" s="58"/>
      <c r="M55" s="63" t="s">
        <v>25</v>
      </c>
      <c r="N55" s="64">
        <f>N59*S55/100</f>
        <v>28184.467036000002</v>
      </c>
      <c r="P55" s="88"/>
      <c r="S55">
        <v>9.1300000000000008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71234645.5</v>
      </c>
      <c r="D56" s="285"/>
      <c r="E56" s="57"/>
      <c r="F56" s="57"/>
      <c r="M56" s="63" t="s">
        <v>28</v>
      </c>
      <c r="N56" s="64">
        <f>N59*S56/100</f>
        <v>237638.58405599999</v>
      </c>
      <c r="R56" s="87"/>
      <c r="S56">
        <v>76.98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4537.9152839999997</v>
      </c>
      <c r="S57">
        <v>1.47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15249.864968000002</v>
      </c>
      <c r="S58">
        <v>4.9400000000000004</v>
      </c>
      <c r="Y58" s="4"/>
      <c r="AA58" s="78"/>
      <c r="AB58" s="68"/>
    </row>
    <row r="59" spans="2:28" x14ac:dyDescent="0.25">
      <c r="J59" t="s">
        <v>3</v>
      </c>
      <c r="N59" s="64">
        <v>308701.71999999997</v>
      </c>
      <c r="O59" s="211"/>
      <c r="S59" s="68">
        <f>SUM(S54:S58)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69118798.5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72"/>
  <sheetViews>
    <sheetView topLeftCell="A37" workbookViewId="0">
      <selection activeCell="H48" sqref="H4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141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45901</v>
      </c>
      <c r="C7" s="192"/>
      <c r="D7" s="191"/>
      <c r="E7" s="192"/>
      <c r="F7" s="191"/>
      <c r="G7" s="193">
        <f>640000+5000</f>
        <v>645000</v>
      </c>
      <c r="H7" s="194">
        <f>760000+79000</f>
        <v>839000</v>
      </c>
      <c r="I7" s="193">
        <f>50000</f>
        <v>50000</v>
      </c>
      <c r="J7" s="194">
        <v>3500</v>
      </c>
      <c r="K7" s="193">
        <f>4500</f>
        <v>4500</v>
      </c>
      <c r="L7" s="194">
        <f>32000</f>
        <v>32000</v>
      </c>
      <c r="M7" s="56">
        <f t="shared" ref="M7:M13" si="0">SUM(C7:L7)</f>
        <v>1574000</v>
      </c>
      <c r="N7" s="205">
        <v>1495000</v>
      </c>
      <c r="O7" s="53">
        <f>N7-M7</f>
        <v>-79000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1">B7+1</f>
        <v>45902</v>
      </c>
      <c r="C8" s="195"/>
      <c r="D8" s="191"/>
      <c r="E8" s="192">
        <f>1860000</f>
        <v>1860000</v>
      </c>
      <c r="F8" s="191">
        <f>8500</f>
        <v>8500</v>
      </c>
      <c r="G8" s="195">
        <f>282000+125000</f>
        <v>407000</v>
      </c>
      <c r="H8" s="191">
        <f>35000+100000+160000-10000+27000</f>
        <v>312000</v>
      </c>
      <c r="I8" s="195"/>
      <c r="J8" s="191">
        <f>23661.29+18500+10000.71</f>
        <v>52162</v>
      </c>
      <c r="K8" s="195">
        <f>3500+12000+10000</f>
        <v>25500</v>
      </c>
      <c r="L8" s="191">
        <f>151525</f>
        <v>151525</v>
      </c>
      <c r="M8" s="56">
        <f t="shared" si="0"/>
        <v>2816687</v>
      </c>
      <c r="N8" s="205">
        <v>2789687</v>
      </c>
      <c r="O8" s="53">
        <f t="shared" ref="O8:O36" si="2">N8-M8</f>
        <v>-27000</v>
      </c>
      <c r="Z8" s="78"/>
      <c r="AB8" s="68"/>
    </row>
    <row r="9" spans="2:28" x14ac:dyDescent="0.25">
      <c r="B9" s="15">
        <f t="shared" si="1"/>
        <v>45903</v>
      </c>
      <c r="C9" s="192"/>
      <c r="D9" s="196"/>
      <c r="E9" s="192">
        <f>5000</f>
        <v>5000</v>
      </c>
      <c r="F9" s="191">
        <f>630000</f>
        <v>630000</v>
      </c>
      <c r="G9" s="192">
        <f>500000</f>
        <v>500000</v>
      </c>
      <c r="H9" s="191">
        <f>1500+380000+700000+28000</f>
        <v>1109500</v>
      </c>
      <c r="I9" s="192"/>
      <c r="J9" s="191">
        <f>15000+8750</f>
        <v>23750</v>
      </c>
      <c r="K9" s="192">
        <f>4500</f>
        <v>4500</v>
      </c>
      <c r="L9" s="191">
        <f>78500</f>
        <v>78500</v>
      </c>
      <c r="M9" s="56">
        <f t="shared" si="0"/>
        <v>2351250</v>
      </c>
      <c r="N9" s="204">
        <v>2323250</v>
      </c>
      <c r="O9" s="53">
        <f t="shared" si="2"/>
        <v>-28000</v>
      </c>
      <c r="P9" s="101"/>
      <c r="Z9" s="78"/>
      <c r="AB9" s="68"/>
    </row>
    <row r="10" spans="2:28" x14ac:dyDescent="0.25">
      <c r="B10" s="15">
        <f t="shared" si="1"/>
        <v>45904</v>
      </c>
      <c r="C10" s="192"/>
      <c r="D10" s="196"/>
      <c r="E10" s="192"/>
      <c r="F10" s="191">
        <f>5000</f>
        <v>5000</v>
      </c>
      <c r="G10" s="192">
        <f>124200+2000+1500+540000+175000</f>
        <v>842700</v>
      </c>
      <c r="H10" s="191">
        <f>990000+1500+4000+475000+607000+380000+77000</f>
        <v>2534500</v>
      </c>
      <c r="I10" s="192"/>
      <c r="J10" s="191">
        <f>8400</f>
        <v>8400</v>
      </c>
      <c r="K10" s="192"/>
      <c r="L10" s="191">
        <f>9750</f>
        <v>9750</v>
      </c>
      <c r="M10" s="56">
        <f t="shared" si="0"/>
        <v>3400350</v>
      </c>
      <c r="N10" s="204">
        <v>3323350</v>
      </c>
      <c r="O10" s="53">
        <f>N10-M10</f>
        <v>-77000</v>
      </c>
      <c r="P10" s="101"/>
      <c r="Z10" s="78"/>
      <c r="AB10" s="68"/>
    </row>
    <row r="11" spans="2:28" x14ac:dyDescent="0.25">
      <c r="B11" s="15">
        <f t="shared" si="1"/>
        <v>45905</v>
      </c>
      <c r="C11" s="195"/>
      <c r="D11" s="191"/>
      <c r="E11" s="192">
        <f>8500</f>
        <v>8500</v>
      </c>
      <c r="F11" s="191">
        <f>5000</f>
        <v>5000</v>
      </c>
      <c r="G11" s="195">
        <f>7000</f>
        <v>7000</v>
      </c>
      <c r="H11" s="195">
        <f>35000+403000+1020000+1500+56510+150000</f>
        <v>1666010</v>
      </c>
      <c r="I11" s="195">
        <f>30000+4500+8000+3500</f>
        <v>46000</v>
      </c>
      <c r="J11" s="191">
        <f>3500+13400+3000</f>
        <v>19900</v>
      </c>
      <c r="K11" s="195">
        <f>3500+7000</f>
        <v>10500</v>
      </c>
      <c r="L11" s="191">
        <f>41200+22050+140</f>
        <v>63390</v>
      </c>
      <c r="M11" s="56">
        <f t="shared" si="0"/>
        <v>1826300</v>
      </c>
      <c r="N11" s="205">
        <v>1769790</v>
      </c>
      <c r="O11" s="53">
        <f>N11-M11</f>
        <v>-56510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45906</v>
      </c>
      <c r="C12" s="192"/>
      <c r="D12" s="191"/>
      <c r="E12" s="192"/>
      <c r="F12" s="191"/>
      <c r="G12" s="192">
        <f>200000+560000+1500+600000</f>
        <v>1361500</v>
      </c>
      <c r="H12" s="191">
        <f>3000+925000+380000+4000+43500</f>
        <v>1355500</v>
      </c>
      <c r="I12" s="192"/>
      <c r="J12" s="191"/>
      <c r="K12" s="192"/>
      <c r="L12" s="191">
        <f>113702</f>
        <v>113702</v>
      </c>
      <c r="M12" s="56">
        <f t="shared" si="0"/>
        <v>2830702</v>
      </c>
      <c r="N12" s="205">
        <v>2787202</v>
      </c>
      <c r="O12" s="53">
        <f>N12-M12</f>
        <v>-43500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45907</v>
      </c>
      <c r="C13" s="192"/>
      <c r="D13" s="191"/>
      <c r="E13" s="192"/>
      <c r="F13" s="191"/>
      <c r="G13" s="192">
        <f>290000+590000</f>
        <v>880000</v>
      </c>
      <c r="H13" s="191">
        <f>520000+410000+322000+2010000+32000</f>
        <v>3294000</v>
      </c>
      <c r="I13" s="192">
        <f>3500</f>
        <v>3500</v>
      </c>
      <c r="J13" s="191"/>
      <c r="K13" s="192"/>
      <c r="L13" s="191">
        <f>40000+130314</f>
        <v>170314</v>
      </c>
      <c r="M13" s="56">
        <f t="shared" si="0"/>
        <v>4347814</v>
      </c>
      <c r="N13" s="205">
        <v>4315814</v>
      </c>
      <c r="O13" s="53">
        <f>N13-M13</f>
        <v>-32000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45908</v>
      </c>
      <c r="C14" s="192"/>
      <c r="D14" s="191">
        <f>115000</f>
        <v>115000</v>
      </c>
      <c r="E14" s="192"/>
      <c r="F14" s="191"/>
      <c r="G14" s="192">
        <f>950000+440000+3000</f>
        <v>1393000</v>
      </c>
      <c r="H14" s="191">
        <f>14000+10000+7500+5000+12000+36500+450000</f>
        <v>535000</v>
      </c>
      <c r="I14" s="192">
        <f>3500</f>
        <v>3500</v>
      </c>
      <c r="J14" s="191">
        <f>4500+9500</f>
        <v>14000</v>
      </c>
      <c r="K14" s="192">
        <f>3500+15500</f>
        <v>19000</v>
      </c>
      <c r="L14" s="191">
        <f>49500</f>
        <v>49500</v>
      </c>
      <c r="M14" s="56">
        <f t="shared" ref="M14:M36" si="3">SUM(C14:L14)</f>
        <v>2129000</v>
      </c>
      <c r="N14" s="204">
        <v>2092500</v>
      </c>
      <c r="O14" s="53">
        <f>N14-M14</f>
        <v>-36500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45909</v>
      </c>
      <c r="C15" s="192"/>
      <c r="D15" s="200"/>
      <c r="E15" s="192">
        <f>66000+1510000</f>
        <v>1576000</v>
      </c>
      <c r="F15" s="191">
        <f>630000</f>
        <v>630000</v>
      </c>
      <c r="G15" s="192">
        <f>10000</f>
        <v>10000</v>
      </c>
      <c r="H15" s="191">
        <f>430000+65000+2000+23000</f>
        <v>520000</v>
      </c>
      <c r="I15" s="192"/>
      <c r="J15" s="191">
        <f>6500+6500+1800</f>
        <v>14800</v>
      </c>
      <c r="K15" s="192">
        <f>3500</f>
        <v>3500</v>
      </c>
      <c r="L15" s="191">
        <f>37500</f>
        <v>37500</v>
      </c>
      <c r="M15" s="56">
        <f t="shared" si="3"/>
        <v>2791800</v>
      </c>
      <c r="N15" s="204">
        <v>2768800</v>
      </c>
      <c r="O15" s="53">
        <f t="shared" si="2"/>
        <v>-23000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45910</v>
      </c>
      <c r="C16" s="197"/>
      <c r="D16" s="191">
        <f>20000</f>
        <v>20000</v>
      </c>
      <c r="E16" s="192">
        <f>5000</f>
        <v>5000</v>
      </c>
      <c r="F16" s="191">
        <f>718500</f>
        <v>718500</v>
      </c>
      <c r="G16" s="197"/>
      <c r="H16" s="191">
        <f>380000+380000+42500</f>
        <v>802500</v>
      </c>
      <c r="I16" s="195">
        <f>5000+3500</f>
        <v>8500</v>
      </c>
      <c r="J16" s="191">
        <f>16336.29+10900</f>
        <v>27236.29</v>
      </c>
      <c r="K16" s="195"/>
      <c r="L16" s="191">
        <f>47278+3500</f>
        <v>50778</v>
      </c>
      <c r="M16" s="56">
        <f t="shared" si="3"/>
        <v>1632514.29</v>
      </c>
      <c r="N16" s="205">
        <v>1587514</v>
      </c>
      <c r="O16" s="53">
        <f t="shared" si="2"/>
        <v>-45000.290000000037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45911</v>
      </c>
      <c r="C17" s="216">
        <f>75000</f>
        <v>75000</v>
      </c>
      <c r="D17" s="217">
        <f>75000</f>
        <v>75000</v>
      </c>
      <c r="E17" s="218">
        <f>836000</f>
        <v>836000</v>
      </c>
      <c r="F17" s="219">
        <f>5000</f>
        <v>5000</v>
      </c>
      <c r="G17" s="216">
        <f>390000+510000</f>
        <v>900000</v>
      </c>
      <c r="H17" s="219">
        <f>290000+1500+350000+36500</f>
        <v>678000</v>
      </c>
      <c r="I17" s="216"/>
      <c r="J17" s="219">
        <f>11935+3500+6900</f>
        <v>22335</v>
      </c>
      <c r="K17" s="216">
        <f>19000</f>
        <v>19000</v>
      </c>
      <c r="L17" s="219">
        <f>10500</f>
        <v>10500</v>
      </c>
      <c r="M17" s="176">
        <f t="shared" si="3"/>
        <v>2620835</v>
      </c>
      <c r="N17" s="208">
        <v>2584335</v>
      </c>
      <c r="O17" s="178">
        <f>N17-M17</f>
        <v>-36500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45912</v>
      </c>
      <c r="C18" s="195"/>
      <c r="D18" s="191"/>
      <c r="E18" s="192"/>
      <c r="F18" s="191">
        <f>18500</f>
        <v>18500</v>
      </c>
      <c r="G18" s="195">
        <f>250000+450000+185000+440000</f>
        <v>1325000</v>
      </c>
      <c r="H18" s="191">
        <f>910000+2035+3500</f>
        <v>915535</v>
      </c>
      <c r="I18" s="195"/>
      <c r="J18" s="191">
        <f>10500+6500+3500</f>
        <v>20500</v>
      </c>
      <c r="K18" s="195">
        <f>17500</f>
        <v>17500</v>
      </c>
      <c r="L18" s="191">
        <f>3500+52400+61066.32</f>
        <v>116966.32</v>
      </c>
      <c r="M18" s="176">
        <f t="shared" si="3"/>
        <v>2414001.3199999998</v>
      </c>
      <c r="N18" s="210">
        <v>2410501</v>
      </c>
      <c r="O18" s="178">
        <f t="shared" si="2"/>
        <v>-3500.3199999998324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45913</v>
      </c>
      <c r="C19" s="192"/>
      <c r="D19" s="191"/>
      <c r="E19" s="192"/>
      <c r="F19" s="191">
        <f>6000</f>
        <v>6000</v>
      </c>
      <c r="G19" s="192">
        <f>2000+2500+1355000+5000</f>
        <v>1364500</v>
      </c>
      <c r="H19" s="191">
        <f>5000+35000+1380000+4000+103000</f>
        <v>1527000</v>
      </c>
      <c r="I19" s="192"/>
      <c r="J19" s="191">
        <f>52000</f>
        <v>52000</v>
      </c>
      <c r="K19" s="192"/>
      <c r="L19" s="191">
        <f>129500</f>
        <v>129500</v>
      </c>
      <c r="M19" s="56">
        <f>SUM(C19:L19)</f>
        <v>3079000</v>
      </c>
      <c r="N19" s="205">
        <v>2976000</v>
      </c>
      <c r="O19" s="178">
        <f t="shared" si="2"/>
        <v>-103000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45914</v>
      </c>
      <c r="C20" s="192"/>
      <c r="D20" s="188">
        <f>150000</f>
        <v>150000</v>
      </c>
      <c r="E20" s="192"/>
      <c r="F20" s="191"/>
      <c r="G20" s="192"/>
      <c r="H20" s="191">
        <f>550000+350000+340000+53000</f>
        <v>1293000</v>
      </c>
      <c r="I20" s="192"/>
      <c r="J20" s="191"/>
      <c r="K20" s="192"/>
      <c r="L20" s="191">
        <f>7000</f>
        <v>7000</v>
      </c>
      <c r="M20" s="56">
        <f t="shared" si="3"/>
        <v>1450000</v>
      </c>
      <c r="N20" s="205">
        <v>1397000</v>
      </c>
      <c r="O20" s="178">
        <f t="shared" si="2"/>
        <v>-53000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45915</v>
      </c>
      <c r="C21" s="192"/>
      <c r="D21" s="191">
        <f>30000</f>
        <v>30000</v>
      </c>
      <c r="E21" s="192"/>
      <c r="F21" s="191">
        <f>6000</f>
        <v>6000</v>
      </c>
      <c r="G21" s="192">
        <f>600000+10000+600000</f>
        <v>1210000</v>
      </c>
      <c r="H21" s="191">
        <f>1500+995000+1500+675000+6000+46000</f>
        <v>1725000</v>
      </c>
      <c r="I21" s="192"/>
      <c r="J21" s="191">
        <f>3500+6500+3500+7500</f>
        <v>21000</v>
      </c>
      <c r="K21" s="192">
        <f>9500</f>
        <v>9500</v>
      </c>
      <c r="L21" s="191">
        <f>19100</f>
        <v>19100</v>
      </c>
      <c r="M21" s="56">
        <f t="shared" si="3"/>
        <v>3020600</v>
      </c>
      <c r="N21" s="207">
        <v>2974600</v>
      </c>
      <c r="O21" s="181">
        <f t="shared" si="2"/>
        <v>-46000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45916</v>
      </c>
      <c r="C22" s="192">
        <f>900000</f>
        <v>900000</v>
      </c>
      <c r="D22" s="200">
        <f>60000</f>
        <v>60000</v>
      </c>
      <c r="E22" s="192"/>
      <c r="F22" s="191"/>
      <c r="G22" s="192">
        <f>75</f>
        <v>75</v>
      </c>
      <c r="H22" s="191">
        <f>580000+510000+500000+38000</f>
        <v>1628000</v>
      </c>
      <c r="I22" s="192"/>
      <c r="J22" s="191">
        <f>15000+3500</f>
        <v>18500</v>
      </c>
      <c r="K22" s="189">
        <f>55178</f>
        <v>55178</v>
      </c>
      <c r="L22" s="190">
        <f>33500</f>
        <v>33500</v>
      </c>
      <c r="M22" s="56">
        <f t="shared" si="3"/>
        <v>2695253</v>
      </c>
      <c r="N22" s="205">
        <v>2657253</v>
      </c>
      <c r="O22" s="178">
        <f t="shared" si="2"/>
        <v>-38000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45917</v>
      </c>
      <c r="C23" s="192"/>
      <c r="D23" s="191">
        <f>330000</f>
        <v>330000</v>
      </c>
      <c r="E23" s="192"/>
      <c r="F23" s="191">
        <f>9500</f>
        <v>9500</v>
      </c>
      <c r="G23" s="192">
        <f>40000</f>
        <v>40000</v>
      </c>
      <c r="H23" s="191">
        <f>30000+7000+3500+53500</f>
        <v>94000</v>
      </c>
      <c r="I23" s="192"/>
      <c r="J23" s="191">
        <f>3500</f>
        <v>3500</v>
      </c>
      <c r="K23" s="192"/>
      <c r="L23" s="191">
        <f>3500+1500</f>
        <v>5000</v>
      </c>
      <c r="M23" s="56">
        <f t="shared" si="3"/>
        <v>482000</v>
      </c>
      <c r="N23" s="205">
        <v>428500</v>
      </c>
      <c r="O23" s="181">
        <f t="shared" si="2"/>
        <v>-53500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45918</v>
      </c>
      <c r="C24" s="195"/>
      <c r="D24" s="191"/>
      <c r="E24" s="192"/>
      <c r="F24" s="191"/>
      <c r="G24" s="195">
        <f>230000+610000+1200000</f>
        <v>2040000</v>
      </c>
      <c r="H24" s="191">
        <f>100000+440000+5000</f>
        <v>545000</v>
      </c>
      <c r="I24" s="195"/>
      <c r="J24" s="191">
        <f>3500+21900+1750+4200</f>
        <v>31350</v>
      </c>
      <c r="K24" s="195"/>
      <c r="L24" s="191">
        <f>6000</f>
        <v>6000</v>
      </c>
      <c r="M24" s="56">
        <f>SUM(C24:L24)</f>
        <v>2622350</v>
      </c>
      <c r="N24" s="204">
        <v>2617350</v>
      </c>
      <c r="O24" s="178">
        <f t="shared" si="2"/>
        <v>-5000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45919</v>
      </c>
      <c r="C25" s="192"/>
      <c r="D25" s="191"/>
      <c r="E25" s="192"/>
      <c r="F25" s="191">
        <f>6000</f>
        <v>6000</v>
      </c>
      <c r="G25" s="192">
        <f>410000+480000+7000+350000</f>
        <v>1247000</v>
      </c>
      <c r="H25" s="191">
        <f>3000+400000+21000+12000</f>
        <v>436000</v>
      </c>
      <c r="I25" s="192"/>
      <c r="J25" s="191"/>
      <c r="K25" s="192">
        <f>15500</f>
        <v>15500</v>
      </c>
      <c r="L25" s="191">
        <f>147500+660000</f>
        <v>807500</v>
      </c>
      <c r="M25" s="56">
        <f>SUM(C25:L25)</f>
        <v>2512000</v>
      </c>
      <c r="N25" s="208">
        <v>2500000</v>
      </c>
      <c r="O25" s="178">
        <f t="shared" si="2"/>
        <v>-12000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45920</v>
      </c>
      <c r="C26" s="192"/>
      <c r="D26" s="191"/>
      <c r="E26" s="192"/>
      <c r="F26" s="191"/>
      <c r="G26" s="192">
        <f>400000+440000+350000</f>
        <v>1190000</v>
      </c>
      <c r="H26" s="191">
        <f>1703500+150000+19500</f>
        <v>1873000</v>
      </c>
      <c r="I26" s="192"/>
      <c r="J26" s="191">
        <f>5760</f>
        <v>5760</v>
      </c>
      <c r="K26" s="192">
        <f>7000</f>
        <v>7000</v>
      </c>
      <c r="L26" s="191">
        <f>20900</f>
        <v>20900</v>
      </c>
      <c r="M26" s="56">
        <f>SUM(C26:L26)</f>
        <v>3096660</v>
      </c>
      <c r="N26" s="205">
        <v>3077160</v>
      </c>
      <c r="O26" s="178">
        <f t="shared" si="2"/>
        <v>-19500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45921</v>
      </c>
      <c r="C27" s="192"/>
      <c r="D27" s="191"/>
      <c r="E27" s="192"/>
      <c r="F27" s="191">
        <f>6000</f>
        <v>6000</v>
      </c>
      <c r="G27" s="192">
        <f>640000+600000</f>
        <v>1240000</v>
      </c>
      <c r="H27" s="191">
        <f>1230000+1500+240000+455000+700000</f>
        <v>2626500</v>
      </c>
      <c r="I27" s="192"/>
      <c r="J27" s="198">
        <f>6925</f>
        <v>6925</v>
      </c>
      <c r="K27" s="192"/>
      <c r="L27" s="191"/>
      <c r="M27" s="56">
        <f>SUM(C27:L27)</f>
        <v>3879425</v>
      </c>
      <c r="N27" s="205">
        <v>3879425</v>
      </c>
      <c r="O27" s="178">
        <f t="shared" si="2"/>
        <v>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45922</v>
      </c>
      <c r="C28" s="192"/>
      <c r="D28" s="191"/>
      <c r="E28" s="192">
        <f>3500</f>
        <v>3500</v>
      </c>
      <c r="F28" s="191"/>
      <c r="G28" s="192">
        <f>1290000+930000</f>
        <v>2220000</v>
      </c>
      <c r="H28" s="191">
        <f>6000+631500+5000+400000+7000+23000</f>
        <v>1072500</v>
      </c>
      <c r="I28" s="192"/>
      <c r="J28" s="191"/>
      <c r="K28" s="192"/>
      <c r="L28" s="191">
        <f>118050</f>
        <v>118050</v>
      </c>
      <c r="M28" s="56">
        <f>SUM(C28:L28)</f>
        <v>3414050</v>
      </c>
      <c r="N28" s="205">
        <v>3391050</v>
      </c>
      <c r="O28" s="178">
        <f t="shared" si="2"/>
        <v>-23000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45923</v>
      </c>
      <c r="C29" s="192"/>
      <c r="D29" s="191"/>
      <c r="E29" s="192"/>
      <c r="F29" s="191">
        <f>6000</f>
        <v>6000</v>
      </c>
      <c r="G29" s="192">
        <f>575000+75+256000</f>
        <v>831075</v>
      </c>
      <c r="H29" s="191">
        <f>965000+600000+585000+94000+400000+30000</f>
        <v>2674000</v>
      </c>
      <c r="I29" s="192"/>
      <c r="J29" s="191"/>
      <c r="K29" s="192">
        <f>40000</f>
        <v>40000</v>
      </c>
      <c r="L29" s="191">
        <f>37500</f>
        <v>37500</v>
      </c>
      <c r="M29" s="56">
        <f t="shared" si="3"/>
        <v>3588575</v>
      </c>
      <c r="N29" s="205">
        <v>3558575</v>
      </c>
      <c r="O29" s="178">
        <f t="shared" si="2"/>
        <v>-30000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45924</v>
      </c>
      <c r="C30" s="199"/>
      <c r="D30" s="202"/>
      <c r="E30" s="192"/>
      <c r="F30" s="191"/>
      <c r="G30" s="192">
        <f>95000+413000+500000</f>
        <v>1008000</v>
      </c>
      <c r="H30" s="191">
        <f>3000+850000+41500+255000</f>
        <v>1149500</v>
      </c>
      <c r="I30" s="192"/>
      <c r="J30" s="191">
        <f>3500</f>
        <v>3500</v>
      </c>
      <c r="K30" s="199">
        <f>40000</f>
        <v>40000</v>
      </c>
      <c r="L30" s="198">
        <f>27000</f>
        <v>27000</v>
      </c>
      <c r="M30" s="56">
        <f t="shared" si="3"/>
        <v>2228000</v>
      </c>
      <c r="N30" s="205">
        <v>2186500</v>
      </c>
      <c r="O30" s="178">
        <f t="shared" si="2"/>
        <v>-41500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45925</v>
      </c>
      <c r="C31" s="201"/>
      <c r="D31" s="190"/>
      <c r="E31" s="189"/>
      <c r="F31" s="190">
        <f>6000</f>
        <v>6000</v>
      </c>
      <c r="G31" s="187">
        <f>800000+540000</f>
        <v>1340000</v>
      </c>
      <c r="H31" s="190">
        <f>85000+215000+380000+600000+400000+27000</f>
        <v>1707000</v>
      </c>
      <c r="I31" s="189">
        <f>3500+6400</f>
        <v>9900</v>
      </c>
      <c r="J31" s="190">
        <f>6500+6500+60000+600</f>
        <v>73600</v>
      </c>
      <c r="K31" s="189"/>
      <c r="L31" s="190">
        <f>101800+2500</f>
        <v>104300</v>
      </c>
      <c r="M31" s="56">
        <f t="shared" si="3"/>
        <v>3240800</v>
      </c>
      <c r="N31" s="205">
        <v>3213800</v>
      </c>
      <c r="O31" s="178">
        <f t="shared" si="2"/>
        <v>-27000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45926</v>
      </c>
      <c r="C32" s="192"/>
      <c r="D32" s="191"/>
      <c r="E32" s="192"/>
      <c r="F32" s="191"/>
      <c r="G32" s="192">
        <f>220000+995500+21000</f>
        <v>1236500</v>
      </c>
      <c r="H32" s="191">
        <f>320000+380000+1040000+35000+19000</f>
        <v>1794000</v>
      </c>
      <c r="I32" s="199">
        <f>17500+27000</f>
        <v>44500</v>
      </c>
      <c r="J32" s="191">
        <f>3500+3500</f>
        <v>7000</v>
      </c>
      <c r="K32" s="192"/>
      <c r="L32" s="191">
        <f>53500</f>
        <v>53500</v>
      </c>
      <c r="M32" s="56">
        <f t="shared" si="3"/>
        <v>3135500</v>
      </c>
      <c r="N32" s="205">
        <v>3116500</v>
      </c>
      <c r="O32" s="178">
        <f t="shared" si="2"/>
        <v>-19000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45927</v>
      </c>
      <c r="C33" s="192"/>
      <c r="D33" s="191"/>
      <c r="E33" s="192"/>
      <c r="F33" s="191"/>
      <c r="G33" s="192">
        <f>50000+10000+380000</f>
        <v>440000</v>
      </c>
      <c r="H33" s="191">
        <f>450000+252000+390000+1945000+235000+478000</f>
        <v>3750000</v>
      </c>
      <c r="I33" s="192">
        <f>15000</f>
        <v>15000</v>
      </c>
      <c r="J33" s="191">
        <f>3500+15000</f>
        <v>18500</v>
      </c>
      <c r="K33" s="192"/>
      <c r="L33" s="191">
        <f>135830</f>
        <v>135830</v>
      </c>
      <c r="M33" s="56">
        <f t="shared" si="3"/>
        <v>4359330</v>
      </c>
      <c r="N33" s="205">
        <v>3881330</v>
      </c>
      <c r="O33" s="178">
        <f t="shared" si="2"/>
        <v>-478000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45928</v>
      </c>
      <c r="C34" s="192"/>
      <c r="D34" s="200"/>
      <c r="E34" s="192"/>
      <c r="F34" s="191">
        <f>6000</f>
        <v>6000</v>
      </c>
      <c r="G34" s="199">
        <f>600000+383000</f>
        <v>983000</v>
      </c>
      <c r="H34" s="198">
        <f>15000+165000+490000+20000+600000+1500+4500+43000</f>
        <v>1339000</v>
      </c>
      <c r="I34" s="199"/>
      <c r="J34" s="198">
        <f>3000+3500</f>
        <v>6500</v>
      </c>
      <c r="K34" s="199"/>
      <c r="L34" s="198">
        <f>51300</f>
        <v>51300</v>
      </c>
      <c r="M34" s="56">
        <f t="shared" si="3"/>
        <v>2385800</v>
      </c>
      <c r="N34" s="205">
        <v>2342800</v>
      </c>
      <c r="O34" s="178">
        <f t="shared" si="2"/>
        <v>-43000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45929</v>
      </c>
      <c r="C35" s="192"/>
      <c r="D35" s="200"/>
      <c r="E35" s="192"/>
      <c r="F35" s="191"/>
      <c r="G35" s="192">
        <f>5000+940000+6000+1500</f>
        <v>952500</v>
      </c>
      <c r="H35" s="191">
        <f>12000+450000+47200+540000+3000+450000+28000+46000</f>
        <v>1576200</v>
      </c>
      <c r="I35" s="192">
        <f>7000-3500</f>
        <v>3500</v>
      </c>
      <c r="J35" s="191">
        <v>3500</v>
      </c>
      <c r="K35" s="192"/>
      <c r="L35" s="191">
        <f>73500</f>
        <v>73500</v>
      </c>
      <c r="M35" s="56">
        <f t="shared" si="3"/>
        <v>2609200</v>
      </c>
      <c r="N35" s="205">
        <v>2563200</v>
      </c>
      <c r="O35" s="224">
        <f t="shared" si="2"/>
        <v>-46000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45930</v>
      </c>
      <c r="C36" s="192"/>
      <c r="D36" s="200"/>
      <c r="E36" s="192">
        <f>1600000</f>
        <v>1600000</v>
      </c>
      <c r="F36" s="191">
        <f>996000</f>
        <v>996000</v>
      </c>
      <c r="G36" s="192">
        <f>2000+10000</f>
        <v>12000</v>
      </c>
      <c r="H36" s="191">
        <f>972000+45000</f>
        <v>1017000</v>
      </c>
      <c r="I36" s="192"/>
      <c r="J36" s="191">
        <v>31500</v>
      </c>
      <c r="K36" s="192">
        <f>3500</f>
        <v>3500</v>
      </c>
      <c r="L36" s="191">
        <f>138050-40000</f>
        <v>98050</v>
      </c>
      <c r="M36" s="56">
        <f t="shared" si="3"/>
        <v>3758050</v>
      </c>
      <c r="N36" s="206">
        <v>3713050</v>
      </c>
      <c r="O36" s="223">
        <f t="shared" si="2"/>
        <v>-45000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/>
      <c r="I37" s="192"/>
      <c r="J37" s="191"/>
      <c r="K37" s="192"/>
      <c r="L37" s="191"/>
      <c r="M37" s="56">
        <f>SUM(C37:L37)</f>
        <v>0</v>
      </c>
      <c r="N37" s="206"/>
      <c r="O37" s="55">
        <f>N37-M37</f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>
        <f>SUM(C38:L38)</f>
        <v>0</v>
      </c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975000</v>
      </c>
      <c r="D39" s="25">
        <f>SUM(D7:D38)</f>
        <v>780000</v>
      </c>
      <c r="E39" s="24">
        <f t="shared" ref="E39:K39" si="4">SUM(E7:E38)</f>
        <v>5894000</v>
      </c>
      <c r="F39" s="59">
        <f t="shared" si="4"/>
        <v>3068000</v>
      </c>
      <c r="G39" s="24">
        <f t="shared" si="4"/>
        <v>25625850</v>
      </c>
      <c r="H39" s="25">
        <f>SUM(H7:H38)</f>
        <v>42388245</v>
      </c>
      <c r="I39" s="24">
        <f t="shared" si="4"/>
        <v>184400</v>
      </c>
      <c r="J39" s="25">
        <f>SUM(J7:J38)</f>
        <v>489718.29000000004</v>
      </c>
      <c r="K39" s="24">
        <f t="shared" si="4"/>
        <v>274678</v>
      </c>
      <c r="L39" s="25">
        <f>SUM(L7:L38)</f>
        <v>2611955.3200000003</v>
      </c>
      <c r="M39" s="28">
        <f>SUM(M7:M38)</f>
        <v>82291846.609999999</v>
      </c>
      <c r="N39" s="27">
        <f>SUM(N7:N38)</f>
        <v>80721836</v>
      </c>
      <c r="O39" s="26">
        <f>N39-M39</f>
        <v>-1570010.6099999994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1755000</v>
      </c>
      <c r="D40" s="282"/>
      <c r="E40" s="267">
        <f>SUM(E39:F39)</f>
        <v>8962000</v>
      </c>
      <c r="F40" s="268"/>
      <c r="G40" s="281">
        <f>SUM(G39:H39)</f>
        <v>68014095</v>
      </c>
      <c r="H40" s="282"/>
      <c r="I40" s="267">
        <f>SUM(I39:J39)</f>
        <v>674118.29</v>
      </c>
      <c r="J40" s="268"/>
      <c r="K40" s="281">
        <f>SUM(K39:L39)</f>
        <v>2886633.3200000003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45900</v>
      </c>
      <c r="C45" s="203">
        <v>0</v>
      </c>
      <c r="D45" s="14"/>
      <c r="E45" s="203">
        <v>0</v>
      </c>
      <c r="F45" s="14"/>
      <c r="G45" s="203">
        <v>0</v>
      </c>
      <c r="H45" s="14">
        <v>1321500</v>
      </c>
      <c r="I45" s="203"/>
      <c r="J45" s="14"/>
      <c r="K45" s="134"/>
      <c r="L45" s="14">
        <v>7750</v>
      </c>
      <c r="M45" s="203">
        <v>0</v>
      </c>
      <c r="N45" s="203">
        <f>F45+H45+J45+L45</f>
        <v>1329250</v>
      </c>
      <c r="O45" s="203">
        <f>N45-M45</f>
        <v>1329250</v>
      </c>
      <c r="P45" s="85">
        <v>45901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45930</v>
      </c>
      <c r="C48" s="203">
        <v>0</v>
      </c>
      <c r="D48" s="14"/>
      <c r="E48" s="203">
        <v>0</v>
      </c>
      <c r="F48" s="14">
        <v>996000</v>
      </c>
      <c r="G48" s="203">
        <v>0</v>
      </c>
      <c r="H48" s="14">
        <v>1007000</v>
      </c>
      <c r="I48" s="203">
        <v>0</v>
      </c>
      <c r="J48" s="14">
        <v>31500</v>
      </c>
      <c r="K48" s="134">
        <v>0</v>
      </c>
      <c r="L48" s="14">
        <v>98050</v>
      </c>
      <c r="M48" s="203"/>
      <c r="N48" s="203">
        <f>F48+H48+J48+L48</f>
        <v>2132550</v>
      </c>
      <c r="O48" s="203">
        <f>N48-M48</f>
        <v>2132550</v>
      </c>
      <c r="P48" s="151">
        <v>45931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-996000</v>
      </c>
      <c r="F50" s="263"/>
      <c r="G50" s="262">
        <f>H45+H46-H47-H48</f>
        <v>314500</v>
      </c>
      <c r="H50" s="263"/>
      <c r="I50" s="262">
        <f>J45+J46-J47-J48</f>
        <v>-31500</v>
      </c>
      <c r="J50" s="263"/>
      <c r="K50" s="262">
        <f>L45+L46-L47-L48</f>
        <v>-90300</v>
      </c>
      <c r="L50" s="263"/>
    </row>
    <row r="51" spans="2:28" x14ac:dyDescent="0.25">
      <c r="B51" s="294" t="s">
        <v>12</v>
      </c>
      <c r="C51" s="295"/>
      <c r="D51" s="212">
        <f>D39+D50</f>
        <v>780000</v>
      </c>
      <c r="E51" s="289">
        <f>F39+E50</f>
        <v>2072000</v>
      </c>
      <c r="F51" s="290"/>
      <c r="G51" s="289">
        <f>H39+G50</f>
        <v>42702745</v>
      </c>
      <c r="H51" s="290"/>
      <c r="I51" s="291">
        <f>J39+I50</f>
        <v>458218.29000000004</v>
      </c>
      <c r="J51" s="292"/>
      <c r="K51" s="289">
        <f>L39+K50</f>
        <v>2521655.3200000003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48534618.609999999</v>
      </c>
      <c r="E52" s="293"/>
      <c r="F52" s="293"/>
      <c r="G52" s="293"/>
      <c r="H52" s="293"/>
      <c r="I52" s="222"/>
      <c r="J52" s="222"/>
      <c r="K52" s="222"/>
      <c r="L52" s="222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4675.9147889999995</v>
      </c>
      <c r="P54" s="87"/>
      <c r="S54">
        <v>1.61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32953928</v>
      </c>
      <c r="D55" s="149">
        <f>D39+H39+F39+J39+L39</f>
        <v>49337918.609999999</v>
      </c>
      <c r="E55" s="58"/>
      <c r="F55" s="58"/>
      <c r="M55" s="63" t="s">
        <v>25</v>
      </c>
      <c r="N55" s="64">
        <f>N59*S55/100</f>
        <v>12401.339222999997</v>
      </c>
      <c r="P55" s="88"/>
      <c r="S55">
        <v>4.2699999999999996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82291846.609999999</v>
      </c>
      <c r="D56" s="285"/>
      <c r="E56" s="57"/>
      <c r="F56" s="57"/>
      <c r="M56" s="63" t="s">
        <v>28</v>
      </c>
      <c r="N56" s="64">
        <f>N59*S56/100</f>
        <v>255519.86530200002</v>
      </c>
      <c r="R56" s="87"/>
      <c r="S56">
        <v>87.98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2730.037206</v>
      </c>
      <c r="S57">
        <v>0.94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15102.333479999999</v>
      </c>
      <c r="S58">
        <v>5.2</v>
      </c>
      <c r="Y58" s="4"/>
      <c r="AA58" s="78"/>
      <c r="AB58" s="68"/>
    </row>
    <row r="59" spans="2:28" x14ac:dyDescent="0.25">
      <c r="J59" t="s">
        <v>3</v>
      </c>
      <c r="N59" s="64">
        <v>290429.49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81488546.609999999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E8F3-CA4B-4419-8694-9A7ABA31E8EB}">
  <sheetPr>
    <pageSetUpPr fitToPage="1"/>
  </sheetPr>
  <dimension ref="A1:AB72"/>
  <sheetViews>
    <sheetView topLeftCell="A31" workbookViewId="0">
      <selection activeCell="S55" sqref="S55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142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45931</v>
      </c>
      <c r="C7" s="192"/>
      <c r="D7" s="191">
        <f>100000</f>
        <v>100000</v>
      </c>
      <c r="E7" s="192"/>
      <c r="F7" s="191">
        <f>285000</f>
        <v>285000</v>
      </c>
      <c r="G7" s="193">
        <f>700000+575000</f>
        <v>1275000</v>
      </c>
      <c r="H7" s="194">
        <f>400000+581500+3000+25000</f>
        <v>1009500</v>
      </c>
      <c r="I7" s="193">
        <f>4900+8500</f>
        <v>13400</v>
      </c>
      <c r="J7" s="194">
        <f>3500+7420+15000+4500+19550</f>
        <v>49970</v>
      </c>
      <c r="K7" s="193"/>
      <c r="L7" s="194">
        <f>9200+91500</f>
        <v>100700</v>
      </c>
      <c r="M7" s="56">
        <f t="shared" ref="M7:M13" si="0">SUM(C7:L7)</f>
        <v>2833570</v>
      </c>
      <c r="N7" s="205">
        <v>2808570</v>
      </c>
      <c r="O7" s="155">
        <f>N7-M7</f>
        <v>-25000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1">B7+1</f>
        <v>45932</v>
      </c>
      <c r="C8" s="195">
        <f>1600000</f>
        <v>1600000</v>
      </c>
      <c r="D8" s="191"/>
      <c r="E8" s="192"/>
      <c r="F8" s="191">
        <f>910000</f>
        <v>910000</v>
      </c>
      <c r="G8" s="195">
        <f>130000</f>
        <v>130000</v>
      </c>
      <c r="H8" s="191">
        <f>540000+170000+430000+400000+42000</f>
        <v>1582000</v>
      </c>
      <c r="I8" s="195"/>
      <c r="J8" s="191"/>
      <c r="K8" s="195">
        <f>8400</f>
        <v>8400</v>
      </c>
      <c r="L8" s="191">
        <f>7000</f>
        <v>7000</v>
      </c>
      <c r="M8" s="56">
        <f t="shared" si="0"/>
        <v>4237400</v>
      </c>
      <c r="N8" s="205">
        <v>4195400</v>
      </c>
      <c r="O8" s="155">
        <f t="shared" ref="O8:O37" si="2">N8-M8</f>
        <v>-42000</v>
      </c>
      <c r="Z8" s="78"/>
      <c r="AB8" s="68"/>
    </row>
    <row r="9" spans="2:28" x14ac:dyDescent="0.25">
      <c r="B9" s="15">
        <f t="shared" si="1"/>
        <v>45933</v>
      </c>
      <c r="C9" s="192">
        <v>840000</v>
      </c>
      <c r="D9" s="196"/>
      <c r="E9" s="192"/>
      <c r="F9" s="191">
        <f>7000</f>
        <v>7000</v>
      </c>
      <c r="G9" s="192">
        <f>640000</f>
        <v>640000</v>
      </c>
      <c r="H9" s="191">
        <f>350000+1500+1070000+640000+46500</f>
        <v>2108000</v>
      </c>
      <c r="I9" s="192"/>
      <c r="J9" s="191">
        <f>3500+1908+3500</f>
        <v>8908</v>
      </c>
      <c r="K9" s="192"/>
      <c r="L9" s="191"/>
      <c r="M9" s="56">
        <f t="shared" si="0"/>
        <v>3603908</v>
      </c>
      <c r="N9" s="205">
        <v>3557408</v>
      </c>
      <c r="O9" s="155">
        <f t="shared" si="2"/>
        <v>-46500</v>
      </c>
      <c r="P9" s="101"/>
      <c r="Z9" s="78"/>
      <c r="AB9" s="68"/>
    </row>
    <row r="10" spans="2:28" x14ac:dyDescent="0.25">
      <c r="B10" s="15">
        <f t="shared" si="1"/>
        <v>45934</v>
      </c>
      <c r="C10" s="192">
        <v>1700000</v>
      </c>
      <c r="D10" s="196"/>
      <c r="E10" s="192"/>
      <c r="F10" s="191"/>
      <c r="G10" s="192">
        <f>5000+130000</f>
        <v>135000</v>
      </c>
      <c r="H10" s="191">
        <f>620000+400000+562000+800000+560000+33000</f>
        <v>2975000</v>
      </c>
      <c r="I10" s="192"/>
      <c r="J10" s="191"/>
      <c r="K10" s="192">
        <f>8000+169000</f>
        <v>177000</v>
      </c>
      <c r="L10" s="191">
        <f>46000+36850</f>
        <v>82850</v>
      </c>
      <c r="M10" s="56">
        <f t="shared" si="0"/>
        <v>5069850</v>
      </c>
      <c r="N10" s="205">
        <v>5036850</v>
      </c>
      <c r="O10" s="155">
        <f>N10-M10</f>
        <v>-33000</v>
      </c>
      <c r="P10" s="101"/>
      <c r="Z10" s="78"/>
      <c r="AB10" s="68"/>
    </row>
    <row r="11" spans="2:28" x14ac:dyDescent="0.25">
      <c r="B11" s="15">
        <f t="shared" si="1"/>
        <v>45935</v>
      </c>
      <c r="C11" s="195"/>
      <c r="D11" s="191"/>
      <c r="E11" s="192"/>
      <c r="F11" s="191"/>
      <c r="G11" s="195">
        <f>90000+450000</f>
        <v>540000</v>
      </c>
      <c r="H11" s="195">
        <f>350000+75000+380000+1160000+951500+450000+15000</f>
        <v>3381500</v>
      </c>
      <c r="I11" s="195"/>
      <c r="J11" s="191"/>
      <c r="K11" s="195">
        <f>4500</f>
        <v>4500</v>
      </c>
      <c r="L11" s="191">
        <f>24900</f>
        <v>24900</v>
      </c>
      <c r="M11" s="56">
        <f t="shared" si="0"/>
        <v>3950900</v>
      </c>
      <c r="N11" s="205">
        <v>3935900</v>
      </c>
      <c r="O11" s="155">
        <f>N11-M11</f>
        <v>-15000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45936</v>
      </c>
      <c r="C12" s="192">
        <f>100</f>
        <v>100</v>
      </c>
      <c r="D12" s="191">
        <f>860500+20000</f>
        <v>880500</v>
      </c>
      <c r="E12" s="192"/>
      <c r="F12" s="191"/>
      <c r="G12" s="192">
        <f>500000+440000</f>
        <v>940000</v>
      </c>
      <c r="H12" s="191">
        <f>490000+875000+12000</f>
        <v>1377000</v>
      </c>
      <c r="I12" s="192"/>
      <c r="J12" s="191">
        <f>3500+9500+3500</f>
        <v>16500</v>
      </c>
      <c r="K12" s="192">
        <f>45400</f>
        <v>45400</v>
      </c>
      <c r="L12" s="191">
        <f>34800+10900+3500</f>
        <v>49200</v>
      </c>
      <c r="M12" s="56">
        <f t="shared" si="0"/>
        <v>3308700</v>
      </c>
      <c r="N12" s="205">
        <v>3296700</v>
      </c>
      <c r="O12" s="155">
        <f>N12-M12</f>
        <v>-12000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45937</v>
      </c>
      <c r="C13" s="192"/>
      <c r="D13" s="191"/>
      <c r="E13" s="192"/>
      <c r="F13" s="191">
        <f>375000</f>
        <v>375000</v>
      </c>
      <c r="G13" s="192">
        <f>542000+15000+5000</f>
        <v>562000</v>
      </c>
      <c r="H13" s="191">
        <f>450000+40000+4000+200000+48000</f>
        <v>742000</v>
      </c>
      <c r="I13" s="192"/>
      <c r="J13" s="191">
        <f>6500+6500+30000</f>
        <v>43000</v>
      </c>
      <c r="K13" s="192"/>
      <c r="L13" s="191">
        <f>17500</f>
        <v>17500</v>
      </c>
      <c r="M13" s="56">
        <f t="shared" si="0"/>
        <v>1739500</v>
      </c>
      <c r="N13" s="205">
        <v>1691500</v>
      </c>
      <c r="O13" s="155">
        <f>N13-M13</f>
        <v>-48000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45938</v>
      </c>
      <c r="C14" s="192"/>
      <c r="D14" s="191">
        <f>250000</f>
        <v>250000</v>
      </c>
      <c r="E14" s="192"/>
      <c r="F14" s="191">
        <f>300000+65000-300000</f>
        <v>65000</v>
      </c>
      <c r="G14" s="192">
        <f>570000+325000+250000</f>
        <v>1145000</v>
      </c>
      <c r="H14" s="191">
        <f>353000+75000+76500</f>
        <v>504500</v>
      </c>
      <c r="I14" s="192"/>
      <c r="J14" s="191">
        <f>3500+19500+15000</f>
        <v>38000</v>
      </c>
      <c r="K14" s="192">
        <f>136000</f>
        <v>136000</v>
      </c>
      <c r="L14" s="191">
        <f>162700</f>
        <v>162700</v>
      </c>
      <c r="M14" s="56">
        <f t="shared" ref="M14:M37" si="3">SUM(C14:L14)</f>
        <v>2301200</v>
      </c>
      <c r="N14" s="205">
        <v>2224700</v>
      </c>
      <c r="O14" s="155">
        <f>N14-M14</f>
        <v>-76500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45939</v>
      </c>
      <c r="C15" s="192"/>
      <c r="D15" s="200"/>
      <c r="E15" s="192">
        <f>915000</f>
        <v>915000</v>
      </c>
      <c r="F15" s="191">
        <f>230000</f>
        <v>230000</v>
      </c>
      <c r="G15" s="192">
        <f>530000</f>
        <v>530000</v>
      </c>
      <c r="H15" s="191">
        <f>450000+3000+400000+85000+14500</f>
        <v>952500</v>
      </c>
      <c r="I15" s="192">
        <f>25000</f>
        <v>25000</v>
      </c>
      <c r="J15" s="191">
        <f>3500+2400+6500+3500</f>
        <v>15900</v>
      </c>
      <c r="K15" s="192">
        <f>7000</f>
        <v>7000</v>
      </c>
      <c r="L15" s="191">
        <f>26000</f>
        <v>26000</v>
      </c>
      <c r="M15" s="56">
        <f t="shared" si="3"/>
        <v>2701400</v>
      </c>
      <c r="N15" s="205">
        <v>2686900</v>
      </c>
      <c r="O15" s="155">
        <f t="shared" si="2"/>
        <v>-14500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45940</v>
      </c>
      <c r="C16" s="197"/>
      <c r="D16" s="191"/>
      <c r="E16" s="192">
        <f>715000</f>
        <v>715000</v>
      </c>
      <c r="F16" s="191">
        <f>3500</f>
        <v>3500</v>
      </c>
      <c r="G16" s="197">
        <f>410000+300000+80000</f>
        <v>790000</v>
      </c>
      <c r="H16" s="191">
        <f>400000+760000+5000+780000+390000+16500</f>
        <v>2351500</v>
      </c>
      <c r="I16" s="195">
        <f>3500</f>
        <v>3500</v>
      </c>
      <c r="J16" s="191"/>
      <c r="K16" s="195">
        <f>60498</f>
        <v>60498</v>
      </c>
      <c r="L16" s="191"/>
      <c r="M16" s="56">
        <f t="shared" si="3"/>
        <v>3923998</v>
      </c>
      <c r="N16" s="205">
        <v>3907498</v>
      </c>
      <c r="O16" s="155">
        <f t="shared" si="2"/>
        <v>-16500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45941</v>
      </c>
      <c r="C17" s="216"/>
      <c r="D17" s="217"/>
      <c r="E17" s="218"/>
      <c r="F17" s="219">
        <f>5000</f>
        <v>5000</v>
      </c>
      <c r="G17" s="216">
        <f>30000+10000</f>
        <v>40000</v>
      </c>
      <c r="H17" s="219">
        <f>600000+410000+1035000+10000+6000+1300000+850000+35000</f>
        <v>4246000</v>
      </c>
      <c r="I17" s="216"/>
      <c r="J17" s="219"/>
      <c r="K17" s="216">
        <f>9500</f>
        <v>9500</v>
      </c>
      <c r="L17" s="219">
        <f>41200</f>
        <v>41200</v>
      </c>
      <c r="M17" s="176">
        <f t="shared" si="3"/>
        <v>4341700</v>
      </c>
      <c r="N17" s="205">
        <v>4306700</v>
      </c>
      <c r="O17" s="181">
        <f>N17-M17</f>
        <v>-35000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45942</v>
      </c>
      <c r="C18" s="195">
        <f>200000</f>
        <v>200000</v>
      </c>
      <c r="D18" s="191"/>
      <c r="E18" s="192"/>
      <c r="F18" s="191">
        <f>3500</f>
        <v>3500</v>
      </c>
      <c r="G18" s="195">
        <f>1500+75+600000</f>
        <v>601575</v>
      </c>
      <c r="H18" s="191">
        <f>360000+410000+1440000+410000+600000+430000+10000</f>
        <v>3660000</v>
      </c>
      <c r="I18" s="195"/>
      <c r="J18" s="191">
        <f>11800+12705</f>
        <v>24505</v>
      </c>
      <c r="K18" s="195"/>
      <c r="L18" s="191">
        <f>3500</f>
        <v>3500</v>
      </c>
      <c r="M18" s="176">
        <f t="shared" si="3"/>
        <v>4493080</v>
      </c>
      <c r="N18" s="205">
        <v>4483080</v>
      </c>
      <c r="O18" s="178">
        <f t="shared" si="2"/>
        <v>-10000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45943</v>
      </c>
      <c r="C19" s="192">
        <f>500000</f>
        <v>500000</v>
      </c>
      <c r="D19" s="191">
        <f>20000</f>
        <v>20000</v>
      </c>
      <c r="E19" s="192"/>
      <c r="F19" s="191"/>
      <c r="G19" s="192">
        <f>550000+600000+7000</f>
        <v>1157000</v>
      </c>
      <c r="H19" s="191">
        <f>6000+3500+945000+3000+14000+56500</f>
        <v>1028000</v>
      </c>
      <c r="I19" s="192">
        <f>3500</f>
        <v>3500</v>
      </c>
      <c r="J19" s="191">
        <f>4900+3500+3500</f>
        <v>11900</v>
      </c>
      <c r="K19" s="192"/>
      <c r="L19" s="191">
        <f>17850</f>
        <v>17850</v>
      </c>
      <c r="M19" s="56">
        <f>SUM(C19:L19)</f>
        <v>2738250</v>
      </c>
      <c r="N19" s="205">
        <v>2681750</v>
      </c>
      <c r="O19" s="178">
        <f t="shared" si="2"/>
        <v>-56500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45944</v>
      </c>
      <c r="C20" s="192">
        <f>1250000</f>
        <v>1250000</v>
      </c>
      <c r="D20" s="188">
        <f>1460000</f>
        <v>1460000</v>
      </c>
      <c r="E20" s="192"/>
      <c r="F20" s="191">
        <f>165000+770000-250000</f>
        <v>685000</v>
      </c>
      <c r="G20" s="192">
        <f>700000+1500+1035000+380000</f>
        <v>2116500</v>
      </c>
      <c r="H20" s="191">
        <f>600000+1500+30000+440000+66000</f>
        <v>1137500</v>
      </c>
      <c r="I20" s="192"/>
      <c r="J20" s="191">
        <f>3500+1500+3500</f>
        <v>8500</v>
      </c>
      <c r="K20" s="192"/>
      <c r="L20" s="191">
        <f>211000+12500</f>
        <v>223500</v>
      </c>
      <c r="M20" s="56">
        <f>SUM(C20:L20)</f>
        <v>6881000</v>
      </c>
      <c r="N20" s="205">
        <v>6815000</v>
      </c>
      <c r="O20" s="178">
        <f t="shared" si="2"/>
        <v>-66000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45945</v>
      </c>
      <c r="C21" s="192">
        <f>960000</f>
        <v>960000</v>
      </c>
      <c r="D21" s="191">
        <f>650000</f>
        <v>650000</v>
      </c>
      <c r="E21" s="192"/>
      <c r="F21" s="191">
        <f>930000</f>
        <v>930000</v>
      </c>
      <c r="G21" s="192">
        <f>380000+90000+1500+400000+600000</f>
        <v>1471500</v>
      </c>
      <c r="H21" s="191">
        <f>540000+12000+16500</f>
        <v>568500</v>
      </c>
      <c r="I21" s="192"/>
      <c r="J21" s="191">
        <f>3500+15000+19300+6900+3500</f>
        <v>48200</v>
      </c>
      <c r="K21" s="192"/>
      <c r="L21" s="191">
        <f>3500+9500</f>
        <v>13000</v>
      </c>
      <c r="M21" s="56">
        <f t="shared" si="3"/>
        <v>4641200</v>
      </c>
      <c r="N21" s="205">
        <v>4624700</v>
      </c>
      <c r="O21" s="181">
        <f t="shared" si="2"/>
        <v>-16500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45946</v>
      </c>
      <c r="C22" s="192"/>
      <c r="D22" s="191">
        <f>1215000</f>
        <v>1215000</v>
      </c>
      <c r="E22" s="192"/>
      <c r="F22" s="191">
        <f>740000</f>
        <v>740000</v>
      </c>
      <c r="G22" s="192">
        <f>180000+300000</f>
        <v>480000</v>
      </c>
      <c r="H22" s="191">
        <f>4000+3000+300000+12000</f>
        <v>319000</v>
      </c>
      <c r="I22" s="192"/>
      <c r="J22" s="191">
        <f>6500+6900</f>
        <v>13400</v>
      </c>
      <c r="K22" s="189"/>
      <c r="L22" s="190">
        <f>7000</f>
        <v>7000</v>
      </c>
      <c r="M22" s="56">
        <f t="shared" si="3"/>
        <v>2774400</v>
      </c>
      <c r="N22" s="205">
        <v>2762400</v>
      </c>
      <c r="O22" s="178">
        <f t="shared" si="2"/>
        <v>-12000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45947</v>
      </c>
      <c r="C23" s="192"/>
      <c r="D23" s="191"/>
      <c r="E23" s="192"/>
      <c r="F23" s="191">
        <f>15000</f>
        <v>15000</v>
      </c>
      <c r="G23" s="192">
        <f>550000+14000</f>
        <v>564000</v>
      </c>
      <c r="H23" s="191">
        <f>600000+478000+1070000+35000+35000-10000+70500</f>
        <v>2278500</v>
      </c>
      <c r="I23" s="192"/>
      <c r="J23" s="191"/>
      <c r="K23" s="192"/>
      <c r="L23" s="191">
        <f>53500</f>
        <v>53500</v>
      </c>
      <c r="M23" s="56">
        <f t="shared" si="3"/>
        <v>2911000</v>
      </c>
      <c r="N23" s="205">
        <v>2840500</v>
      </c>
      <c r="O23" s="181">
        <f t="shared" si="2"/>
        <v>-70500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45948</v>
      </c>
      <c r="C24" s="195"/>
      <c r="D24" s="191"/>
      <c r="E24" s="192"/>
      <c r="F24" s="191"/>
      <c r="G24" s="195">
        <f>450000+2000</f>
        <v>452000</v>
      </c>
      <c r="H24" s="191">
        <f>14000+1820000+3000+900000+350000-450000+15000</f>
        <v>2652000</v>
      </c>
      <c r="I24" s="195">
        <f>15000</f>
        <v>15000</v>
      </c>
      <c r="J24" s="191">
        <f>3500+6500+6500+14900</f>
        <v>31400</v>
      </c>
      <c r="K24" s="195"/>
      <c r="L24" s="191">
        <f>21500</f>
        <v>21500</v>
      </c>
      <c r="M24" s="56">
        <f t="shared" si="3"/>
        <v>3171900</v>
      </c>
      <c r="N24" s="205">
        <v>3156900</v>
      </c>
      <c r="O24" s="181">
        <f t="shared" si="2"/>
        <v>-15000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45949</v>
      </c>
      <c r="C25" s="192"/>
      <c r="D25" s="191"/>
      <c r="E25" s="192"/>
      <c r="F25" s="191"/>
      <c r="G25" s="192">
        <f>360000+500000+600000</f>
        <v>1460000</v>
      </c>
      <c r="H25" s="191">
        <f>719000+1207500+1500+175000+700000+76500</f>
        <v>2879500</v>
      </c>
      <c r="I25" s="192"/>
      <c r="J25" s="191">
        <f>13000+3500</f>
        <v>16500</v>
      </c>
      <c r="K25" s="192"/>
      <c r="L25" s="191"/>
      <c r="M25" s="56">
        <f t="shared" si="3"/>
        <v>4356000</v>
      </c>
      <c r="N25" s="205">
        <v>4279500</v>
      </c>
      <c r="O25" s="181">
        <f t="shared" si="2"/>
        <v>-76500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45950</v>
      </c>
      <c r="C26" s="192"/>
      <c r="D26" s="191">
        <f>1200000</f>
        <v>1200000</v>
      </c>
      <c r="E26" s="192"/>
      <c r="F26" s="191">
        <f>630000</f>
        <v>630000</v>
      </c>
      <c r="G26" s="192">
        <f>12000+200000+7000</f>
        <v>219000</v>
      </c>
      <c r="H26" s="191">
        <f>440000+550000+2000+1500+465000+14000+520000+35000</f>
        <v>2027500</v>
      </c>
      <c r="I26" s="192"/>
      <c r="J26" s="191">
        <f>11800+2500+3500</f>
        <v>17800</v>
      </c>
      <c r="K26" s="192">
        <f>29400</f>
        <v>29400</v>
      </c>
      <c r="L26" s="191">
        <f>3500+40800</f>
        <v>44300</v>
      </c>
      <c r="M26" s="56">
        <f>SUM(C26:L26)</f>
        <v>4168000</v>
      </c>
      <c r="N26" s="205">
        <v>4133000</v>
      </c>
      <c r="O26" s="178">
        <f t="shared" si="2"/>
        <v>-35000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45951</v>
      </c>
      <c r="C27" s="192"/>
      <c r="D27" s="191">
        <f>2400000</f>
        <v>2400000</v>
      </c>
      <c r="E27" s="192">
        <f>10000</f>
        <v>10000</v>
      </c>
      <c r="F27" s="191"/>
      <c r="G27" s="192">
        <f>4000+470035</f>
        <v>474035</v>
      </c>
      <c r="H27" s="191">
        <f>35000+800000+1017500+200000+770000-1207500+39000+38904</f>
        <v>1692904</v>
      </c>
      <c r="I27" s="192">
        <f>7700</f>
        <v>7700</v>
      </c>
      <c r="J27" s="198">
        <f>4200+14900+3500</f>
        <v>22600</v>
      </c>
      <c r="K27" s="192"/>
      <c r="L27" s="191">
        <f>6860+86300</f>
        <v>93160</v>
      </c>
      <c r="M27" s="56">
        <f>SUM(C27:L27)</f>
        <v>4700399</v>
      </c>
      <c r="N27" s="205">
        <v>4661399</v>
      </c>
      <c r="O27" s="178">
        <f t="shared" si="2"/>
        <v>-39000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45952</v>
      </c>
      <c r="C28" s="192"/>
      <c r="D28" s="191">
        <f>498500+10000</f>
        <v>508500</v>
      </c>
      <c r="E28" s="192">
        <f>10000</f>
        <v>10000</v>
      </c>
      <c r="F28" s="191">
        <f>213500</f>
        <v>213500</v>
      </c>
      <c r="G28" s="192">
        <f>1640000</f>
        <v>1640000</v>
      </c>
      <c r="H28" s="191">
        <f>400000+150000+460000+430000+21500</f>
        <v>1461500</v>
      </c>
      <c r="I28" s="192">
        <f>15000+3500</f>
        <v>18500</v>
      </c>
      <c r="J28" s="191">
        <f>3500+15000+10500</f>
        <v>29000</v>
      </c>
      <c r="K28" s="192"/>
      <c r="L28" s="191">
        <f>202500+66000</f>
        <v>268500</v>
      </c>
      <c r="M28" s="56">
        <f>SUM(C28:L28)</f>
        <v>4149500</v>
      </c>
      <c r="N28" s="205">
        <v>4128000</v>
      </c>
      <c r="O28" s="178">
        <f t="shared" si="2"/>
        <v>-21500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45953</v>
      </c>
      <c r="C29" s="192"/>
      <c r="D29" s="191"/>
      <c r="E29" s="192">
        <f>690000</f>
        <v>690000</v>
      </c>
      <c r="F29" s="191">
        <f>10000</f>
        <v>10000</v>
      </c>
      <c r="G29" s="192">
        <f>700000</f>
        <v>700000</v>
      </c>
      <c r="H29" s="191">
        <f>3000+400000+690000+6000+450000+2000-2000+4000</f>
        <v>1553000</v>
      </c>
      <c r="I29" s="192"/>
      <c r="J29" s="191">
        <f>3500+3500+14800+15000+10500</f>
        <v>47300</v>
      </c>
      <c r="K29" s="192">
        <f>21200</f>
        <v>21200</v>
      </c>
      <c r="L29" s="191">
        <f>26600</f>
        <v>26600</v>
      </c>
      <c r="M29" s="56">
        <f t="shared" si="3"/>
        <v>3048100</v>
      </c>
      <c r="N29" s="205">
        <v>3044100</v>
      </c>
      <c r="O29" s="178">
        <f t="shared" si="2"/>
        <v>-4000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45954</v>
      </c>
      <c r="C30" s="199"/>
      <c r="D30" s="202"/>
      <c r="E30" s="192"/>
      <c r="F30" s="191"/>
      <c r="G30" s="192">
        <f>3000+430000+21000+420000</f>
        <v>874000</v>
      </c>
      <c r="H30" s="191">
        <f>1500+990000+21000+3500+13000</f>
        <v>1029000</v>
      </c>
      <c r="I30" s="192">
        <v>15000</v>
      </c>
      <c r="J30" s="191">
        <f>7000+20400</f>
        <v>27400</v>
      </c>
      <c r="K30" s="199"/>
      <c r="L30" s="198">
        <f>9500+24300</f>
        <v>33800</v>
      </c>
      <c r="M30" s="56">
        <f t="shared" si="3"/>
        <v>1979200</v>
      </c>
      <c r="N30" s="205">
        <v>1966200</v>
      </c>
      <c r="O30" s="178">
        <f t="shared" si="2"/>
        <v>-13000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45955</v>
      </c>
      <c r="C31" s="201"/>
      <c r="D31" s="190"/>
      <c r="E31" s="189"/>
      <c r="F31" s="190"/>
      <c r="G31" s="187">
        <f>380000+1065000+3000</f>
        <v>1448000</v>
      </c>
      <c r="H31" s="190">
        <f>500000+460000+268000+700000+5000</f>
        <v>1933000</v>
      </c>
      <c r="I31" s="189"/>
      <c r="J31" s="190">
        <f>4900+1500+3500</f>
        <v>9900</v>
      </c>
      <c r="K31" s="189">
        <f>27000</f>
        <v>27000</v>
      </c>
      <c r="L31" s="190">
        <f>123240</f>
        <v>123240</v>
      </c>
      <c r="M31" s="56">
        <f t="shared" si="3"/>
        <v>3541140</v>
      </c>
      <c r="N31" s="205">
        <v>3536140</v>
      </c>
      <c r="O31" s="178">
        <f t="shared" si="2"/>
        <v>-5000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45956</v>
      </c>
      <c r="C32" s="192"/>
      <c r="D32" s="191">
        <f>900000</f>
        <v>900000</v>
      </c>
      <c r="E32" s="192"/>
      <c r="F32" s="191"/>
      <c r="G32" s="192">
        <f>3000+400000+105</f>
        <v>403105</v>
      </c>
      <c r="H32" s="191">
        <f>833000+530000+670000+80000+11500</f>
        <v>2124500</v>
      </c>
      <c r="I32" s="199"/>
      <c r="J32" s="191">
        <f>6500+15000</f>
        <v>21500</v>
      </c>
      <c r="K32" s="192"/>
      <c r="L32" s="191">
        <f>129125</f>
        <v>129125</v>
      </c>
      <c r="M32" s="56">
        <f t="shared" si="3"/>
        <v>3578230</v>
      </c>
      <c r="N32" s="205">
        <v>3566730</v>
      </c>
      <c r="O32" s="178">
        <f t="shared" si="2"/>
        <v>-11500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45957</v>
      </c>
      <c r="C33" s="192">
        <f>30000</f>
        <v>30000</v>
      </c>
      <c r="D33" s="191"/>
      <c r="E33" s="192"/>
      <c r="F33" s="191"/>
      <c r="G33" s="192"/>
      <c r="H33" s="191">
        <f>31500+350000+1135000+7000</f>
        <v>1523500</v>
      </c>
      <c r="I33" s="192">
        <f>3500</f>
        <v>3500</v>
      </c>
      <c r="J33" s="191">
        <f>17500+1000</f>
        <v>18500</v>
      </c>
      <c r="K33" s="192"/>
      <c r="L33" s="191">
        <f>6200+35000</f>
        <v>41200</v>
      </c>
      <c r="M33" s="56">
        <f t="shared" si="3"/>
        <v>1616700</v>
      </c>
      <c r="N33" s="205">
        <v>1616700</v>
      </c>
      <c r="O33" s="178">
        <f t="shared" si="2"/>
        <v>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45958</v>
      </c>
      <c r="C34" s="192">
        <f>990000</f>
        <v>990000</v>
      </c>
      <c r="D34" s="200"/>
      <c r="E34" s="192">
        <f>695000+600000</f>
        <v>1295000</v>
      </c>
      <c r="F34" s="191"/>
      <c r="G34" s="199">
        <f>470000+35000+20000</f>
        <v>525000</v>
      </c>
      <c r="H34" s="198">
        <f>3500+600000+2500+460000+350000+13500</f>
        <v>1429500</v>
      </c>
      <c r="I34" s="199">
        <f>3</f>
        <v>3</v>
      </c>
      <c r="J34" s="198">
        <f>3500+18000+10500</f>
        <v>32000</v>
      </c>
      <c r="K34" s="199"/>
      <c r="L34" s="198">
        <f>128075</f>
        <v>128075</v>
      </c>
      <c r="M34" s="56">
        <f t="shared" si="3"/>
        <v>4399578</v>
      </c>
      <c r="N34" s="205">
        <v>4386078</v>
      </c>
      <c r="O34" s="178">
        <f t="shared" si="2"/>
        <v>-13500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45959</v>
      </c>
      <c r="C35" s="192"/>
      <c r="D35" s="191">
        <f>20000</f>
        <v>20000</v>
      </c>
      <c r="E35" s="192">
        <f>880000</f>
        <v>880000</v>
      </c>
      <c r="F35" s="191">
        <f>780000</f>
        <v>780000</v>
      </c>
      <c r="G35" s="192">
        <f>800000+740000+1500</f>
        <v>1541500</v>
      </c>
      <c r="H35" s="191">
        <f>443500+470000+1500+18000</f>
        <v>933000</v>
      </c>
      <c r="I35" s="192">
        <f>16400</f>
        <v>16400</v>
      </c>
      <c r="J35" s="191">
        <f>3500+17900+3500</f>
        <v>24900</v>
      </c>
      <c r="K35" s="192"/>
      <c r="L35" s="191">
        <f>52000+28000</f>
        <v>80000</v>
      </c>
      <c r="M35" s="56">
        <f t="shared" si="3"/>
        <v>4275800</v>
      </c>
      <c r="N35" s="205">
        <v>4257800</v>
      </c>
      <c r="O35" s="223">
        <f t="shared" si="2"/>
        <v>-18000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45960</v>
      </c>
      <c r="C36" s="192"/>
      <c r="D36" s="191">
        <f>1920000</f>
        <v>1920000</v>
      </c>
      <c r="E36" s="192"/>
      <c r="F36" s="191">
        <f>80000</f>
        <v>80000</v>
      </c>
      <c r="G36" s="192">
        <f>430000</f>
        <v>430000</v>
      </c>
      <c r="H36" s="191">
        <f>450000+430000+150000+110+16000</f>
        <v>1046110</v>
      </c>
      <c r="I36" s="192"/>
      <c r="J36" s="191"/>
      <c r="K36" s="192"/>
      <c r="L36" s="191">
        <f>29500+64350</f>
        <v>93850</v>
      </c>
      <c r="M36" s="56">
        <f t="shared" si="3"/>
        <v>3569960</v>
      </c>
      <c r="N36" s="205">
        <v>3553960</v>
      </c>
      <c r="O36" s="223">
        <f t="shared" si="2"/>
        <v>-16000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45961</v>
      </c>
      <c r="C37" s="192"/>
      <c r="D37" s="191">
        <f>250000</f>
        <v>250000</v>
      </c>
      <c r="E37" s="192"/>
      <c r="F37" s="191"/>
      <c r="G37" s="192">
        <f>550000+1500+520000</f>
        <v>1071500</v>
      </c>
      <c r="H37" s="191">
        <f>350000+1575+430000+140000+400000+3500+10500</f>
        <v>1335575</v>
      </c>
      <c r="I37" s="192">
        <f>3500</f>
        <v>3500</v>
      </c>
      <c r="J37" s="191">
        <f>37800+18500+14000</f>
        <v>70300</v>
      </c>
      <c r="K37" s="192">
        <f>3500+32500</f>
        <v>36000</v>
      </c>
      <c r="L37" s="191"/>
      <c r="M37" s="56">
        <f t="shared" si="3"/>
        <v>2766875</v>
      </c>
      <c r="N37" s="206">
        <v>2756375</v>
      </c>
      <c r="O37" s="223">
        <f t="shared" si="2"/>
        <v>-10500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8070100</v>
      </c>
      <c r="D39" s="25">
        <f>SUM(D7:D38)</f>
        <v>11774000</v>
      </c>
      <c r="E39" s="24">
        <f t="shared" ref="E39:K39" si="4">SUM(E7:E38)</f>
        <v>4515000</v>
      </c>
      <c r="F39" s="59">
        <f t="shared" si="4"/>
        <v>5967500</v>
      </c>
      <c r="G39" s="24">
        <f t="shared" si="4"/>
        <v>24355715</v>
      </c>
      <c r="H39" s="25">
        <f>SUM(H7:H38)</f>
        <v>53841589</v>
      </c>
      <c r="I39" s="24">
        <f t="shared" si="4"/>
        <v>125003</v>
      </c>
      <c r="J39" s="25">
        <f>SUM(J7:J38)</f>
        <v>647883</v>
      </c>
      <c r="K39" s="24">
        <f t="shared" si="4"/>
        <v>561898</v>
      </c>
      <c r="L39" s="25">
        <f>SUM(L7:L38)</f>
        <v>1913750</v>
      </c>
      <c r="M39" s="28">
        <f>SUM(M7:M38)</f>
        <v>111772438</v>
      </c>
      <c r="N39" s="27">
        <f>SUM(N7:N38)</f>
        <v>110898438</v>
      </c>
      <c r="O39" s="26">
        <f>N39-M39</f>
        <v>-874000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19844100</v>
      </c>
      <c r="D40" s="282"/>
      <c r="E40" s="267">
        <f>SUM(E39:F39)</f>
        <v>10482500</v>
      </c>
      <c r="F40" s="269"/>
      <c r="G40" s="281">
        <f>SUM(G39:H39)</f>
        <v>78197304</v>
      </c>
      <c r="H40" s="282"/>
      <c r="I40" s="267">
        <f>SUM(I39:J39)</f>
        <v>772886</v>
      </c>
      <c r="J40" s="268"/>
      <c r="K40" s="281">
        <f>SUM(K39:L39)</f>
        <v>2475648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45930</v>
      </c>
      <c r="C45" s="203">
        <v>0</v>
      </c>
      <c r="D45" s="14"/>
      <c r="E45" s="203">
        <v>0</v>
      </c>
      <c r="F45" s="14">
        <v>996000</v>
      </c>
      <c r="G45" s="203">
        <v>0</v>
      </c>
      <c r="H45" s="14">
        <v>1007000</v>
      </c>
      <c r="I45" s="203"/>
      <c r="J45" s="14">
        <v>31500</v>
      </c>
      <c r="K45" s="134"/>
      <c r="L45" s="14">
        <v>98050</v>
      </c>
      <c r="M45" s="203">
        <v>0</v>
      </c>
      <c r="N45" s="203">
        <f>F45+H45+J45+L45</f>
        <v>2132550</v>
      </c>
      <c r="O45" s="203">
        <f>N45-M45</f>
        <v>2132550</v>
      </c>
      <c r="P45" s="85">
        <v>45931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45961</v>
      </c>
      <c r="C48" s="203">
        <v>0</v>
      </c>
      <c r="D48" s="14">
        <v>250000</v>
      </c>
      <c r="E48" s="203">
        <v>0</v>
      </c>
      <c r="F48" s="14"/>
      <c r="G48" s="203">
        <v>0</v>
      </c>
      <c r="H48" s="14">
        <v>1333575</v>
      </c>
      <c r="I48" s="203">
        <v>0</v>
      </c>
      <c r="J48" s="14">
        <v>70300</v>
      </c>
      <c r="K48" s="134">
        <v>0</v>
      </c>
      <c r="L48" s="14"/>
      <c r="M48" s="203"/>
      <c r="N48" s="203">
        <f>F48+H48+J48+L48+D48</f>
        <v>1653875</v>
      </c>
      <c r="O48" s="203">
        <f>N48-M48</f>
        <v>1653875</v>
      </c>
      <c r="P48" s="151">
        <v>45962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-250000</v>
      </c>
      <c r="E50" s="262">
        <f>F45+F46-F47-F48</f>
        <v>996000</v>
      </c>
      <c r="F50" s="263"/>
      <c r="G50" s="262">
        <f>H45+H46-H47-H48</f>
        <v>-326575</v>
      </c>
      <c r="H50" s="263"/>
      <c r="I50" s="262">
        <f>J45+J46-J47-J48</f>
        <v>-38800</v>
      </c>
      <c r="J50" s="263"/>
      <c r="K50" s="262">
        <f>L45+L46-L47-L48</f>
        <v>98050</v>
      </c>
      <c r="L50" s="263"/>
    </row>
    <row r="51" spans="2:28" x14ac:dyDescent="0.25">
      <c r="B51" s="294" t="s">
        <v>12</v>
      </c>
      <c r="C51" s="295"/>
      <c r="D51" s="212">
        <f>D39+D50</f>
        <v>11524000</v>
      </c>
      <c r="E51" s="289">
        <f>F39+E50</f>
        <v>6963500</v>
      </c>
      <c r="F51" s="290"/>
      <c r="G51" s="289">
        <f>H39+G50</f>
        <v>53515014</v>
      </c>
      <c r="H51" s="290"/>
      <c r="I51" s="291">
        <f>J39+I50</f>
        <v>609083</v>
      </c>
      <c r="J51" s="292"/>
      <c r="K51" s="289">
        <f>L39+K50</f>
        <v>2011800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74623397</v>
      </c>
      <c r="E52" s="293"/>
      <c r="F52" s="293"/>
      <c r="G52" s="293"/>
      <c r="H52" s="293"/>
      <c r="I52" s="225"/>
      <c r="J52" s="225"/>
      <c r="K52" s="225"/>
      <c r="L52" s="225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69825.329459999994</v>
      </c>
      <c r="P54" s="87"/>
      <c r="S54">
        <v>15.45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37627716</v>
      </c>
      <c r="D55" s="149">
        <f>D39+H39+F39+J39+L39</f>
        <v>74144722</v>
      </c>
      <c r="E55" s="58"/>
      <c r="F55" s="58"/>
      <c r="M55" s="63" t="s">
        <v>25</v>
      </c>
      <c r="N55" s="64">
        <f>N59*S55/100</f>
        <v>42166.364003999995</v>
      </c>
      <c r="P55" s="88"/>
      <c r="S55">
        <v>9.33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111772438</v>
      </c>
      <c r="D56" s="285"/>
      <c r="E56" s="57"/>
      <c r="F56" s="57"/>
      <c r="M56" s="63" t="s">
        <v>28</v>
      </c>
      <c r="N56" s="64">
        <f>N59*S56/100</f>
        <v>324088.95634799998</v>
      </c>
      <c r="R56" s="87"/>
      <c r="S56">
        <v>71.709999999999994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3705.9398160000001</v>
      </c>
      <c r="S57">
        <v>0.82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12157.290371999999</v>
      </c>
      <c r="S58">
        <v>2.69</v>
      </c>
      <c r="Y58" s="4"/>
      <c r="AA58" s="78"/>
      <c r="AB58" s="68"/>
    </row>
    <row r="59" spans="2:28" x14ac:dyDescent="0.25">
      <c r="J59" t="s">
        <v>3</v>
      </c>
      <c r="N59" s="64">
        <v>451943.88</v>
      </c>
      <c r="O59" s="211"/>
      <c r="S59" s="68">
        <f>SUM(S53:S58)</f>
        <v>99.999999999999986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112251113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1E52-FF6E-4FA6-A41C-010BC896AB3C}">
  <sheetPr>
    <pageSetUpPr fitToPage="1"/>
  </sheetPr>
  <dimension ref="A1:AB72"/>
  <sheetViews>
    <sheetView topLeftCell="A28" workbookViewId="0">
      <selection activeCell="P58" sqref="P5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143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45962</v>
      </c>
      <c r="C7" s="192"/>
      <c r="D7" s="191"/>
      <c r="E7" s="192"/>
      <c r="F7" s="191"/>
      <c r="G7" s="193">
        <f>385000+2000+158000+350000</f>
        <v>895000</v>
      </c>
      <c r="H7" s="194">
        <f>380000+12000+380000+6000+540000+1070000+305000+21000</f>
        <v>2714000</v>
      </c>
      <c r="I7" s="193">
        <f>3500</f>
        <v>3500</v>
      </c>
      <c r="J7" s="194">
        <f>3500+10900</f>
        <v>14400</v>
      </c>
      <c r="K7" s="193"/>
      <c r="L7" s="194">
        <f>20000+5000</f>
        <v>25000</v>
      </c>
      <c r="M7" s="56">
        <f t="shared" ref="M7:M13" si="0">SUM(C7:L7)</f>
        <v>3651900</v>
      </c>
      <c r="N7" s="205">
        <v>3630900</v>
      </c>
      <c r="O7" s="155">
        <f>N7-M7</f>
        <v>-21000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1">B7+1</f>
        <v>45963</v>
      </c>
      <c r="C8" s="195"/>
      <c r="D8" s="191"/>
      <c r="E8" s="192"/>
      <c r="F8" s="191"/>
      <c r="G8" s="195">
        <f>430000+3000</f>
        <v>433000</v>
      </c>
      <c r="H8" s="191">
        <f>840000+430000+21500</f>
        <v>1291500</v>
      </c>
      <c r="I8" s="195">
        <f>3500</f>
        <v>3500</v>
      </c>
      <c r="J8" s="191">
        <f>3500</f>
        <v>3500</v>
      </c>
      <c r="K8" s="195">
        <f>5000</f>
        <v>5000</v>
      </c>
      <c r="L8" s="191"/>
      <c r="M8" s="56">
        <f t="shared" si="0"/>
        <v>1736500</v>
      </c>
      <c r="N8" s="205">
        <v>1715000</v>
      </c>
      <c r="O8" s="155">
        <f t="shared" ref="O8:O37" si="2">N8-M8</f>
        <v>-21500</v>
      </c>
      <c r="Z8" s="78"/>
      <c r="AB8" s="68"/>
    </row>
    <row r="9" spans="2:28" x14ac:dyDescent="0.25">
      <c r="B9" s="15">
        <f t="shared" si="1"/>
        <v>45964</v>
      </c>
      <c r="C9" s="192"/>
      <c r="D9" s="196"/>
      <c r="E9" s="192"/>
      <c r="F9" s="191"/>
      <c r="G9" s="192">
        <f>5000+7000</f>
        <v>12000</v>
      </c>
      <c r="H9" s="191">
        <f>600000+1100000+27000</f>
        <v>1727000</v>
      </c>
      <c r="I9" s="192"/>
      <c r="J9" s="191">
        <f>15000</f>
        <v>15000</v>
      </c>
      <c r="K9" s="192"/>
      <c r="L9" s="191">
        <f>36000+3500</f>
        <v>39500</v>
      </c>
      <c r="M9" s="56">
        <f t="shared" si="0"/>
        <v>1793500</v>
      </c>
      <c r="N9" s="205">
        <v>1766500</v>
      </c>
      <c r="O9" s="155">
        <f t="shared" si="2"/>
        <v>-27000</v>
      </c>
      <c r="P9" s="101"/>
      <c r="Z9" s="78"/>
      <c r="AB9" s="68"/>
    </row>
    <row r="10" spans="2:28" x14ac:dyDescent="0.25">
      <c r="B10" s="15">
        <f t="shared" si="1"/>
        <v>45965</v>
      </c>
      <c r="C10" s="192"/>
      <c r="D10" s="196">
        <f>900000+300000</f>
        <v>1200000</v>
      </c>
      <c r="E10" s="192">
        <f>780000+680000</f>
        <v>1460000</v>
      </c>
      <c r="F10" s="191">
        <f>5000</f>
        <v>5000</v>
      </c>
      <c r="G10" s="192">
        <f>2000+1500+275000</f>
        <v>278500</v>
      </c>
      <c r="H10" s="191">
        <f>50000+1350000+575000+565000+1500+8000</f>
        <v>2549500</v>
      </c>
      <c r="I10" s="192">
        <f>6500</f>
        <v>6500</v>
      </c>
      <c r="J10" s="191">
        <f>8400+7000</f>
        <v>15400</v>
      </c>
      <c r="K10" s="192"/>
      <c r="L10" s="191">
        <f>37700</f>
        <v>37700</v>
      </c>
      <c r="M10" s="56">
        <f t="shared" si="0"/>
        <v>5552600</v>
      </c>
      <c r="N10" s="205">
        <v>5544600</v>
      </c>
      <c r="O10" s="155">
        <f>N10-M10</f>
        <v>-8000</v>
      </c>
      <c r="P10" s="101"/>
      <c r="Z10" s="78"/>
      <c r="AB10" s="68"/>
    </row>
    <row r="11" spans="2:28" x14ac:dyDescent="0.25">
      <c r="B11" s="15">
        <f t="shared" si="1"/>
        <v>45966</v>
      </c>
      <c r="C11" s="195"/>
      <c r="D11" s="191">
        <f>230000</f>
        <v>230000</v>
      </c>
      <c r="E11" s="192"/>
      <c r="F11" s="191">
        <f>230000</f>
        <v>230000</v>
      </c>
      <c r="G11" s="195"/>
      <c r="H11" s="195">
        <f>175000+207000+175000+44000</f>
        <v>601000</v>
      </c>
      <c r="I11" s="195"/>
      <c r="J11" s="191">
        <f>27000+12000+7000+3500</f>
        <v>49500</v>
      </c>
      <c r="K11" s="195"/>
      <c r="L11" s="191">
        <f>116000</f>
        <v>116000</v>
      </c>
      <c r="M11" s="56">
        <f t="shared" si="0"/>
        <v>1226500</v>
      </c>
      <c r="N11" s="205">
        <v>1182500</v>
      </c>
      <c r="O11" s="155">
        <f>N11-M11</f>
        <v>-44000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1"/>
        <v>45967</v>
      </c>
      <c r="C12" s="192"/>
      <c r="D12" s="191">
        <f>1100000</f>
        <v>1100000</v>
      </c>
      <c r="E12" s="192">
        <f>80000+90000</f>
        <v>170000</v>
      </c>
      <c r="F12" s="191">
        <f>1125000</f>
        <v>1125000</v>
      </c>
      <c r="G12" s="192">
        <f>2000+340000+380000+500000</f>
        <v>1222000</v>
      </c>
      <c r="H12" s="191">
        <f>6000+640000-6500+33000</f>
        <v>672500</v>
      </c>
      <c r="I12" s="192">
        <f>6500</f>
        <v>6500</v>
      </c>
      <c r="J12" s="191">
        <f>11900+43920+3500</f>
        <v>59320</v>
      </c>
      <c r="K12" s="192">
        <f>150500</f>
        <v>150500</v>
      </c>
      <c r="L12" s="191">
        <f>28800+174750</f>
        <v>203550</v>
      </c>
      <c r="M12" s="56">
        <f t="shared" si="0"/>
        <v>4709370</v>
      </c>
      <c r="N12" s="205">
        <v>4676370</v>
      </c>
      <c r="O12" s="155">
        <f>N12-M12</f>
        <v>-33000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1"/>
        <v>45968</v>
      </c>
      <c r="C13" s="192">
        <f>250000+103500</f>
        <v>353500</v>
      </c>
      <c r="D13" s="191"/>
      <c r="E13" s="192">
        <f>5000</f>
        <v>5000</v>
      </c>
      <c r="F13" s="191">
        <f>10000</f>
        <v>10000</v>
      </c>
      <c r="G13" s="192">
        <f>440000+5000</f>
        <v>445000</v>
      </c>
      <c r="H13" s="191">
        <f>540000+361500+32400+130000+120000+1500+20000</f>
        <v>1205400</v>
      </c>
      <c r="I13" s="192">
        <f>3500</f>
        <v>3500</v>
      </c>
      <c r="J13" s="191">
        <f>10900+7000+2000</f>
        <v>19900</v>
      </c>
      <c r="K13" s="192">
        <f>3000+31350</f>
        <v>34350</v>
      </c>
      <c r="L13" s="191">
        <f>3500+51000</f>
        <v>54500</v>
      </c>
      <c r="M13" s="56">
        <f t="shared" si="0"/>
        <v>2131150</v>
      </c>
      <c r="N13" s="205">
        <v>2111150</v>
      </c>
      <c r="O13" s="155">
        <f>N13-M13</f>
        <v>-20000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1"/>
        <v>45969</v>
      </c>
      <c r="C14" s="192"/>
      <c r="D14" s="191">
        <f>3500</f>
        <v>3500</v>
      </c>
      <c r="E14" s="192">
        <f>3500</f>
        <v>3500</v>
      </c>
      <c r="F14" s="191"/>
      <c r="G14" s="192"/>
      <c r="H14" s="191">
        <f>540000+770000+550000+8000+930000+545000+5000+21000</f>
        <v>3369000</v>
      </c>
      <c r="I14" s="192"/>
      <c r="J14" s="191">
        <f>8500</f>
        <v>8500</v>
      </c>
      <c r="K14" s="192"/>
      <c r="L14" s="191">
        <f>19000</f>
        <v>19000</v>
      </c>
      <c r="M14" s="56">
        <f t="shared" ref="M14:M37" si="3">SUM(C14:L14)</f>
        <v>3403500</v>
      </c>
      <c r="N14" s="205">
        <v>3382500</v>
      </c>
      <c r="O14" s="155">
        <f>N14-M14</f>
        <v>-21000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1"/>
        <v>45970</v>
      </c>
      <c r="C15" s="192"/>
      <c r="D15" s="200"/>
      <c r="E15" s="192">
        <f>3500</f>
        <v>3500</v>
      </c>
      <c r="F15" s="191"/>
      <c r="G15" s="192">
        <f>250000+5000</f>
        <v>255000</v>
      </c>
      <c r="H15" s="191">
        <f>6500+480000+390000+1500+25000+3000+41000-6500</f>
        <v>940500</v>
      </c>
      <c r="I15" s="192">
        <f>6500</f>
        <v>6500</v>
      </c>
      <c r="J15" s="191">
        <f>3500+11400</f>
        <v>14900</v>
      </c>
      <c r="K15" s="192"/>
      <c r="L15" s="191">
        <f>9176.29</f>
        <v>9176.2900000000009</v>
      </c>
      <c r="M15" s="56">
        <f t="shared" si="3"/>
        <v>1229576.29</v>
      </c>
      <c r="N15" s="205">
        <v>1188576</v>
      </c>
      <c r="O15" s="155">
        <f t="shared" si="2"/>
        <v>-41000.290000000037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1"/>
        <v>45971</v>
      </c>
      <c r="C16" s="197"/>
      <c r="D16" s="191">
        <f>27000</f>
        <v>27000</v>
      </c>
      <c r="E16" s="192"/>
      <c r="F16" s="191"/>
      <c r="G16" s="197">
        <f>90000+5000</f>
        <v>95000</v>
      </c>
      <c r="H16" s="191">
        <f>450000+3000+645000+14000+200000+29000</f>
        <v>1341000</v>
      </c>
      <c r="I16" s="195">
        <f>3500</f>
        <v>3500</v>
      </c>
      <c r="J16" s="191">
        <f>3500+10900</f>
        <v>14400</v>
      </c>
      <c r="K16" s="195">
        <f>21000</f>
        <v>21000</v>
      </c>
      <c r="L16" s="191">
        <f>30000</f>
        <v>30000</v>
      </c>
      <c r="M16" s="56">
        <f t="shared" si="3"/>
        <v>1531900</v>
      </c>
      <c r="N16" s="205">
        <v>1502900</v>
      </c>
      <c r="O16" s="155">
        <f t="shared" si="2"/>
        <v>-29000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1"/>
        <v>45972</v>
      </c>
      <c r="C17" s="216">
        <f>1100000</f>
        <v>1100000</v>
      </c>
      <c r="D17" s="217">
        <f>400000</f>
        <v>400000</v>
      </c>
      <c r="E17" s="218"/>
      <c r="F17" s="219">
        <f>5000</f>
        <v>5000</v>
      </c>
      <c r="G17" s="216">
        <f>1235000</f>
        <v>1235000</v>
      </c>
      <c r="H17" s="219">
        <f>3500+15000+18000</f>
        <v>36500</v>
      </c>
      <c r="I17" s="216">
        <f>4200</f>
        <v>4200</v>
      </c>
      <c r="J17" s="219">
        <f>450000+3500</f>
        <v>453500</v>
      </c>
      <c r="K17" s="216"/>
      <c r="L17" s="219">
        <f>79600</f>
        <v>79600</v>
      </c>
      <c r="M17" s="176">
        <f t="shared" si="3"/>
        <v>3313800</v>
      </c>
      <c r="N17" s="205">
        <v>3295800</v>
      </c>
      <c r="O17" s="181">
        <f>N17-M17</f>
        <v>-18000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1"/>
        <v>45973</v>
      </c>
      <c r="C18" s="195">
        <f>11000</f>
        <v>11000</v>
      </c>
      <c r="D18" s="191">
        <f>40000</f>
        <v>40000</v>
      </c>
      <c r="E18" s="192"/>
      <c r="F18" s="191"/>
      <c r="G18" s="195"/>
      <c r="H18" s="191">
        <f>200000+180000+70000+500000+37500</f>
        <v>987500</v>
      </c>
      <c r="I18" s="195">
        <f>3500</f>
        <v>3500</v>
      </c>
      <c r="J18" s="191">
        <f>21000+21500</f>
        <v>42500</v>
      </c>
      <c r="K18" s="195">
        <f>85000</f>
        <v>85000</v>
      </c>
      <c r="L18" s="191">
        <f>45000</f>
        <v>45000</v>
      </c>
      <c r="M18" s="176">
        <f t="shared" si="3"/>
        <v>1214500</v>
      </c>
      <c r="N18" s="205">
        <v>1177000</v>
      </c>
      <c r="O18" s="178">
        <f t="shared" si="2"/>
        <v>-37500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1"/>
        <v>45974</v>
      </c>
      <c r="C19" s="192"/>
      <c r="D19" s="191">
        <f>10000</f>
        <v>10000</v>
      </c>
      <c r="E19" s="192"/>
      <c r="F19" s="191"/>
      <c r="G19" s="192">
        <f>6000+4000+320000+690000</f>
        <v>1020000</v>
      </c>
      <c r="H19" s="191">
        <f>3500+12000+8000+180000+42000</f>
        <v>245500</v>
      </c>
      <c r="I19" s="192"/>
      <c r="J19" s="191">
        <f>20700+11400</f>
        <v>32100</v>
      </c>
      <c r="K19" s="192">
        <f>9500</f>
        <v>9500</v>
      </c>
      <c r="L19" s="191">
        <f>96000</f>
        <v>96000</v>
      </c>
      <c r="M19" s="56">
        <f>SUM(C19:L19)</f>
        <v>1413100</v>
      </c>
      <c r="N19" s="205">
        <v>1371100</v>
      </c>
      <c r="O19" s="178">
        <f t="shared" si="2"/>
        <v>-42000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1"/>
        <v>45975</v>
      </c>
      <c r="C20" s="192"/>
      <c r="D20" s="188"/>
      <c r="E20" s="192">
        <f>305000</f>
        <v>305000</v>
      </c>
      <c r="F20" s="191">
        <f>917000</f>
        <v>917000</v>
      </c>
      <c r="G20" s="192">
        <f>600000+123500+730000+35000</f>
        <v>1488500</v>
      </c>
      <c r="H20" s="191">
        <f>35000+1500+590000+51500+350000+93500+580000+540000+46500</f>
        <v>2288000</v>
      </c>
      <c r="I20" s="192">
        <f>3500+15800</f>
        <v>19300</v>
      </c>
      <c r="J20" s="191">
        <f>26186+10000+3500+3500</f>
        <v>43186</v>
      </c>
      <c r="K20" s="192">
        <f>3500</f>
        <v>3500</v>
      </c>
      <c r="L20" s="191"/>
      <c r="M20" s="56">
        <f>SUM(C20:L20)</f>
        <v>5064486</v>
      </c>
      <c r="N20" s="205">
        <v>5017986</v>
      </c>
      <c r="O20" s="178">
        <f t="shared" si="2"/>
        <v>-46500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45976</v>
      </c>
      <c r="C21" s="192"/>
      <c r="D21" s="191"/>
      <c r="E21" s="192"/>
      <c r="F21" s="169"/>
      <c r="G21" s="192">
        <f>445000+740000</f>
        <v>1185000</v>
      </c>
      <c r="H21" s="191">
        <f>430000+600000+4000+350000+10000+380000+26500</f>
        <v>1800500</v>
      </c>
      <c r="I21" s="192"/>
      <c r="J21" s="191">
        <f>3500+17400+8200</f>
        <v>29100</v>
      </c>
      <c r="K21" s="192">
        <f>20000</f>
        <v>20000</v>
      </c>
      <c r="L21" s="191">
        <f>51000</f>
        <v>51000</v>
      </c>
      <c r="M21" s="56">
        <f t="shared" si="3"/>
        <v>3085600</v>
      </c>
      <c r="N21" s="205">
        <v>3059100</v>
      </c>
      <c r="O21" s="181">
        <f t="shared" si="2"/>
        <v>-26500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45977</v>
      </c>
      <c r="C22" s="192">
        <f>1300000</f>
        <v>1300000</v>
      </c>
      <c r="D22" s="200"/>
      <c r="E22" s="192"/>
      <c r="F22" s="191"/>
      <c r="G22" s="192">
        <f>370000+5000</f>
        <v>375000</v>
      </c>
      <c r="H22" s="191">
        <f>590000+130000+1500</f>
        <v>721500</v>
      </c>
      <c r="I22" s="192"/>
      <c r="J22" s="191">
        <f>3500+3500+3500</f>
        <v>10500</v>
      </c>
      <c r="K22" s="189"/>
      <c r="L22" s="190"/>
      <c r="M22" s="56">
        <f t="shared" si="3"/>
        <v>2407000</v>
      </c>
      <c r="N22" s="205">
        <v>2407000</v>
      </c>
      <c r="O22" s="178">
        <f t="shared" si="2"/>
        <v>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1"/>
        <v>45978</v>
      </c>
      <c r="C23" s="192"/>
      <c r="D23" s="191"/>
      <c r="E23" s="192"/>
      <c r="F23" s="191"/>
      <c r="G23" s="192">
        <f>600000+1500+460000+400000</f>
        <v>1461500</v>
      </c>
      <c r="H23" s="191">
        <f>540000+3500+381500+15000+21000+37500</f>
        <v>998500</v>
      </c>
      <c r="I23" s="192"/>
      <c r="J23" s="191">
        <f>7900</f>
        <v>7900</v>
      </c>
      <c r="K23" s="192">
        <f>24500</f>
        <v>24500</v>
      </c>
      <c r="L23" s="191">
        <f>2500+7000</f>
        <v>9500</v>
      </c>
      <c r="M23" s="56">
        <f t="shared" si="3"/>
        <v>2501900</v>
      </c>
      <c r="N23" s="205">
        <v>2464400</v>
      </c>
      <c r="O23" s="181">
        <f t="shared" si="2"/>
        <v>-37500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1"/>
        <v>45979</v>
      </c>
      <c r="C24" s="195">
        <v>1000000</v>
      </c>
      <c r="D24" s="191"/>
      <c r="E24" s="192"/>
      <c r="F24" s="191">
        <f>1980000</f>
        <v>1980000</v>
      </c>
      <c r="G24" s="195">
        <f>1200000+930000+5000+310500</f>
        <v>2445500</v>
      </c>
      <c r="H24" s="191">
        <f>380000+1500+110000+570000+930000+2000-930000+48000</f>
        <v>1111500</v>
      </c>
      <c r="I24" s="195">
        <f>15000</f>
        <v>15000</v>
      </c>
      <c r="J24" s="191"/>
      <c r="K24" s="195">
        <f>7500</f>
        <v>7500</v>
      </c>
      <c r="L24" s="191">
        <f>44000+16000</f>
        <v>60000</v>
      </c>
      <c r="M24" s="56">
        <f t="shared" si="3"/>
        <v>6619500</v>
      </c>
      <c r="N24" s="205">
        <v>6571500</v>
      </c>
      <c r="O24" s="181">
        <f t="shared" si="2"/>
        <v>-48000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1"/>
        <v>45980</v>
      </c>
      <c r="C25" s="192">
        <f>1250000</f>
        <v>1250000</v>
      </c>
      <c r="D25" s="191"/>
      <c r="E25" s="192">
        <f>35</f>
        <v>35</v>
      </c>
      <c r="F25" s="191">
        <f>685000</f>
        <v>685000</v>
      </c>
      <c r="G25" s="192"/>
      <c r="H25" s="191">
        <f>400000+3500+400000+28000</f>
        <v>831500</v>
      </c>
      <c r="I25" s="192"/>
      <c r="J25" s="191">
        <f>6713+15000+3500+7900+3500</f>
        <v>36613</v>
      </c>
      <c r="K25" s="192">
        <f>118200</f>
        <v>118200</v>
      </c>
      <c r="L25" s="191">
        <f>99170</f>
        <v>99170</v>
      </c>
      <c r="M25" s="56">
        <f t="shared" si="3"/>
        <v>3020518</v>
      </c>
      <c r="N25" s="205">
        <v>2992518</v>
      </c>
      <c r="O25" s="181">
        <f t="shared" si="2"/>
        <v>-28000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1"/>
        <v>45981</v>
      </c>
      <c r="C26" s="192"/>
      <c r="D26" s="191">
        <f>997500</f>
        <v>997500</v>
      </c>
      <c r="E26" s="192"/>
      <c r="F26" s="191">
        <f>180000</f>
        <v>180000</v>
      </c>
      <c r="G26" s="192">
        <f>465000+2000+380000</f>
        <v>847000</v>
      </c>
      <c r="H26" s="191">
        <f>640000+35000+8000+400000+43000</f>
        <v>1126000</v>
      </c>
      <c r="I26" s="192"/>
      <c r="J26" s="191"/>
      <c r="K26" s="192"/>
      <c r="L26" s="191">
        <f>100975</f>
        <v>100975</v>
      </c>
      <c r="M26" s="56">
        <f>SUM(C26:L26)</f>
        <v>3251475</v>
      </c>
      <c r="N26" s="205">
        <v>3208475</v>
      </c>
      <c r="O26" s="178">
        <f t="shared" si="2"/>
        <v>-43000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1"/>
        <v>45982</v>
      </c>
      <c r="C27" s="192"/>
      <c r="D27" s="191">
        <f>1400000</f>
        <v>1400000</v>
      </c>
      <c r="E27" s="192">
        <f>5000</f>
        <v>5000</v>
      </c>
      <c r="F27" s="191">
        <f>23500</f>
        <v>23500</v>
      </c>
      <c r="G27" s="192">
        <f>1280000+390000+540000</f>
        <v>2210000</v>
      </c>
      <c r="H27" s="191">
        <f>600000+6000+710000+130000+400000+28000+21000</f>
        <v>1895000</v>
      </c>
      <c r="I27" s="192"/>
      <c r="J27" s="198">
        <f>3500+3500+15000</f>
        <v>22000</v>
      </c>
      <c r="K27" s="192">
        <f>68500</f>
        <v>68500</v>
      </c>
      <c r="L27" s="191">
        <f>30000+73000+60500</f>
        <v>163500</v>
      </c>
      <c r="M27" s="56">
        <f>SUM(C27:L27)</f>
        <v>5787500</v>
      </c>
      <c r="N27" s="205">
        <v>5766500</v>
      </c>
      <c r="O27" s="178">
        <f t="shared" si="2"/>
        <v>-21000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1"/>
        <v>45983</v>
      </c>
      <c r="C28" s="192"/>
      <c r="D28" s="191"/>
      <c r="E28" s="192"/>
      <c r="F28" s="191"/>
      <c r="G28" s="192">
        <f>80000+150000</f>
        <v>230000</v>
      </c>
      <c r="H28" s="191">
        <f>210000+540000+20000+12000+600000+590000+21500</f>
        <v>1993500</v>
      </c>
      <c r="I28" s="192">
        <f>3500+3500</f>
        <v>7000</v>
      </c>
      <c r="J28" s="191">
        <f>9500+3500</f>
        <v>13000</v>
      </c>
      <c r="K28" s="192"/>
      <c r="L28" s="191">
        <f>107740</f>
        <v>107740</v>
      </c>
      <c r="M28" s="56">
        <f>SUM(C28:L28)</f>
        <v>2351240</v>
      </c>
      <c r="N28" s="205">
        <v>2329740</v>
      </c>
      <c r="O28" s="178">
        <f t="shared" si="2"/>
        <v>-21500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1"/>
        <v>45984</v>
      </c>
      <c r="C29" s="192"/>
      <c r="D29" s="191"/>
      <c r="E29" s="192"/>
      <c r="F29" s="191"/>
      <c r="G29" s="192">
        <f>1500+210000+750000</f>
        <v>961500</v>
      </c>
      <c r="H29" s="191">
        <f>4500+540000+466500+1085500+3000+42000</f>
        <v>2141500</v>
      </c>
      <c r="I29" s="192"/>
      <c r="J29" s="191">
        <f>27000+27400</f>
        <v>54400</v>
      </c>
      <c r="K29" s="192"/>
      <c r="L29" s="191">
        <f>7900+5500</f>
        <v>13400</v>
      </c>
      <c r="M29" s="56">
        <f t="shared" si="3"/>
        <v>3170800</v>
      </c>
      <c r="N29" s="205">
        <v>3128800</v>
      </c>
      <c r="O29" s="178">
        <f t="shared" si="2"/>
        <v>-42000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1"/>
        <v>45985</v>
      </c>
      <c r="C30" s="199">
        <f>160000</f>
        <v>160000</v>
      </c>
      <c r="D30" s="202">
        <f>23500</f>
        <v>23500</v>
      </c>
      <c r="E30" s="192"/>
      <c r="F30" s="191"/>
      <c r="G30" s="192">
        <f>600000+540000+450000+110</f>
        <v>1590110</v>
      </c>
      <c r="H30" s="191">
        <f>540000+1240000+1205500+5000-1205500-3500+5000</f>
        <v>1786500</v>
      </c>
      <c r="I30" s="192"/>
      <c r="J30" s="191">
        <f>7000+6500</f>
        <v>13500</v>
      </c>
      <c r="K30" s="199">
        <f>21675+46500</f>
        <v>68175</v>
      </c>
      <c r="L30" s="198">
        <f>210599+6700+27500</f>
        <v>244799</v>
      </c>
      <c r="M30" s="56">
        <f t="shared" si="3"/>
        <v>3886584</v>
      </c>
      <c r="N30" s="205">
        <v>3881584</v>
      </c>
      <c r="O30" s="178">
        <f t="shared" si="2"/>
        <v>-5000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1"/>
        <v>45986</v>
      </c>
      <c r="C31" s="187">
        <f>900000</f>
        <v>900000</v>
      </c>
      <c r="D31" s="190">
        <f>180000</f>
        <v>180000</v>
      </c>
      <c r="E31" s="189"/>
      <c r="F31" s="190">
        <f>1105000</f>
        <v>1105000</v>
      </c>
      <c r="G31" s="187">
        <f>10000+5000</f>
        <v>15000</v>
      </c>
      <c r="H31" s="190">
        <f>500000+1350000+600000+20000+380000+6000+51500</f>
        <v>2907500</v>
      </c>
      <c r="I31" s="189"/>
      <c r="J31" s="190">
        <f>3500</f>
        <v>3500</v>
      </c>
      <c r="K31" s="189">
        <f>5500</f>
        <v>5500</v>
      </c>
      <c r="L31" s="190">
        <f>118400</f>
        <v>118400</v>
      </c>
      <c r="M31" s="56">
        <f t="shared" si="3"/>
        <v>5234900</v>
      </c>
      <c r="N31" s="205">
        <v>5183400</v>
      </c>
      <c r="O31" s="178">
        <f t="shared" si="2"/>
        <v>-51500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1"/>
        <v>45987</v>
      </c>
      <c r="C32" s="192">
        <f>710000</f>
        <v>710000</v>
      </c>
      <c r="D32" s="191"/>
      <c r="E32" s="192">
        <f>405000</f>
        <v>405000</v>
      </c>
      <c r="F32" s="191">
        <f>630000</f>
        <v>630000</v>
      </c>
      <c r="G32" s="192"/>
      <c r="H32" s="191">
        <f>950000+400000+25000</f>
        <v>1375000</v>
      </c>
      <c r="I32" s="199">
        <f>3500+27800</f>
        <v>31300</v>
      </c>
      <c r="J32" s="191">
        <f>25800+3500</f>
        <v>29300</v>
      </c>
      <c r="K32" s="192"/>
      <c r="L32" s="191">
        <f>39000+144190</f>
        <v>183190</v>
      </c>
      <c r="M32" s="56">
        <f t="shared" si="3"/>
        <v>3363790</v>
      </c>
      <c r="N32" s="205">
        <v>3338790</v>
      </c>
      <c r="O32" s="178">
        <f t="shared" si="2"/>
        <v>-25000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1"/>
        <v>45988</v>
      </c>
      <c r="C33" s="192">
        <f>500000</f>
        <v>500000</v>
      </c>
      <c r="D33" s="191">
        <f>500000</f>
        <v>500000</v>
      </c>
      <c r="E33" s="192">
        <f>5000</f>
        <v>5000</v>
      </c>
      <c r="F33" s="191">
        <f>40000</f>
        <v>40000</v>
      </c>
      <c r="G33" s="192"/>
      <c r="H33" s="191">
        <f>840000+640000+700000+450000+8000</f>
        <v>2638000</v>
      </c>
      <c r="I33" s="192"/>
      <c r="J33" s="191"/>
      <c r="K33" s="192">
        <f>3500</f>
        <v>3500</v>
      </c>
      <c r="L33" s="191">
        <v>256700</v>
      </c>
      <c r="M33" s="56">
        <f t="shared" si="3"/>
        <v>3943200</v>
      </c>
      <c r="N33" s="205">
        <v>3925200</v>
      </c>
      <c r="O33" s="178">
        <f t="shared" si="2"/>
        <v>-18000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1"/>
        <v>45989</v>
      </c>
      <c r="C34" s="192">
        <f>200000</f>
        <v>200000</v>
      </c>
      <c r="D34" s="191">
        <f>425000</f>
        <v>425000</v>
      </c>
      <c r="E34" s="192"/>
      <c r="F34" s="191">
        <f>5000</f>
        <v>5000</v>
      </c>
      <c r="G34" s="199">
        <f>700000+850000+200000+340000+1050000</f>
        <v>3140000</v>
      </c>
      <c r="H34" s="198">
        <f>540000+130000+28000+660000+35000</f>
        <v>1393000</v>
      </c>
      <c r="I34" s="199">
        <f>3500</f>
        <v>3500</v>
      </c>
      <c r="J34" s="198">
        <f>10500+7900</f>
        <v>18400</v>
      </c>
      <c r="K34" s="199">
        <f>326500</f>
        <v>326500</v>
      </c>
      <c r="L34" s="198">
        <f>3500+40000</f>
        <v>43500</v>
      </c>
      <c r="M34" s="56">
        <f t="shared" si="3"/>
        <v>5554900</v>
      </c>
      <c r="N34" s="205">
        <v>5519900</v>
      </c>
      <c r="O34" s="178">
        <f t="shared" si="2"/>
        <v>-35000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1"/>
        <v>45990</v>
      </c>
      <c r="C35" s="192"/>
      <c r="D35" s="200"/>
      <c r="E35" s="192"/>
      <c r="F35" s="191"/>
      <c r="G35" s="192">
        <f>500000+490000+75</f>
        <v>990075</v>
      </c>
      <c r="H35" s="191">
        <f>1190000+260000+2000+265000+700000+51500</f>
        <v>2468500</v>
      </c>
      <c r="I35" s="192"/>
      <c r="J35" s="191">
        <f>7900</f>
        <v>7900</v>
      </c>
      <c r="K35" s="192"/>
      <c r="L35" s="191">
        <f>58000+31850</f>
        <v>89850</v>
      </c>
      <c r="M35" s="56">
        <f t="shared" si="3"/>
        <v>3556325</v>
      </c>
      <c r="N35" s="205">
        <v>3504825</v>
      </c>
      <c r="O35" s="223">
        <f t="shared" si="2"/>
        <v>-51500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45991</v>
      </c>
      <c r="C36" s="192"/>
      <c r="D36" s="200"/>
      <c r="E36" s="192"/>
      <c r="F36" s="191"/>
      <c r="G36" s="192">
        <f>900000+640000+200000+650000</f>
        <v>2390000</v>
      </c>
      <c r="H36" s="191">
        <f>40000+353000+1500+540000+3000+3000+7000+26000</f>
        <v>973500</v>
      </c>
      <c r="I36" s="192">
        <f>6500+3500</f>
        <v>10000</v>
      </c>
      <c r="J36" s="191">
        <f>12400+3465.32</f>
        <v>15865.32</v>
      </c>
      <c r="K36" s="192"/>
      <c r="L36" s="191">
        <f>17000</f>
        <v>17000</v>
      </c>
      <c r="M36" s="56">
        <f t="shared" si="3"/>
        <v>3406365.32</v>
      </c>
      <c r="N36" s="205">
        <v>3380365.32</v>
      </c>
      <c r="O36" s="223">
        <f t="shared" si="2"/>
        <v>-26000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191"/>
      <c r="E37" s="192"/>
      <c r="F37" s="191"/>
      <c r="G37" s="192"/>
      <c r="H37" s="191"/>
      <c r="I37" s="192"/>
      <c r="J37" s="191"/>
      <c r="K37" s="192"/>
      <c r="L37" s="191"/>
      <c r="M37" s="56">
        <f t="shared" si="3"/>
        <v>0</v>
      </c>
      <c r="N37" s="206"/>
      <c r="O37" s="223">
        <f t="shared" si="2"/>
        <v>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7484500</v>
      </c>
      <c r="D39" s="25">
        <f>SUM(D7:D38)</f>
        <v>6536500</v>
      </c>
      <c r="E39" s="24">
        <f t="shared" ref="E39:K39" si="4">SUM(E7:E38)</f>
        <v>2362035</v>
      </c>
      <c r="F39" s="59">
        <f t="shared" si="4"/>
        <v>6940500</v>
      </c>
      <c r="G39" s="24">
        <f t="shared" si="4"/>
        <v>25219685</v>
      </c>
      <c r="H39" s="25">
        <f>SUM(H7:H38)</f>
        <v>46130400</v>
      </c>
      <c r="I39" s="24">
        <f t="shared" si="4"/>
        <v>127300</v>
      </c>
      <c r="J39" s="25">
        <f>SUM(J7:J38)</f>
        <v>1048084.32</v>
      </c>
      <c r="K39" s="24">
        <f t="shared" si="4"/>
        <v>951225</v>
      </c>
      <c r="L39" s="25">
        <f>SUM(L7:L38)</f>
        <v>2313750.29</v>
      </c>
      <c r="M39" s="28">
        <f>SUM(M7:M38)</f>
        <v>99113979.609999985</v>
      </c>
      <c r="N39" s="27">
        <f>SUM(N7:N38)</f>
        <v>98224979.319999993</v>
      </c>
      <c r="O39" s="26">
        <f>N39-M39</f>
        <v>-889000.28999999166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14021000</v>
      </c>
      <c r="D40" s="282"/>
      <c r="E40" s="267">
        <f>SUM(E39:F39)</f>
        <v>9302535</v>
      </c>
      <c r="F40" s="269"/>
      <c r="G40" s="281">
        <f>SUM(G39:H39)</f>
        <v>71350085</v>
      </c>
      <c r="H40" s="282"/>
      <c r="I40" s="267">
        <f>SUM(I39:J39)</f>
        <v>1175384.3199999998</v>
      </c>
      <c r="J40" s="268"/>
      <c r="K40" s="281">
        <f>SUM(K39:L39)</f>
        <v>3264975.29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45961</v>
      </c>
      <c r="C45" s="203">
        <v>0</v>
      </c>
      <c r="D45" s="14">
        <v>250000</v>
      </c>
      <c r="E45" s="203">
        <v>0</v>
      </c>
      <c r="F45" s="14"/>
      <c r="G45" s="203"/>
      <c r="H45" s="14">
        <v>1333575</v>
      </c>
      <c r="I45" s="203"/>
      <c r="J45" s="14">
        <v>70300</v>
      </c>
      <c r="K45" s="134"/>
      <c r="L45" s="14"/>
      <c r="M45" s="203">
        <v>0</v>
      </c>
      <c r="N45" s="203">
        <f>F45+H45+J45+L45</f>
        <v>1403875</v>
      </c>
      <c r="O45" s="203">
        <f>N45-M45</f>
        <v>1403875</v>
      </c>
      <c r="P45" s="85">
        <v>45962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45991</v>
      </c>
      <c r="C48" s="203">
        <v>0</v>
      </c>
      <c r="D48" s="14"/>
      <c r="E48" s="203">
        <v>0</v>
      </c>
      <c r="F48" s="14"/>
      <c r="G48" s="203">
        <v>0</v>
      </c>
      <c r="H48" s="14">
        <v>970500</v>
      </c>
      <c r="I48" s="203">
        <v>0</v>
      </c>
      <c r="J48" s="14">
        <v>15865</v>
      </c>
      <c r="K48" s="134">
        <v>0</v>
      </c>
      <c r="L48" s="14">
        <v>17000</v>
      </c>
      <c r="M48" s="203"/>
      <c r="N48" s="203">
        <f>F48+H48+J48+L48+D48</f>
        <v>1003365</v>
      </c>
      <c r="O48" s="203">
        <f>N48-M48</f>
        <v>1003365</v>
      </c>
      <c r="P48" s="151">
        <v>45992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250000</v>
      </c>
      <c r="E50" s="262">
        <f>F45+F46-F47-F48</f>
        <v>0</v>
      </c>
      <c r="F50" s="263"/>
      <c r="G50" s="262">
        <f>H45+H46-H47-H48</f>
        <v>363075</v>
      </c>
      <c r="H50" s="263"/>
      <c r="I50" s="262">
        <f>J45+J46-J47-J48</f>
        <v>54435</v>
      </c>
      <c r="J50" s="263"/>
      <c r="K50" s="262">
        <f>L45+L46-L47-L48</f>
        <v>-17000</v>
      </c>
      <c r="L50" s="263"/>
    </row>
    <row r="51" spans="2:28" x14ac:dyDescent="0.25">
      <c r="B51" s="294" t="s">
        <v>12</v>
      </c>
      <c r="C51" s="295"/>
      <c r="D51" s="212">
        <f>D39+D50</f>
        <v>6786500</v>
      </c>
      <c r="E51" s="289">
        <f>F39+E50</f>
        <v>6940500</v>
      </c>
      <c r="F51" s="290"/>
      <c r="G51" s="289">
        <f>H39+G50</f>
        <v>46493475</v>
      </c>
      <c r="H51" s="290"/>
      <c r="I51" s="291">
        <f>J39+I50</f>
        <v>1102519.3199999998</v>
      </c>
      <c r="J51" s="292"/>
      <c r="K51" s="289">
        <f>L39+K50</f>
        <v>2296750.29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63619744.609999999</v>
      </c>
      <c r="E52" s="293"/>
      <c r="F52" s="293"/>
      <c r="G52" s="293"/>
      <c r="H52" s="293"/>
      <c r="I52" s="226"/>
      <c r="J52" s="226"/>
      <c r="K52" s="226"/>
      <c r="L52" s="22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41431.798859000002</v>
      </c>
      <c r="P54" s="87"/>
      <c r="S54">
        <v>10.67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36144745</v>
      </c>
      <c r="D55" s="149">
        <f>D39+H39+F39+J39+L39</f>
        <v>62969234.609999999</v>
      </c>
      <c r="E55" s="58"/>
      <c r="F55" s="58"/>
      <c r="M55" s="63" t="s">
        <v>25</v>
      </c>
      <c r="N55" s="64">
        <f>N59*S55/100</f>
        <v>42363.723107000005</v>
      </c>
      <c r="P55" s="88"/>
      <c r="S55">
        <v>10.91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99113979.609999999</v>
      </c>
      <c r="D56" s="285"/>
      <c r="E56" s="57"/>
      <c r="F56" s="57"/>
      <c r="M56" s="63" t="s">
        <v>28</v>
      </c>
      <c r="N56" s="64">
        <f>N59*S56/100</f>
        <v>283770.93351600005</v>
      </c>
      <c r="R56" s="87"/>
      <c r="S56">
        <v>73.08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6717.620621</v>
      </c>
      <c r="S57">
        <v>1.73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14017.693896999999</v>
      </c>
      <c r="S58">
        <v>3.61</v>
      </c>
      <c r="Y58" s="4"/>
      <c r="AA58" s="78"/>
      <c r="AB58" s="68"/>
    </row>
    <row r="59" spans="2:28" x14ac:dyDescent="0.25">
      <c r="J59" t="s">
        <v>3</v>
      </c>
      <c r="N59" s="64">
        <v>388301.77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99764489.609999999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DB53-09D1-445C-828B-67257FBC03CC}">
  <sheetPr>
    <pageSetUpPr fitToPage="1"/>
  </sheetPr>
  <dimension ref="A1:AB72"/>
  <sheetViews>
    <sheetView topLeftCell="A28" workbookViewId="0">
      <selection activeCell="J35" sqref="J35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144</v>
      </c>
      <c r="E3" s="274"/>
      <c r="F3" s="274"/>
      <c r="G3" s="274"/>
      <c r="H3" s="39">
        <v>2025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45992</v>
      </c>
      <c r="C7" s="192"/>
      <c r="D7" s="191">
        <f>80000+30000</f>
        <v>110000</v>
      </c>
      <c r="E7" s="192"/>
      <c r="F7" s="191"/>
      <c r="G7" s="193">
        <f>380000+5000+3000</f>
        <v>388000</v>
      </c>
      <c r="H7" s="194">
        <f>430000+540000+6000+1500+7500+495000+268000+430000+14000+3500+8000</f>
        <v>2203500</v>
      </c>
      <c r="I7" s="193"/>
      <c r="J7" s="194">
        <f>20500</f>
        <v>20500</v>
      </c>
      <c r="K7" s="193">
        <f>17200</f>
        <v>17200</v>
      </c>
      <c r="L7" s="194">
        <f>10000+44500+10250+154800</f>
        <v>219550</v>
      </c>
      <c r="M7" s="56">
        <f>SUM(C7:L7)</f>
        <v>2958750</v>
      </c>
      <c r="N7" s="205">
        <v>2950750</v>
      </c>
      <c r="O7" s="53">
        <f>N7-M7</f>
        <v>-8000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0">B7+1</f>
        <v>45993</v>
      </c>
      <c r="C8" s="195"/>
      <c r="D8" s="191"/>
      <c r="E8" s="192">
        <f>1680000+5000</f>
        <v>1685000</v>
      </c>
      <c r="F8" s="191"/>
      <c r="G8" s="195">
        <f>615000+500000</f>
        <v>1115000</v>
      </c>
      <c r="H8" s="191">
        <f>8000+30000+3000+1500+16500</f>
        <v>59000</v>
      </c>
      <c r="I8" s="195">
        <f>3500</f>
        <v>3500</v>
      </c>
      <c r="J8" s="191">
        <f>13500+7900+15000+4200+3500</f>
        <v>44100</v>
      </c>
      <c r="K8" s="195"/>
      <c r="L8" s="191">
        <f>85000+31700</f>
        <v>116700</v>
      </c>
      <c r="M8" s="56">
        <f>SUM(C8:L8)</f>
        <v>3023300</v>
      </c>
      <c r="N8" s="205">
        <v>3006800</v>
      </c>
      <c r="O8" s="53">
        <f t="shared" ref="O8:O37" si="1">N8-M8</f>
        <v>-16500</v>
      </c>
      <c r="Z8" s="78"/>
      <c r="AB8" s="68"/>
    </row>
    <row r="9" spans="2:28" x14ac:dyDescent="0.25">
      <c r="B9" s="15">
        <f t="shared" si="0"/>
        <v>45994</v>
      </c>
      <c r="C9" s="192">
        <f>3500</f>
        <v>3500</v>
      </c>
      <c r="D9" s="196">
        <f>1100000</f>
        <v>1100000</v>
      </c>
      <c r="E9" s="192">
        <f>585000</f>
        <v>585000</v>
      </c>
      <c r="F9" s="191">
        <f>8500+750000</f>
        <v>758500</v>
      </c>
      <c r="G9" s="192">
        <f>750000+410000+200000</f>
        <v>1360000</v>
      </c>
      <c r="H9" s="191">
        <f>540000+605000+150000+230000+23000</f>
        <v>1548000</v>
      </c>
      <c r="I9" s="192">
        <f>19500+33800+6500</f>
        <v>59800</v>
      </c>
      <c r="J9" s="191">
        <f>8900+3500+15000</f>
        <v>27400</v>
      </c>
      <c r="K9" s="192">
        <f>2400</f>
        <v>2400</v>
      </c>
      <c r="L9" s="191">
        <f>36000</f>
        <v>36000</v>
      </c>
      <c r="M9" s="56">
        <f>SUM(C9:L9)</f>
        <v>5480600</v>
      </c>
      <c r="N9" s="205">
        <v>5457600</v>
      </c>
      <c r="O9" s="53">
        <f t="shared" si="1"/>
        <v>-23000</v>
      </c>
      <c r="P9" s="101"/>
      <c r="Z9" s="78"/>
      <c r="AB9" s="68"/>
    </row>
    <row r="10" spans="2:28" x14ac:dyDescent="0.25">
      <c r="B10" s="15">
        <f t="shared" si="0"/>
        <v>45995</v>
      </c>
      <c r="C10" s="192"/>
      <c r="D10" s="196"/>
      <c r="E10" s="192">
        <f>5000</f>
        <v>5000</v>
      </c>
      <c r="F10" s="191">
        <f>5000</f>
        <v>5000</v>
      </c>
      <c r="G10" s="192">
        <f>380000</f>
        <v>380000</v>
      </c>
      <c r="H10" s="191">
        <f>530000+3000+2000+170000+1090000+700000+380000+14500</f>
        <v>2889500</v>
      </c>
      <c r="I10" s="192"/>
      <c r="J10" s="191"/>
      <c r="K10" s="192"/>
      <c r="L10" s="191">
        <f>107020</f>
        <v>107020</v>
      </c>
      <c r="M10" s="56">
        <f>SUM(C10:L10)</f>
        <v>3386520</v>
      </c>
      <c r="N10" s="205">
        <v>3372020</v>
      </c>
      <c r="O10" s="53">
        <f>N10-M10</f>
        <v>-14500</v>
      </c>
      <c r="P10" s="101"/>
      <c r="Z10" s="78"/>
      <c r="AB10" s="68"/>
    </row>
    <row r="11" spans="2:28" x14ac:dyDescent="0.25">
      <c r="B11" s="15">
        <f t="shared" si="0"/>
        <v>45996</v>
      </c>
      <c r="C11" s="195"/>
      <c r="D11" s="191"/>
      <c r="E11" s="192">
        <f>5000</f>
        <v>5000</v>
      </c>
      <c r="F11" s="191">
        <f>15000</f>
        <v>15000</v>
      </c>
      <c r="G11" s="195">
        <f>430000</f>
        <v>430000</v>
      </c>
      <c r="H11" s="195">
        <f>35000+430000+28000+5000</f>
        <v>498000</v>
      </c>
      <c r="I11" s="195">
        <f>3500+4700+4700</f>
        <v>12900</v>
      </c>
      <c r="J11" s="191">
        <f>7000+4500</f>
        <v>11500</v>
      </c>
      <c r="K11" s="195"/>
      <c r="L11" s="191">
        <f>71150</f>
        <v>71150</v>
      </c>
      <c r="M11" s="56">
        <f>SUM(C11:L11)</f>
        <v>1043550</v>
      </c>
      <c r="N11" s="205">
        <v>1038550</v>
      </c>
      <c r="O11" s="53">
        <f>N11-M11</f>
        <v>-5000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45997</v>
      </c>
      <c r="C12" s="192"/>
      <c r="D12" s="191"/>
      <c r="E12" s="192"/>
      <c r="F12" s="191"/>
      <c r="G12" s="192">
        <f>510000+1240000</f>
        <v>1750000</v>
      </c>
      <c r="H12" s="191">
        <f>540000+5000+404500+700000+69500</f>
        <v>1719000</v>
      </c>
      <c r="I12" s="192"/>
      <c r="J12" s="191">
        <f>18640+3500</f>
        <v>22140</v>
      </c>
      <c r="K12" s="192"/>
      <c r="L12" s="191">
        <f>182350</f>
        <v>182350</v>
      </c>
      <c r="M12" s="56">
        <f t="shared" ref="M12:M37" si="2">SUM(C12:L12)</f>
        <v>3673490</v>
      </c>
      <c r="N12" s="205">
        <v>3603990</v>
      </c>
      <c r="O12" s="53">
        <f>N12-M12</f>
        <v>-69500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45998</v>
      </c>
      <c r="C13" s="192"/>
      <c r="D13" s="191"/>
      <c r="E13" s="192"/>
      <c r="F13" s="191"/>
      <c r="G13" s="192">
        <f>650000+241000</f>
        <v>891000</v>
      </c>
      <c r="H13" s="191">
        <f>640000+434500+500000+57000+14500</f>
        <v>1646000</v>
      </c>
      <c r="I13" s="192"/>
      <c r="J13" s="191">
        <f>7000</f>
        <v>7000</v>
      </c>
      <c r="K13" s="192"/>
      <c r="L13" s="191"/>
      <c r="M13" s="56">
        <f t="shared" si="2"/>
        <v>2544000</v>
      </c>
      <c r="N13" s="205">
        <v>2529500</v>
      </c>
      <c r="O13" s="53">
        <f>N13-M13</f>
        <v>-14500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45999</v>
      </c>
      <c r="C14" s="192">
        <f>10000</f>
        <v>10000</v>
      </c>
      <c r="D14" s="191">
        <f>20000</f>
        <v>20000</v>
      </c>
      <c r="E14" s="192"/>
      <c r="F14" s="191"/>
      <c r="G14" s="192">
        <f>12000+390000+5000</f>
        <v>407000</v>
      </c>
      <c r="H14" s="191">
        <f>14000+200000+555000+1500+600000+16500</f>
        <v>1387000</v>
      </c>
      <c r="I14" s="192"/>
      <c r="J14" s="191">
        <f>17000+12000</f>
        <v>29000</v>
      </c>
      <c r="K14" s="192"/>
      <c r="L14" s="191">
        <f>9500+48380</f>
        <v>57880</v>
      </c>
      <c r="M14" s="56">
        <f t="shared" si="2"/>
        <v>1910880</v>
      </c>
      <c r="N14" s="205">
        <v>1894380</v>
      </c>
      <c r="O14" s="53">
        <f>N14-M14</f>
        <v>-16500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46000</v>
      </c>
      <c r="C15" s="192">
        <f>500000</f>
        <v>500000</v>
      </c>
      <c r="D15" s="200">
        <f>500000</f>
        <v>500000</v>
      </c>
      <c r="E15" s="192"/>
      <c r="F15" s="191">
        <f>5000</f>
        <v>5000</v>
      </c>
      <c r="G15" s="192">
        <f>807000+2000+380000</f>
        <v>1189000</v>
      </c>
      <c r="H15" s="191">
        <f>542000+110000+75000+430000+60000</f>
        <v>1217000</v>
      </c>
      <c r="I15" s="192"/>
      <c r="J15" s="191">
        <f>4200</f>
        <v>4200</v>
      </c>
      <c r="K15" s="192"/>
      <c r="L15" s="191">
        <f>24100</f>
        <v>24100</v>
      </c>
      <c r="M15" s="56">
        <f t="shared" si="2"/>
        <v>3439300</v>
      </c>
      <c r="N15" s="205">
        <v>3379300</v>
      </c>
      <c r="O15" s="53">
        <f t="shared" si="1"/>
        <v>-60000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46001</v>
      </c>
      <c r="C16" s="197"/>
      <c r="D16" s="191">
        <f>920000</f>
        <v>920000</v>
      </c>
      <c r="E16" s="192">
        <f>435000</f>
        <v>435000</v>
      </c>
      <c r="F16" s="191">
        <f>35000</f>
        <v>35000</v>
      </c>
      <c r="G16" s="197">
        <f>990000+15000</f>
        <v>1005000</v>
      </c>
      <c r="H16" s="191">
        <f>29000+350000+3000+185000</f>
        <v>567000</v>
      </c>
      <c r="I16" s="195"/>
      <c r="J16" s="191">
        <f>3800+22350+4900</f>
        <v>31050</v>
      </c>
      <c r="K16" s="195"/>
      <c r="L16" s="191">
        <f>21160</f>
        <v>21160</v>
      </c>
      <c r="M16" s="56">
        <f t="shared" si="2"/>
        <v>3014210</v>
      </c>
      <c r="N16" s="205">
        <v>3014210</v>
      </c>
      <c r="O16" s="53">
        <f t="shared" si="1"/>
        <v>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46002</v>
      </c>
      <c r="C17" s="216"/>
      <c r="D17" s="217">
        <f>900000+1464000</f>
        <v>2364000</v>
      </c>
      <c r="E17" s="218"/>
      <c r="F17" s="219">
        <f>25000</f>
        <v>25000</v>
      </c>
      <c r="G17" s="216">
        <f>540000+540000+467000+450000</f>
        <v>1997000</v>
      </c>
      <c r="H17" s="219">
        <f>550000+50000+1115000+600000-790000+10000</f>
        <v>1535000</v>
      </c>
      <c r="I17" s="216"/>
      <c r="J17" s="219">
        <f>8500</f>
        <v>8500</v>
      </c>
      <c r="K17" s="216"/>
      <c r="L17" s="219">
        <f>85001+154450+23375</f>
        <v>262826</v>
      </c>
      <c r="M17" s="176">
        <f t="shared" si="2"/>
        <v>6192326</v>
      </c>
      <c r="N17" s="205">
        <v>6182326</v>
      </c>
      <c r="O17" s="178">
        <f>N17-M17</f>
        <v>-10000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46003</v>
      </c>
      <c r="C18" s="195"/>
      <c r="D18" s="191"/>
      <c r="E18" s="192">
        <f>405000</f>
        <v>405000</v>
      </c>
      <c r="F18" s="191">
        <f>570000</f>
        <v>570000</v>
      </c>
      <c r="G18" s="195">
        <f>7000+200000+1090000+1740000</f>
        <v>3037000</v>
      </c>
      <c r="H18" s="191">
        <f>380000+21000+10000+1500+2000+420000+16000</f>
        <v>850500</v>
      </c>
      <c r="I18" s="195"/>
      <c r="J18" s="191">
        <f>26570</f>
        <v>26570</v>
      </c>
      <c r="K18" s="195"/>
      <c r="L18" s="191">
        <f>94300</f>
        <v>94300</v>
      </c>
      <c r="M18" s="176">
        <f t="shared" si="2"/>
        <v>4983370</v>
      </c>
      <c r="N18" s="205">
        <v>4967370.4000000004</v>
      </c>
      <c r="O18" s="178">
        <f t="shared" si="1"/>
        <v>-15999.599999999627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46004</v>
      </c>
      <c r="C19" s="192"/>
      <c r="D19" s="191"/>
      <c r="E19" s="192"/>
      <c r="F19" s="191"/>
      <c r="G19" s="192">
        <f>1000000+610000+560000</f>
        <v>2170000</v>
      </c>
      <c r="H19" s="191">
        <f>590000+500+20000+3000</f>
        <v>613500</v>
      </c>
      <c r="I19" s="192"/>
      <c r="J19" s="191"/>
      <c r="K19" s="192">
        <f>66000</f>
        <v>66000</v>
      </c>
      <c r="L19" s="191">
        <f>22000</f>
        <v>22000</v>
      </c>
      <c r="M19" s="56">
        <f>SUM(C19:L19)</f>
        <v>2871500</v>
      </c>
      <c r="N19" s="205">
        <v>2868500</v>
      </c>
      <c r="O19" s="178">
        <f t="shared" si="1"/>
        <v>-3000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46005</v>
      </c>
      <c r="C20" s="192"/>
      <c r="D20" s="188"/>
      <c r="E20" s="192"/>
      <c r="F20" s="191"/>
      <c r="G20" s="192">
        <f>900000+10000</f>
        <v>910000</v>
      </c>
      <c r="H20" s="191">
        <f>400000+78000+545000+850000+540000+38500</f>
        <v>2451500</v>
      </c>
      <c r="I20" s="192"/>
      <c r="J20" s="191"/>
      <c r="K20" s="192"/>
      <c r="L20" s="191">
        <f>27500</f>
        <v>27500</v>
      </c>
      <c r="M20" s="56">
        <f>SUM(C20:L20)</f>
        <v>3389000</v>
      </c>
      <c r="N20" s="205">
        <v>3350500</v>
      </c>
      <c r="O20" s="178">
        <f t="shared" si="1"/>
        <v>-38500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46006</v>
      </c>
      <c r="C21" s="192">
        <f>10000</f>
        <v>10000</v>
      </c>
      <c r="D21" s="191">
        <f>10000</f>
        <v>10000</v>
      </c>
      <c r="E21" s="192"/>
      <c r="F21" s="169"/>
      <c r="G21" s="192">
        <f>555000+3000+310000</f>
        <v>868000</v>
      </c>
      <c r="H21" s="191">
        <f>750000+400000+75000+555000+3000+9000+280000+49000</f>
        <v>2121000</v>
      </c>
      <c r="I21" s="192">
        <f>16300</f>
        <v>16300</v>
      </c>
      <c r="J21" s="191">
        <f>15000</f>
        <v>15000</v>
      </c>
      <c r="K21" s="192"/>
      <c r="L21" s="191">
        <f>6000+61660+8000</f>
        <v>75660</v>
      </c>
      <c r="M21" s="56">
        <f t="shared" si="2"/>
        <v>3115960</v>
      </c>
      <c r="N21" s="205">
        <v>3066960</v>
      </c>
      <c r="O21" s="181">
        <f t="shared" si="1"/>
        <v>-49000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46007</v>
      </c>
      <c r="C22" s="192"/>
      <c r="D22" s="200"/>
      <c r="E22" s="192"/>
      <c r="F22" s="191"/>
      <c r="G22" s="192">
        <f>470000+675000+250000</f>
        <v>1395000</v>
      </c>
      <c r="H22" s="191">
        <f>1100000+600000+5000+45000</f>
        <v>1750000</v>
      </c>
      <c r="I22" s="192"/>
      <c r="J22" s="191">
        <f>18400+9800</f>
        <v>28200</v>
      </c>
      <c r="K22" s="189">
        <f>16000</f>
        <v>16000</v>
      </c>
      <c r="L22" s="190">
        <f>68500</f>
        <v>68500</v>
      </c>
      <c r="M22" s="56">
        <f t="shared" si="2"/>
        <v>3257700</v>
      </c>
      <c r="N22" s="205">
        <v>3212700</v>
      </c>
      <c r="O22" s="178">
        <f t="shared" si="1"/>
        <v>-45000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46008</v>
      </c>
      <c r="C23" s="192"/>
      <c r="D23" s="191">
        <f>10000</f>
        <v>10000</v>
      </c>
      <c r="E23" s="192"/>
      <c r="F23" s="191"/>
      <c r="G23" s="192">
        <f>120000+290000</f>
        <v>410000</v>
      </c>
      <c r="H23" s="191">
        <f>525000+30000+800000+230000+450000+200000+730000+23000</f>
        <v>2988000</v>
      </c>
      <c r="I23" s="192">
        <f>3500+6500</f>
        <v>10000</v>
      </c>
      <c r="J23" s="191">
        <f>25300</f>
        <v>25300</v>
      </c>
      <c r="K23" s="192">
        <f>4930+7000</f>
        <v>11930</v>
      </c>
      <c r="L23" s="191">
        <f>9000+43500+21000</f>
        <v>73500</v>
      </c>
      <c r="M23" s="56">
        <f t="shared" si="2"/>
        <v>3528730</v>
      </c>
      <c r="N23" s="205">
        <v>3505730</v>
      </c>
      <c r="O23" s="181">
        <f t="shared" si="1"/>
        <v>-23000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46009</v>
      </c>
      <c r="C24" s="195"/>
      <c r="D24" s="191"/>
      <c r="E24" s="192"/>
      <c r="F24" s="191"/>
      <c r="G24" s="195">
        <f>740000+3000+550000</f>
        <v>1293000</v>
      </c>
      <c r="H24" s="191">
        <f>150000+3000+6000</f>
        <v>159000</v>
      </c>
      <c r="I24" s="195"/>
      <c r="J24" s="191">
        <f>8400+645</f>
        <v>9045</v>
      </c>
      <c r="K24" s="195"/>
      <c r="L24" s="191">
        <f>154450</f>
        <v>154450</v>
      </c>
      <c r="M24" s="56">
        <f t="shared" si="2"/>
        <v>1615495</v>
      </c>
      <c r="N24" s="205">
        <v>1615494.8</v>
      </c>
      <c r="O24" s="181">
        <f t="shared" si="1"/>
        <v>-0.19999999995343387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46010</v>
      </c>
      <c r="C25" s="192"/>
      <c r="D25" s="191"/>
      <c r="E25" s="192"/>
      <c r="F25" s="191"/>
      <c r="G25" s="192">
        <f>75000+7000+3500</f>
        <v>85500</v>
      </c>
      <c r="H25" s="191">
        <f>3500+200000+400000+436500+1000000+185000+21000+35000+33500</f>
        <v>2314500</v>
      </c>
      <c r="I25" s="192"/>
      <c r="J25" s="191">
        <f>3500+6500+6500+3500</f>
        <v>20000</v>
      </c>
      <c r="K25" s="192"/>
      <c r="L25" s="191">
        <f>3500+203050+219180+13000</f>
        <v>438730</v>
      </c>
      <c r="M25" s="56">
        <f t="shared" si="2"/>
        <v>2858730</v>
      </c>
      <c r="N25" s="205">
        <v>2825230.4</v>
      </c>
      <c r="O25" s="181">
        <f t="shared" si="1"/>
        <v>-33499.600000000093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46011</v>
      </c>
      <c r="C26" s="192"/>
      <c r="D26" s="191"/>
      <c r="E26" s="192"/>
      <c r="F26" s="191"/>
      <c r="G26" s="192">
        <f>290000+410000</f>
        <v>700000</v>
      </c>
      <c r="H26" s="191">
        <f>14000+1000000+640000+210000+450000+1100000+3000</f>
        <v>3417000</v>
      </c>
      <c r="I26" s="192"/>
      <c r="J26" s="191">
        <f>6000+3500</f>
        <v>9500</v>
      </c>
      <c r="K26" s="192">
        <f>17500</f>
        <v>17500</v>
      </c>
      <c r="L26" s="191">
        <f>105500</f>
        <v>105500</v>
      </c>
      <c r="M26" s="56">
        <f>SUM(C26:L26)</f>
        <v>4249500</v>
      </c>
      <c r="N26" s="205">
        <v>4246500</v>
      </c>
      <c r="O26" s="178">
        <f t="shared" si="1"/>
        <v>-3000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46012</v>
      </c>
      <c r="C27" s="192"/>
      <c r="D27" s="191"/>
      <c r="E27" s="192"/>
      <c r="F27" s="191"/>
      <c r="G27" s="192">
        <f>640000+450000+620000+190000+500000</f>
        <v>2400000</v>
      </c>
      <c r="H27" s="191">
        <f>3000+380000+1400000+22000</f>
        <v>1805000</v>
      </c>
      <c r="I27" s="192"/>
      <c r="J27" s="198"/>
      <c r="K27" s="192">
        <f>52000</f>
        <v>52000</v>
      </c>
      <c r="L27" s="191">
        <f>5000+57500</f>
        <v>62500</v>
      </c>
      <c r="M27" s="56">
        <f>SUM(C27:L27)</f>
        <v>4319500</v>
      </c>
      <c r="N27" s="205">
        <v>4297500</v>
      </c>
      <c r="O27" s="178">
        <f t="shared" si="1"/>
        <v>-22000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46013</v>
      </c>
      <c r="C28" s="192"/>
      <c r="D28" s="191"/>
      <c r="E28" s="192"/>
      <c r="F28" s="191"/>
      <c r="G28" s="192">
        <f>540000+7000</f>
        <v>547000</v>
      </c>
      <c r="H28" s="191">
        <f>1195000+470000+3000+48500</f>
        <v>1716500</v>
      </c>
      <c r="I28" s="192"/>
      <c r="J28" s="191">
        <f>14000+24310</f>
        <v>38310</v>
      </c>
      <c r="K28" s="192"/>
      <c r="L28" s="191">
        <f>10500</f>
        <v>10500</v>
      </c>
      <c r="M28" s="56">
        <f>SUM(C28:L28)</f>
        <v>2312310</v>
      </c>
      <c r="N28" s="205">
        <v>2263810</v>
      </c>
      <c r="O28" s="178">
        <f t="shared" si="1"/>
        <v>-48500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46014</v>
      </c>
      <c r="C29" s="192"/>
      <c r="D29" s="191"/>
      <c r="E29" s="192"/>
      <c r="F29" s="191"/>
      <c r="G29" s="192">
        <f>600000+550000</f>
        <v>1150000</v>
      </c>
      <c r="H29" s="191">
        <f>540000+325000+430000+930000-430000+32000</f>
        <v>1827000</v>
      </c>
      <c r="I29" s="192"/>
      <c r="J29" s="191">
        <f>66000+4030</f>
        <v>70030</v>
      </c>
      <c r="K29" s="192"/>
      <c r="L29" s="191">
        <f>81000</f>
        <v>81000</v>
      </c>
      <c r="M29" s="56">
        <f t="shared" si="2"/>
        <v>3128030</v>
      </c>
      <c r="N29" s="205">
        <v>3096030</v>
      </c>
      <c r="O29" s="178">
        <f t="shared" si="1"/>
        <v>-32000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46015</v>
      </c>
      <c r="C30" s="199"/>
      <c r="D30" s="202"/>
      <c r="E30" s="192"/>
      <c r="F30" s="191"/>
      <c r="G30" s="192"/>
      <c r="H30" s="191">
        <v>16500</v>
      </c>
      <c r="I30" s="192"/>
      <c r="J30" s="191">
        <f>6500+10000</f>
        <v>16500</v>
      </c>
      <c r="K30" s="199">
        <f>95000</f>
        <v>95000</v>
      </c>
      <c r="L30" s="198">
        <f>35440+13000</f>
        <v>48440</v>
      </c>
      <c r="M30" s="56">
        <f t="shared" si="2"/>
        <v>176440</v>
      </c>
      <c r="N30" s="205">
        <v>159940</v>
      </c>
      <c r="O30" s="178">
        <f t="shared" si="1"/>
        <v>-16500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46016</v>
      </c>
      <c r="C31" s="187"/>
      <c r="D31" s="190"/>
      <c r="E31" s="189"/>
      <c r="F31" s="190"/>
      <c r="G31" s="187">
        <f>500000+2000+5000+1315000</f>
        <v>1822000</v>
      </c>
      <c r="H31" s="190">
        <f>350000+85000+930000+350000+10000+350000-350000+10000</f>
        <v>1735000</v>
      </c>
      <c r="I31" s="189"/>
      <c r="J31" s="190"/>
      <c r="K31" s="189">
        <f>3500+115500+18800</f>
        <v>137800</v>
      </c>
      <c r="L31" s="190">
        <f>3500+16370+27300</f>
        <v>47170</v>
      </c>
      <c r="M31" s="56">
        <f t="shared" si="2"/>
        <v>3741970</v>
      </c>
      <c r="N31" s="205">
        <v>3731970</v>
      </c>
      <c r="O31" s="178">
        <f t="shared" si="1"/>
        <v>-10000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46017</v>
      </c>
      <c r="C32" s="192"/>
      <c r="D32" s="191"/>
      <c r="E32" s="192"/>
      <c r="F32" s="191"/>
      <c r="G32" s="192">
        <f>1000000+3000+585000</f>
        <v>1588000</v>
      </c>
      <c r="H32" s="191">
        <f>600000+470000+15000</f>
        <v>1085000</v>
      </c>
      <c r="I32" s="199">
        <f>1300</f>
        <v>1300</v>
      </c>
      <c r="J32" s="191">
        <f>14000+4900+7000</f>
        <v>25900</v>
      </c>
      <c r="K32" s="192">
        <f>9470+75500</f>
        <v>84970</v>
      </c>
      <c r="L32" s="191">
        <f>5000+12000</f>
        <v>17000</v>
      </c>
      <c r="M32" s="56">
        <f t="shared" si="2"/>
        <v>2802170</v>
      </c>
      <c r="N32" s="205">
        <v>2787170</v>
      </c>
      <c r="O32" s="178">
        <f t="shared" si="1"/>
        <v>-15000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46018</v>
      </c>
      <c r="C33" s="192"/>
      <c r="D33" s="191"/>
      <c r="E33" s="192"/>
      <c r="F33" s="191"/>
      <c r="G33" s="192">
        <f>440000+700000</f>
        <v>1140000</v>
      </c>
      <c r="H33" s="191">
        <f>110000+170000+15000</f>
        <v>295000</v>
      </c>
      <c r="I33" s="192">
        <f>3500</f>
        <v>3500</v>
      </c>
      <c r="J33" s="191">
        <f>19500+3500+6500</f>
        <v>29500</v>
      </c>
      <c r="K33" s="192">
        <f>27500</f>
        <v>27500</v>
      </c>
      <c r="L33" s="191">
        <f>30000+69500+199100</f>
        <v>298600</v>
      </c>
      <c r="M33" s="56">
        <f t="shared" si="2"/>
        <v>1794100</v>
      </c>
      <c r="N33" s="205">
        <v>1779100</v>
      </c>
      <c r="O33" s="178">
        <f t="shared" si="1"/>
        <v>-15000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46019</v>
      </c>
      <c r="C34" s="192"/>
      <c r="D34" s="200"/>
      <c r="E34" s="192"/>
      <c r="F34" s="191"/>
      <c r="G34" s="199"/>
      <c r="H34" s="198">
        <f>1500+8000</f>
        <v>9500</v>
      </c>
      <c r="I34" s="199">
        <f>4500</f>
        <v>4500</v>
      </c>
      <c r="J34" s="198">
        <f>28922+1.5</f>
        <v>28923.5</v>
      </c>
      <c r="K34" s="199"/>
      <c r="L34" s="198">
        <f>66600+23500</f>
        <v>90100</v>
      </c>
      <c r="M34" s="56">
        <f t="shared" si="2"/>
        <v>133023.5</v>
      </c>
      <c r="N34" s="205">
        <v>125022</v>
      </c>
      <c r="O34" s="178">
        <f t="shared" si="1"/>
        <v>-8001.5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46020</v>
      </c>
      <c r="C35" s="192"/>
      <c r="D35" s="200"/>
      <c r="E35" s="192"/>
      <c r="F35" s="191"/>
      <c r="G35" s="192">
        <f>3000</f>
        <v>3000</v>
      </c>
      <c r="H35" s="191">
        <f>2000+18200+7000+7500</f>
        <v>34700</v>
      </c>
      <c r="I35" s="192"/>
      <c r="J35" s="191">
        <f>1000+10579.52</f>
        <v>11579.52</v>
      </c>
      <c r="K35" s="192"/>
      <c r="L35" s="191">
        <f>3500</f>
        <v>3500</v>
      </c>
      <c r="M35" s="56">
        <f t="shared" si="2"/>
        <v>52779.520000000004</v>
      </c>
      <c r="N35" s="205">
        <v>45280</v>
      </c>
      <c r="O35" s="223">
        <f t="shared" si="1"/>
        <v>-7499.5200000000041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46021</v>
      </c>
      <c r="C36" s="192"/>
      <c r="D36" s="200"/>
      <c r="E36" s="192"/>
      <c r="F36" s="191"/>
      <c r="G36" s="192">
        <f>4000</f>
        <v>4000</v>
      </c>
      <c r="H36" s="191">
        <f>2000+11500</f>
        <v>13500</v>
      </c>
      <c r="I36" s="192"/>
      <c r="J36" s="191">
        <f>24860.32</f>
        <v>24860.32</v>
      </c>
      <c r="K36" s="192"/>
      <c r="L36" s="191">
        <f>10500</f>
        <v>10500</v>
      </c>
      <c r="M36" s="56">
        <f t="shared" si="2"/>
        <v>52860.32</v>
      </c>
      <c r="N36" s="205">
        <f>41360</f>
        <v>41360</v>
      </c>
      <c r="O36" s="223">
        <f t="shared" si="1"/>
        <v>-11500.32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>
        <v>20000</v>
      </c>
      <c r="I37" s="192"/>
      <c r="J37" s="191"/>
      <c r="K37" s="192"/>
      <c r="L37" s="191"/>
      <c r="M37" s="56">
        <f t="shared" si="2"/>
        <v>20000</v>
      </c>
      <c r="N37" s="205">
        <v>0</v>
      </c>
      <c r="O37" s="223">
        <f t="shared" si="1"/>
        <v>-20000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523500</v>
      </c>
      <c r="D39" s="25">
        <f>SUM(D7:D38)</f>
        <v>5034000</v>
      </c>
      <c r="E39" s="24">
        <f t="shared" ref="E39:K39" si="3">SUM(E7:E38)</f>
        <v>3120000</v>
      </c>
      <c r="F39" s="59">
        <f t="shared" si="3"/>
        <v>1413500</v>
      </c>
      <c r="G39" s="24">
        <f t="shared" si="3"/>
        <v>30434500</v>
      </c>
      <c r="H39" s="25">
        <f>SUM(H7:H38)</f>
        <v>40491700</v>
      </c>
      <c r="I39" s="24">
        <f t="shared" si="3"/>
        <v>111800</v>
      </c>
      <c r="J39" s="25">
        <f>SUM(J7:J38)</f>
        <v>584608.34</v>
      </c>
      <c r="K39" s="24">
        <f t="shared" si="3"/>
        <v>528300</v>
      </c>
      <c r="L39" s="25">
        <f>SUM(L7:L38)</f>
        <v>2828186</v>
      </c>
      <c r="M39" s="28">
        <f>SUM(M7:M38)</f>
        <v>85070094.339999989</v>
      </c>
      <c r="N39" s="27">
        <f>SUM(N7:N38)</f>
        <v>84415593.599999994</v>
      </c>
      <c r="O39" s="26">
        <f>N39-M39</f>
        <v>-654500.73999999464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5557500</v>
      </c>
      <c r="D40" s="282"/>
      <c r="E40" s="267">
        <f>SUM(E39:F39)</f>
        <v>4533500</v>
      </c>
      <c r="F40" s="269"/>
      <c r="G40" s="281">
        <f>SUM(G39:H39)</f>
        <v>70926200</v>
      </c>
      <c r="H40" s="282"/>
      <c r="I40" s="267">
        <f>SUM(I39:J39)</f>
        <v>696408.34</v>
      </c>
      <c r="J40" s="268"/>
      <c r="K40" s="281">
        <f>SUM(K39:L39)</f>
        <v>3356486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45991</v>
      </c>
      <c r="C45" s="203">
        <v>0</v>
      </c>
      <c r="D45" s="14"/>
      <c r="E45" s="203">
        <v>0</v>
      </c>
      <c r="F45" s="14"/>
      <c r="G45" s="203"/>
      <c r="H45" s="14">
        <v>970500</v>
      </c>
      <c r="I45" s="203"/>
      <c r="J45" s="14">
        <v>15865</v>
      </c>
      <c r="K45" s="134"/>
      <c r="L45" s="14">
        <v>17000</v>
      </c>
      <c r="M45" s="203">
        <v>0</v>
      </c>
      <c r="N45" s="203">
        <f>F45+H45+J45+L45</f>
        <v>1003365</v>
      </c>
      <c r="O45" s="203">
        <f>N45-M45</f>
        <v>1003365</v>
      </c>
      <c r="P45" s="85">
        <v>45992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46022</v>
      </c>
      <c r="C48" s="203">
        <v>0</v>
      </c>
      <c r="D48" s="14"/>
      <c r="E48" s="203">
        <v>0</v>
      </c>
      <c r="F48" s="14"/>
      <c r="G48" s="203">
        <v>0</v>
      </c>
      <c r="H48" s="14">
        <v>0</v>
      </c>
      <c r="I48" s="203">
        <v>0</v>
      </c>
      <c r="J48" s="14">
        <v>0</v>
      </c>
      <c r="K48" s="134">
        <v>0</v>
      </c>
      <c r="L48" s="14">
        <v>0</v>
      </c>
      <c r="M48" s="203"/>
      <c r="N48" s="203">
        <f>F48+H48+J48+L48+D48</f>
        <v>0</v>
      </c>
      <c r="O48" s="203">
        <f>N48-M48</f>
        <v>0</v>
      </c>
      <c r="P48" s="151">
        <v>46023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0</v>
      </c>
      <c r="F50" s="263"/>
      <c r="G50" s="262">
        <f>H45+H46-H47-H48</f>
        <v>970500</v>
      </c>
      <c r="H50" s="263"/>
      <c r="I50" s="262">
        <f>J45+J46-J47-J48</f>
        <v>15865</v>
      </c>
      <c r="J50" s="263"/>
      <c r="K50" s="262">
        <f>L45+L46-L47-L48</f>
        <v>17000</v>
      </c>
      <c r="L50" s="263"/>
    </row>
    <row r="51" spans="2:28" x14ac:dyDescent="0.25">
      <c r="B51" s="294" t="s">
        <v>12</v>
      </c>
      <c r="C51" s="295"/>
      <c r="D51" s="212">
        <f>D39+D50</f>
        <v>5034000</v>
      </c>
      <c r="E51" s="289">
        <f>F39+E50</f>
        <v>1413500</v>
      </c>
      <c r="F51" s="290"/>
      <c r="G51" s="289">
        <f>H39+G50</f>
        <v>41462200</v>
      </c>
      <c r="H51" s="290"/>
      <c r="I51" s="291">
        <f>J39+I50</f>
        <v>600473.34</v>
      </c>
      <c r="J51" s="292"/>
      <c r="K51" s="289">
        <f>L39+K50</f>
        <v>2845186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51355359.340000004</v>
      </c>
      <c r="E52" s="293"/>
      <c r="F52" s="293"/>
      <c r="G52" s="293"/>
      <c r="H52" s="293"/>
      <c r="I52" s="227"/>
      <c r="J52" s="227"/>
      <c r="K52" s="227"/>
      <c r="L52" s="227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30727.401179999997</v>
      </c>
      <c r="P54" s="87"/>
      <c r="S54">
        <v>9.8000000000000007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34718100</v>
      </c>
      <c r="D55" s="149">
        <f>D39+H39+F39+J39+L39</f>
        <v>50351994.340000004</v>
      </c>
      <c r="E55" s="58"/>
      <c r="F55" s="58"/>
      <c r="M55" s="63" t="s">
        <v>25</v>
      </c>
      <c r="N55" s="64">
        <f>N59*S55/100</f>
        <v>8779.2574799999984</v>
      </c>
      <c r="P55" s="88"/>
      <c r="S55">
        <v>2.8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85070094.340000004</v>
      </c>
      <c r="D56" s="285"/>
      <c r="E56" s="57"/>
      <c r="F56" s="57"/>
      <c r="M56" s="63" t="s">
        <v>28</v>
      </c>
      <c r="N56" s="64">
        <f>N59*S56/100</f>
        <v>253030.74236999999</v>
      </c>
      <c r="R56" s="87"/>
      <c r="S56">
        <v>80.7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3637.1209559999993</v>
      </c>
      <c r="S57">
        <v>1.1599999999999999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17370.388013999996</v>
      </c>
      <c r="S58">
        <v>5.54</v>
      </c>
      <c r="Y58" s="4"/>
      <c r="AA58" s="78"/>
      <c r="AB58" s="68"/>
    </row>
    <row r="59" spans="2:28" x14ac:dyDescent="0.25">
      <c r="J59" t="s">
        <v>3</v>
      </c>
      <c r="N59" s="64">
        <v>313544.90999999997</v>
      </c>
      <c r="O59" s="211"/>
      <c r="S59" s="68">
        <f>SUM(S53:S58)</f>
        <v>100.00000000000001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86073459.340000004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3DD-1CDE-4C43-AC41-C941E0C10B5B}">
  <sheetPr>
    <pageSetUpPr fitToPage="1"/>
  </sheetPr>
  <dimension ref="A1:AB72"/>
  <sheetViews>
    <sheetView topLeftCell="A13" workbookViewId="0">
      <selection activeCell="F36" sqref="F36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145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46023</v>
      </c>
      <c r="C7" s="192"/>
      <c r="D7" s="191"/>
      <c r="E7" s="192"/>
      <c r="F7" s="191"/>
      <c r="G7" s="193"/>
      <c r="H7" s="194"/>
      <c r="I7" s="193"/>
      <c r="J7" s="194"/>
      <c r="K7" s="193"/>
      <c r="L7" s="194"/>
      <c r="M7" s="56">
        <f>SUM(C7:L7)</f>
        <v>0</v>
      </c>
      <c r="N7" s="205">
        <v>0</v>
      </c>
      <c r="O7" s="53">
        <f>N7-M7</f>
        <v>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f t="shared" ref="B8:B35" si="0">B7+1</f>
        <v>46024</v>
      </c>
      <c r="C8" s="195"/>
      <c r="D8" s="191"/>
      <c r="E8" s="192"/>
      <c r="F8" s="191"/>
      <c r="G8" s="195"/>
      <c r="H8" s="191"/>
      <c r="I8" s="195"/>
      <c r="J8" s="191"/>
      <c r="K8" s="195"/>
      <c r="L8" s="191"/>
      <c r="M8" s="56">
        <f>SUM(C8:L8)</f>
        <v>0</v>
      </c>
      <c r="N8" s="205">
        <v>0</v>
      </c>
      <c r="O8" s="53">
        <f t="shared" ref="O8:O37" si="1">N8-M8</f>
        <v>0</v>
      </c>
      <c r="Z8" s="78"/>
      <c r="AB8" s="68"/>
    </row>
    <row r="9" spans="2:28" x14ac:dyDescent="0.25">
      <c r="B9" s="15">
        <f t="shared" si="0"/>
        <v>46025</v>
      </c>
      <c r="C9" s="192"/>
      <c r="D9" s="196"/>
      <c r="E9" s="192"/>
      <c r="F9" s="191"/>
      <c r="G9" s="192">
        <f>510000</f>
        <v>510000</v>
      </c>
      <c r="H9" s="191">
        <f>1107500+1095500+413000+490000+1020000+930000+11500</f>
        <v>5067500</v>
      </c>
      <c r="I9" s="192"/>
      <c r="J9" s="191">
        <f>27000+3500</f>
        <v>30500</v>
      </c>
      <c r="K9" s="192"/>
      <c r="L9" s="191">
        <f>3500</f>
        <v>3500</v>
      </c>
      <c r="M9" s="56">
        <f>SUM(C9:L9)</f>
        <v>5611500</v>
      </c>
      <c r="N9" s="205">
        <v>5600000</v>
      </c>
      <c r="O9" s="53">
        <f t="shared" si="1"/>
        <v>-11500</v>
      </c>
      <c r="P9" s="101"/>
      <c r="Z9" s="78"/>
      <c r="AB9" s="68"/>
    </row>
    <row r="10" spans="2:28" x14ac:dyDescent="0.25">
      <c r="B10" s="15">
        <f t="shared" si="0"/>
        <v>46026</v>
      </c>
      <c r="C10" s="192"/>
      <c r="D10" s="196"/>
      <c r="E10" s="192">
        <f>700000</f>
        <v>700000</v>
      </c>
      <c r="F10" s="191">
        <v>1210000</v>
      </c>
      <c r="G10" s="192"/>
      <c r="H10" s="191">
        <f>1080000+25000</f>
        <v>1105000</v>
      </c>
      <c r="I10" s="192"/>
      <c r="J10" s="191">
        <f>3500</f>
        <v>3500</v>
      </c>
      <c r="K10" s="192"/>
      <c r="L10" s="191">
        <f>60150</f>
        <v>60150</v>
      </c>
      <c r="M10" s="56">
        <f>SUM(C10:L10)</f>
        <v>3078650</v>
      </c>
      <c r="N10" s="205">
        <v>3053650</v>
      </c>
      <c r="O10" s="53">
        <f>N10-M10</f>
        <v>-25000</v>
      </c>
      <c r="P10" s="101"/>
      <c r="Z10" s="78"/>
      <c r="AB10" s="68"/>
    </row>
    <row r="11" spans="2:28" x14ac:dyDescent="0.25">
      <c r="B11" s="15">
        <f t="shared" si="0"/>
        <v>46027</v>
      </c>
      <c r="C11" s="195"/>
      <c r="D11" s="191">
        <f>860000</f>
        <v>860000</v>
      </c>
      <c r="E11" s="192">
        <f>85000</f>
        <v>85000</v>
      </c>
      <c r="F11" s="191">
        <f>835000+1330000</f>
        <v>2165000</v>
      </c>
      <c r="G11" s="195">
        <f>385000+215000</f>
        <v>600000</v>
      </c>
      <c r="H11" s="195">
        <f>5000+495000+1500+790000+18100+10200+4900+18500</f>
        <v>1343200</v>
      </c>
      <c r="I11" s="195"/>
      <c r="J11" s="191">
        <f>7000</f>
        <v>7000</v>
      </c>
      <c r="K11" s="195"/>
      <c r="L11" s="191"/>
      <c r="M11" s="56">
        <f>SUM(C11:L11)</f>
        <v>5060200</v>
      </c>
      <c r="N11" s="205">
        <v>5041700</v>
      </c>
      <c r="O11" s="53">
        <f>N11-M11</f>
        <v>-18500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f t="shared" si="0"/>
        <v>46028</v>
      </c>
      <c r="C12" s="192">
        <f>200000</f>
        <v>200000</v>
      </c>
      <c r="D12" s="191">
        <f>1200000</f>
        <v>1200000</v>
      </c>
      <c r="E12" s="192">
        <f>230000</f>
        <v>230000</v>
      </c>
      <c r="F12" s="191">
        <f>3500</f>
        <v>3500</v>
      </c>
      <c r="G12" s="192">
        <f>545000</f>
        <v>545000</v>
      </c>
      <c r="H12" s="191">
        <f>75000+710000+130000+495000+413500+33500</f>
        <v>1857000</v>
      </c>
      <c r="I12" s="192">
        <f>3500</f>
        <v>3500</v>
      </c>
      <c r="J12" s="191">
        <f>3500+30000+3500+2000+25000</f>
        <v>64000</v>
      </c>
      <c r="K12" s="192">
        <f>39500</f>
        <v>39500</v>
      </c>
      <c r="L12" s="191">
        <f>20500</f>
        <v>20500</v>
      </c>
      <c r="M12" s="56">
        <f t="shared" ref="M12:M37" si="2">SUM(C12:L12)</f>
        <v>4163000</v>
      </c>
      <c r="N12" s="205">
        <v>4129500</v>
      </c>
      <c r="O12" s="53">
        <f>N12-M12</f>
        <v>-33500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f t="shared" si="0"/>
        <v>46029</v>
      </c>
      <c r="C13" s="192"/>
      <c r="D13" s="191"/>
      <c r="E13" s="192"/>
      <c r="F13" s="191"/>
      <c r="G13" s="192">
        <f>600000+350000</f>
        <v>950000</v>
      </c>
      <c r="H13" s="191">
        <f>275000+110000+260000+28500</f>
        <v>673500</v>
      </c>
      <c r="I13" s="192"/>
      <c r="J13" s="191">
        <f>6500+3500+3500+6500</f>
        <v>20000</v>
      </c>
      <c r="K13" s="192">
        <f>3226</f>
        <v>3226</v>
      </c>
      <c r="L13" s="191">
        <f>13000+13000</f>
        <v>26000</v>
      </c>
      <c r="M13" s="56">
        <f t="shared" si="2"/>
        <v>1672726</v>
      </c>
      <c r="N13" s="205">
        <v>1644226</v>
      </c>
      <c r="O13" s="53">
        <f>N13-M13</f>
        <v>-28500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f t="shared" si="0"/>
        <v>46030</v>
      </c>
      <c r="C14" s="192"/>
      <c r="D14" s="191"/>
      <c r="E14" s="192">
        <f>5000</f>
        <v>5000</v>
      </c>
      <c r="F14" s="191">
        <f>1460000</f>
        <v>1460000</v>
      </c>
      <c r="G14" s="192">
        <f>850000+190000</f>
        <v>1040000</v>
      </c>
      <c r="H14" s="191">
        <f>1362400+210000+6500</f>
        <v>1578900</v>
      </c>
      <c r="I14" s="192"/>
      <c r="J14" s="191">
        <f>6500+3500+7000+3500</f>
        <v>20500</v>
      </c>
      <c r="K14" s="192"/>
      <c r="L14" s="191">
        <f>13000</f>
        <v>13000</v>
      </c>
      <c r="M14" s="56">
        <f t="shared" si="2"/>
        <v>4117400</v>
      </c>
      <c r="N14" s="205">
        <v>4110900</v>
      </c>
      <c r="O14" s="53">
        <f>N14-M14</f>
        <v>-6500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f t="shared" si="0"/>
        <v>46031</v>
      </c>
      <c r="C15" s="192"/>
      <c r="D15" s="200"/>
      <c r="E15" s="192"/>
      <c r="F15" s="191"/>
      <c r="G15" s="192"/>
      <c r="H15" s="191">
        <f>1002550+400000+590000+1500+44000</f>
        <v>2038050</v>
      </c>
      <c r="I15" s="192"/>
      <c r="J15" s="191">
        <f>10500+3500</f>
        <v>14000</v>
      </c>
      <c r="K15" s="192"/>
      <c r="L15" s="191">
        <f>9500+34900</f>
        <v>44400</v>
      </c>
      <c r="M15" s="56">
        <f t="shared" si="2"/>
        <v>2096450</v>
      </c>
      <c r="N15" s="205">
        <v>2052450</v>
      </c>
      <c r="O15" s="53">
        <f t="shared" si="1"/>
        <v>-44000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f t="shared" si="0"/>
        <v>46032</v>
      </c>
      <c r="C16" s="197">
        <f>1100000</f>
        <v>1100000</v>
      </c>
      <c r="D16" s="191"/>
      <c r="E16" s="192"/>
      <c r="F16" s="191"/>
      <c r="G16" s="197">
        <f>565000+600000+2000+90000+855000+350000</f>
        <v>2462000</v>
      </c>
      <c r="H16" s="191">
        <f>60200+380000+2000+460000+4000</f>
        <v>906200</v>
      </c>
      <c r="I16" s="195"/>
      <c r="J16" s="191">
        <f>15000+14000</f>
        <v>29000</v>
      </c>
      <c r="K16" s="195">
        <f>66000</f>
        <v>66000</v>
      </c>
      <c r="L16" s="191"/>
      <c r="M16" s="56">
        <f t="shared" si="2"/>
        <v>4563200</v>
      </c>
      <c r="N16" s="205">
        <v>4559200</v>
      </c>
      <c r="O16" s="53">
        <f t="shared" si="1"/>
        <v>-4000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f t="shared" si="0"/>
        <v>46033</v>
      </c>
      <c r="C17" s="216"/>
      <c r="D17" s="217"/>
      <c r="E17" s="218"/>
      <c r="F17" s="219"/>
      <c r="G17" s="216"/>
      <c r="H17" s="219">
        <f>640000+383000+615000+1500+18000</f>
        <v>1657500</v>
      </c>
      <c r="I17" s="216"/>
      <c r="J17" s="219">
        <f>3500</f>
        <v>3500</v>
      </c>
      <c r="K17" s="216"/>
      <c r="L17" s="219">
        <f>31050</f>
        <v>31050</v>
      </c>
      <c r="M17" s="176">
        <f t="shared" si="2"/>
        <v>1692050</v>
      </c>
      <c r="N17" s="205">
        <v>1674050</v>
      </c>
      <c r="O17" s="178">
        <f>N17-M17</f>
        <v>-18000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f t="shared" si="0"/>
        <v>46034</v>
      </c>
      <c r="C18" s="195">
        <f>1970000</f>
        <v>1970000</v>
      </c>
      <c r="D18" s="191"/>
      <c r="E18" s="192"/>
      <c r="F18" s="191"/>
      <c r="G18" s="195">
        <f>1240000+230000</f>
        <v>1470000</v>
      </c>
      <c r="H18" s="191">
        <f>9000+25000+10000</f>
        <v>44000</v>
      </c>
      <c r="I18" s="195"/>
      <c r="J18" s="191">
        <f>9800+10645+19450</f>
        <v>39895</v>
      </c>
      <c r="K18" s="195">
        <f>145000</f>
        <v>145000</v>
      </c>
      <c r="L18" s="191">
        <f>7500+6650+21000</f>
        <v>35150</v>
      </c>
      <c r="M18" s="176">
        <f t="shared" si="2"/>
        <v>3704045</v>
      </c>
      <c r="N18" s="205">
        <v>3694045</v>
      </c>
      <c r="O18" s="178">
        <f t="shared" si="1"/>
        <v>-10000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f t="shared" si="0"/>
        <v>46035</v>
      </c>
      <c r="C19" s="192">
        <f>40000</f>
        <v>40000</v>
      </c>
      <c r="D19" s="191"/>
      <c r="E19" s="192"/>
      <c r="F19" s="191">
        <f>3500</f>
        <v>3500</v>
      </c>
      <c r="G19" s="192">
        <f>1050000+430000+320000</f>
        <v>1800000</v>
      </c>
      <c r="H19" s="191">
        <f>250000+995500+290000+473100+20000</f>
        <v>2028600</v>
      </c>
      <c r="I19" s="192"/>
      <c r="J19" s="191"/>
      <c r="K19" s="192">
        <f>3500</f>
        <v>3500</v>
      </c>
      <c r="L19" s="191">
        <f>17500</f>
        <v>17500</v>
      </c>
      <c r="M19" s="56">
        <f>SUM(C19:L19)</f>
        <v>3893100</v>
      </c>
      <c r="N19" s="205">
        <f>3538600+334500</f>
        <v>3873100</v>
      </c>
      <c r="O19" s="178">
        <f t="shared" si="1"/>
        <v>-20000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f t="shared" si="0"/>
        <v>46036</v>
      </c>
      <c r="C20" s="192"/>
      <c r="D20" s="188">
        <f>240000</f>
        <v>240000</v>
      </c>
      <c r="E20" s="192">
        <f>5000</f>
        <v>5000</v>
      </c>
      <c r="F20" s="191">
        <f>710000</f>
        <v>710000</v>
      </c>
      <c r="G20" s="192">
        <f>200000</f>
        <v>200000</v>
      </c>
      <c r="H20" s="191">
        <f>1300000+200000+32000</f>
        <v>1532000</v>
      </c>
      <c r="I20" s="192"/>
      <c r="J20" s="191"/>
      <c r="K20" s="192"/>
      <c r="L20" s="191">
        <f>17000</f>
        <v>17000</v>
      </c>
      <c r="M20" s="56">
        <f>SUM(C20:L20)</f>
        <v>2704000</v>
      </c>
      <c r="N20" s="205">
        <v>2672000</v>
      </c>
      <c r="O20" s="178">
        <f t="shared" si="1"/>
        <v>-32000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f>B20+1</f>
        <v>46037</v>
      </c>
      <c r="C21" s="192"/>
      <c r="D21" s="191"/>
      <c r="E21" s="192">
        <f>880000</f>
        <v>880000</v>
      </c>
      <c r="F21" s="191">
        <f>45000</f>
        <v>45000</v>
      </c>
      <c r="G21" s="192"/>
      <c r="H21" s="191">
        <f>1500+42000</f>
        <v>43500</v>
      </c>
      <c r="I21" s="192"/>
      <c r="J21" s="191">
        <f>3500+4500</f>
        <v>8000</v>
      </c>
      <c r="K21" s="192"/>
      <c r="L21" s="191">
        <f>117500</f>
        <v>117500</v>
      </c>
      <c r="M21" s="56">
        <f t="shared" si="2"/>
        <v>1094000</v>
      </c>
      <c r="N21" s="205">
        <v>1052000</v>
      </c>
      <c r="O21" s="181">
        <f t="shared" si="1"/>
        <v>-42000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f>B21+1</f>
        <v>46038</v>
      </c>
      <c r="C22" s="192"/>
      <c r="D22" s="200"/>
      <c r="E22" s="192">
        <f>30000</f>
        <v>30000</v>
      </c>
      <c r="F22" s="191">
        <f>10000</f>
        <v>10000</v>
      </c>
      <c r="G22" s="192">
        <f>400000</f>
        <v>400000</v>
      </c>
      <c r="H22" s="191">
        <f>800000+360690+29000</f>
        <v>1189690</v>
      </c>
      <c r="I22" s="192"/>
      <c r="J22" s="191">
        <f>13500+3500</f>
        <v>17000</v>
      </c>
      <c r="K22" s="189"/>
      <c r="L22" s="190"/>
      <c r="M22" s="56">
        <f t="shared" si="2"/>
        <v>1646690</v>
      </c>
      <c r="N22" s="205">
        <v>1617690</v>
      </c>
      <c r="O22" s="178">
        <f t="shared" si="1"/>
        <v>-29000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f t="shared" si="0"/>
        <v>46039</v>
      </c>
      <c r="C23" s="192"/>
      <c r="D23" s="191">
        <f>80000</f>
        <v>80000</v>
      </c>
      <c r="E23" s="192"/>
      <c r="F23" s="191"/>
      <c r="G23" s="192">
        <f>351500</f>
        <v>351500</v>
      </c>
      <c r="H23" s="191">
        <f>430000+400000+10000</f>
        <v>840000</v>
      </c>
      <c r="I23" s="192"/>
      <c r="J23" s="191">
        <f>3500+6000</f>
        <v>9500</v>
      </c>
      <c r="K23" s="192"/>
      <c r="L23" s="191">
        <f>3500</f>
        <v>3500</v>
      </c>
      <c r="M23" s="56">
        <f t="shared" si="2"/>
        <v>1284500</v>
      </c>
      <c r="N23" s="205">
        <v>1274500</v>
      </c>
      <c r="O23" s="181">
        <f t="shared" si="1"/>
        <v>-10000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f t="shared" si="0"/>
        <v>46040</v>
      </c>
      <c r="C24" s="195"/>
      <c r="D24" s="191"/>
      <c r="E24" s="192"/>
      <c r="F24" s="191"/>
      <c r="G24" s="195">
        <f>950000+1500+151500</f>
        <v>1103000</v>
      </c>
      <c r="H24" s="191">
        <f>3500+500000+4500+11500</f>
        <v>519500</v>
      </c>
      <c r="I24" s="195">
        <f>3500</f>
        <v>3500</v>
      </c>
      <c r="J24" s="191">
        <f>3000</f>
        <v>3000</v>
      </c>
      <c r="K24" s="195"/>
      <c r="L24" s="191">
        <f>139990</f>
        <v>139990</v>
      </c>
      <c r="M24" s="56">
        <f t="shared" si="2"/>
        <v>1768990</v>
      </c>
      <c r="N24" s="205">
        <v>1757490</v>
      </c>
      <c r="O24" s="181">
        <f t="shared" si="1"/>
        <v>-11500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f t="shared" si="0"/>
        <v>46041</v>
      </c>
      <c r="C25" s="192"/>
      <c r="D25" s="191">
        <f>70000</f>
        <v>70000</v>
      </c>
      <c r="E25" s="192"/>
      <c r="F25" s="191"/>
      <c r="G25" s="192">
        <v>550000</v>
      </c>
      <c r="H25" s="191">
        <f>1500+3500+453000+34000</f>
        <v>492000</v>
      </c>
      <c r="I25" s="192">
        <f>3500</f>
        <v>3500</v>
      </c>
      <c r="J25" s="191">
        <f>3500+3500+6000+3500+10200+7000</f>
        <v>33700</v>
      </c>
      <c r="K25" s="192"/>
      <c r="L25" s="191">
        <f>71500+184500</f>
        <v>256000</v>
      </c>
      <c r="M25" s="56">
        <f t="shared" si="2"/>
        <v>1405200</v>
      </c>
      <c r="N25" s="205">
        <v>1371200</v>
      </c>
      <c r="O25" s="181">
        <f t="shared" si="1"/>
        <v>-34000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f t="shared" si="0"/>
        <v>46042</v>
      </c>
      <c r="C26" s="192">
        <f>800000</f>
        <v>800000</v>
      </c>
      <c r="D26" s="191"/>
      <c r="E26" s="192"/>
      <c r="F26" s="191">
        <f>1455000</f>
        <v>1455000</v>
      </c>
      <c r="G26" s="192">
        <f>2000</f>
        <v>2000</v>
      </c>
      <c r="H26" s="191">
        <f>1500+1344000+3000+420000-15000</f>
        <v>1753500</v>
      </c>
      <c r="I26" s="192"/>
      <c r="J26" s="191">
        <f>3500+3500</f>
        <v>7000</v>
      </c>
      <c r="K26" s="192"/>
      <c r="L26" s="191">
        <f>52500</f>
        <v>52500</v>
      </c>
      <c r="M26" s="56">
        <f>SUM(C26:L26)</f>
        <v>4070000</v>
      </c>
      <c r="N26" s="205">
        <v>4070000</v>
      </c>
      <c r="O26" s="178">
        <f t="shared" si="1"/>
        <v>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f t="shared" si="0"/>
        <v>46043</v>
      </c>
      <c r="C27" s="192">
        <f>10000</f>
        <v>10000</v>
      </c>
      <c r="D27" s="191">
        <f>10000</f>
        <v>10000</v>
      </c>
      <c r="E27" s="192"/>
      <c r="F27" s="191">
        <f>650000+163500+340000</f>
        <v>1153500</v>
      </c>
      <c r="G27" s="192"/>
      <c r="H27" s="191">
        <f>1330000+15000</f>
        <v>1345000</v>
      </c>
      <c r="I27" s="192">
        <f>6500</f>
        <v>6500</v>
      </c>
      <c r="J27" s="198">
        <f>9500</f>
        <v>9500</v>
      </c>
      <c r="K27" s="192">
        <f>7000</f>
        <v>7000</v>
      </c>
      <c r="L27" s="191">
        <f>69500</f>
        <v>69500</v>
      </c>
      <c r="M27" s="56">
        <f>SUM(C27:L27)</f>
        <v>2611000</v>
      </c>
      <c r="N27" s="205">
        <v>2596000</v>
      </c>
      <c r="O27" s="178">
        <f t="shared" si="1"/>
        <v>-15000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f t="shared" si="0"/>
        <v>46044</v>
      </c>
      <c r="C28" s="192"/>
      <c r="D28" s="191">
        <f>500000</f>
        <v>500000</v>
      </c>
      <c r="E28" s="192"/>
      <c r="F28" s="191">
        <f>200000+305000</f>
        <v>505000</v>
      </c>
      <c r="G28" s="192">
        <f>12000+530000+410000</f>
        <v>952000</v>
      </c>
      <c r="H28" s="191">
        <f>100000+353000+3000+420000-416000+25000</f>
        <v>485000</v>
      </c>
      <c r="I28" s="192"/>
      <c r="J28" s="191">
        <f>50760</f>
        <v>50760</v>
      </c>
      <c r="K28" s="192">
        <f>255130</f>
        <v>255130</v>
      </c>
      <c r="L28" s="191">
        <f>249300</f>
        <v>249300</v>
      </c>
      <c r="M28" s="56">
        <f>SUM(C28:L28)</f>
        <v>2997190</v>
      </c>
      <c r="N28" s="205">
        <v>2972190</v>
      </c>
      <c r="O28" s="178">
        <f t="shared" si="1"/>
        <v>-25000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f t="shared" si="0"/>
        <v>46045</v>
      </c>
      <c r="C29" s="192"/>
      <c r="D29" s="191">
        <f>1000000</f>
        <v>1000000</v>
      </c>
      <c r="E29" s="192">
        <f>20000</f>
        <v>20000</v>
      </c>
      <c r="F29" s="191">
        <f>20000</f>
        <v>20000</v>
      </c>
      <c r="G29" s="192">
        <f>600000+395000+380000+380000</f>
        <v>1755000</v>
      </c>
      <c r="H29" s="191">
        <f>3500+1500+605000+3500+47000</f>
        <v>660500</v>
      </c>
      <c r="I29" s="192"/>
      <c r="J29" s="191">
        <f>15000</f>
        <v>15000</v>
      </c>
      <c r="K29" s="192"/>
      <c r="L29" s="191">
        <f>6000+117000</f>
        <v>123000</v>
      </c>
      <c r="M29" s="56">
        <f t="shared" si="2"/>
        <v>3593500</v>
      </c>
      <c r="N29" s="205">
        <v>3546500</v>
      </c>
      <c r="O29" s="178">
        <f t="shared" si="1"/>
        <v>-47000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f t="shared" si="0"/>
        <v>46046</v>
      </c>
      <c r="C30" s="199"/>
      <c r="D30" s="202"/>
      <c r="E30" s="192"/>
      <c r="F30" s="191"/>
      <c r="G30" s="192">
        <f>1200000+1197000+1500+1410000</f>
        <v>3808500</v>
      </c>
      <c r="H30" s="191">
        <f>3000+6000+413500+70000+430000+420000+62000</f>
        <v>1404500</v>
      </c>
      <c r="I30" s="192"/>
      <c r="J30" s="191">
        <f>15000+3500+3500</f>
        <v>22000</v>
      </c>
      <c r="K30" s="199">
        <f>120000</f>
        <v>120000</v>
      </c>
      <c r="L30" s="198"/>
      <c r="M30" s="56">
        <f t="shared" si="2"/>
        <v>5355000</v>
      </c>
      <c r="N30" s="205">
        <v>5293000</v>
      </c>
      <c r="O30" s="178">
        <f t="shared" si="1"/>
        <v>-62000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f t="shared" si="0"/>
        <v>46047</v>
      </c>
      <c r="C31" s="187"/>
      <c r="D31" s="190"/>
      <c r="E31" s="189"/>
      <c r="F31" s="190"/>
      <c r="G31" s="187">
        <f>1500000</f>
        <v>1500000</v>
      </c>
      <c r="H31" s="190">
        <f>500000+200000+361500+1500+3500+23000</f>
        <v>1089500</v>
      </c>
      <c r="I31" s="189"/>
      <c r="J31" s="190"/>
      <c r="K31" s="189"/>
      <c r="L31" s="190"/>
      <c r="M31" s="56">
        <f t="shared" si="2"/>
        <v>2589500</v>
      </c>
      <c r="N31" s="205">
        <v>2566500</v>
      </c>
      <c r="O31" s="178">
        <f t="shared" si="1"/>
        <v>-23000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f t="shared" si="0"/>
        <v>46048</v>
      </c>
      <c r="C32" s="192">
        <f>800000</f>
        <v>800000</v>
      </c>
      <c r="D32" s="191"/>
      <c r="E32" s="192"/>
      <c r="F32" s="191"/>
      <c r="G32" s="192">
        <f>120000+540000+600000+1500</f>
        <v>1261500</v>
      </c>
      <c r="H32" s="191">
        <f>200000+21000+550000+750000+12000+69000</f>
        <v>1602000</v>
      </c>
      <c r="I32" s="199"/>
      <c r="J32" s="191">
        <f>7000+5000</f>
        <v>12000</v>
      </c>
      <c r="K32" s="192">
        <f>29950</f>
        <v>29950</v>
      </c>
      <c r="L32" s="191">
        <f>3500</f>
        <v>3500</v>
      </c>
      <c r="M32" s="56">
        <f t="shared" si="2"/>
        <v>3708950</v>
      </c>
      <c r="N32" s="205">
        <v>3639950</v>
      </c>
      <c r="O32" s="178">
        <f t="shared" si="1"/>
        <v>-69000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f t="shared" si="0"/>
        <v>46049</v>
      </c>
      <c r="C33" s="192"/>
      <c r="D33" s="191"/>
      <c r="E33" s="192">
        <f>1290000</f>
        <v>1290000</v>
      </c>
      <c r="F33" s="191"/>
      <c r="G33" s="192">
        <f>600000+600000+140000</f>
        <v>1340000</v>
      </c>
      <c r="H33" s="191">
        <f>300000+70000+2000+550000+350000+150000+32000</f>
        <v>1454000</v>
      </c>
      <c r="I33" s="192"/>
      <c r="J33" s="191">
        <f>3500+4200+10000</f>
        <v>17700</v>
      </c>
      <c r="K33" s="192"/>
      <c r="L33" s="191"/>
      <c r="M33" s="56">
        <f t="shared" si="2"/>
        <v>4101700</v>
      </c>
      <c r="N33" s="205">
        <v>4069700</v>
      </c>
      <c r="O33" s="178">
        <f t="shared" si="1"/>
        <v>-32000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f t="shared" si="0"/>
        <v>46050</v>
      </c>
      <c r="C34" s="192">
        <f>850000</f>
        <v>850000</v>
      </c>
      <c r="D34" s="191">
        <f>10000</f>
        <v>10000</v>
      </c>
      <c r="E34" s="192">
        <f>765000</f>
        <v>765000</v>
      </c>
      <c r="F34" s="191"/>
      <c r="G34" s="199">
        <f>470000+297000</f>
        <v>767000</v>
      </c>
      <c r="H34" s="198">
        <f>590000+130000+15000+90000+34500</f>
        <v>859500</v>
      </c>
      <c r="I34" s="199">
        <f>3500+3500</f>
        <v>7000</v>
      </c>
      <c r="J34" s="198">
        <f>3500</f>
        <v>3500</v>
      </c>
      <c r="K34" s="199">
        <f>13100</f>
        <v>13100</v>
      </c>
      <c r="L34" s="198">
        <f>31965</f>
        <v>31965</v>
      </c>
      <c r="M34" s="56">
        <f t="shared" si="2"/>
        <v>3307065</v>
      </c>
      <c r="N34" s="205">
        <v>3272565</v>
      </c>
      <c r="O34" s="178">
        <f t="shared" si="1"/>
        <v>-34500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f t="shared" si="0"/>
        <v>46051</v>
      </c>
      <c r="C35" s="192">
        <f>1100000</f>
        <v>1100000</v>
      </c>
      <c r="D35" s="191"/>
      <c r="E35" s="192">
        <f>18500</f>
        <v>18500</v>
      </c>
      <c r="F35" s="191">
        <f>1335000</f>
        <v>1335000</v>
      </c>
      <c r="G35" s="192">
        <f>370000+4000+6000+650000</f>
        <v>1030000</v>
      </c>
      <c r="H35" s="191">
        <f>450000+7000+510000+4000+9000+530000+223500+55500</f>
        <v>1789000</v>
      </c>
      <c r="I35" s="192"/>
      <c r="J35" s="191">
        <f>3500+6500+7211.29+3500</f>
        <v>20711.29</v>
      </c>
      <c r="K35" s="192">
        <f>6000+14500+150500</f>
        <v>171000</v>
      </c>
      <c r="L35" s="191">
        <f>28000+33200</f>
        <v>61200</v>
      </c>
      <c r="M35" s="56">
        <f t="shared" si="2"/>
        <v>5525411.29</v>
      </c>
      <c r="N35" s="205">
        <v>5469911</v>
      </c>
      <c r="O35" s="223">
        <f t="shared" si="1"/>
        <v>-55500.290000000037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f>B35+1</f>
        <v>46052</v>
      </c>
      <c r="C36" s="192"/>
      <c r="D36" s="191">
        <f>800000</f>
        <v>800000</v>
      </c>
      <c r="E36" s="192">
        <f>5000</f>
        <v>5000</v>
      </c>
      <c r="F36" s="191">
        <f>25000+2500000</f>
        <v>2525000</v>
      </c>
      <c r="G36" s="192">
        <f>14000</f>
        <v>14000</v>
      </c>
      <c r="H36" s="191">
        <f>703500+21000+270000+500000+400000+10000</f>
        <v>1904500</v>
      </c>
      <c r="I36" s="192"/>
      <c r="J36" s="191">
        <f>7000</f>
        <v>7000</v>
      </c>
      <c r="K36" s="192">
        <f>98000</f>
        <v>98000</v>
      </c>
      <c r="L36" s="191">
        <f>124100+3500</f>
        <v>127600</v>
      </c>
      <c r="M36" s="56">
        <f t="shared" si="2"/>
        <v>5481100</v>
      </c>
      <c r="N36" s="205">
        <f>5441100+30000</f>
        <v>5471100</v>
      </c>
      <c r="O36" s="223">
        <f t="shared" si="1"/>
        <v>-10000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f>B36+1</f>
        <v>46053</v>
      </c>
      <c r="C37" s="192"/>
      <c r="D37" s="191"/>
      <c r="E37" s="192"/>
      <c r="F37" s="191"/>
      <c r="G37" s="192">
        <f>600000+3000+410000+900000+65000</f>
        <v>1978000</v>
      </c>
      <c r="H37" s="191">
        <f>600000+2090000+250000+420000+1500+41500+18500.2</f>
        <v>3421500.2</v>
      </c>
      <c r="I37" s="192"/>
      <c r="J37" s="191">
        <f>3500+3500</f>
        <v>7000</v>
      </c>
      <c r="K37" s="192">
        <f>40080</f>
        <v>40080</v>
      </c>
      <c r="L37" s="191">
        <f>13950+30268</f>
        <v>44218</v>
      </c>
      <c r="M37" s="56">
        <f t="shared" si="2"/>
        <v>5490798.2000000002</v>
      </c>
      <c r="N37" s="205">
        <v>5449298</v>
      </c>
      <c r="O37" s="223">
        <f t="shared" si="1"/>
        <v>-41500.200000000186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6870000</v>
      </c>
      <c r="D39" s="25">
        <f>SUM(D7:D38)</f>
        <v>4770000</v>
      </c>
      <c r="E39" s="24">
        <f t="shared" ref="E39:K39" si="3">SUM(E7:E38)</f>
        <v>4033500</v>
      </c>
      <c r="F39" s="59">
        <f t="shared" si="3"/>
        <v>12600500</v>
      </c>
      <c r="G39" s="24">
        <f t="shared" si="3"/>
        <v>26389500</v>
      </c>
      <c r="H39" s="25">
        <f>SUM(H7:H38)</f>
        <v>40684640.200000003</v>
      </c>
      <c r="I39" s="24">
        <f t="shared" si="3"/>
        <v>24000</v>
      </c>
      <c r="J39" s="25">
        <f>SUM(J7:J38)</f>
        <v>475266.29</v>
      </c>
      <c r="K39" s="24">
        <f t="shared" si="3"/>
        <v>991486</v>
      </c>
      <c r="L39" s="25">
        <f>SUM(L7:L38)</f>
        <v>1548023</v>
      </c>
      <c r="M39" s="28">
        <f>SUM(M7:M38)</f>
        <v>98386915.49000001</v>
      </c>
      <c r="N39" s="27">
        <f>SUM(N7:N38)</f>
        <v>97594415</v>
      </c>
      <c r="O39" s="26">
        <f>N39-M39</f>
        <v>-792500.49000000954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11640000</v>
      </c>
      <c r="D40" s="282"/>
      <c r="E40" s="267">
        <f>SUM(E39:F39)</f>
        <v>16634000</v>
      </c>
      <c r="F40" s="269"/>
      <c r="G40" s="281">
        <f>SUM(G39:H39)</f>
        <v>67074140.200000003</v>
      </c>
      <c r="H40" s="282"/>
      <c r="I40" s="267">
        <f>SUM(I39:J39)</f>
        <v>499266.29</v>
      </c>
      <c r="J40" s="268"/>
      <c r="K40" s="281">
        <f>SUM(K39:L39)</f>
        <v>2539509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46022</v>
      </c>
      <c r="C45" s="203">
        <v>0</v>
      </c>
      <c r="D45" s="14"/>
      <c r="E45" s="203">
        <v>0</v>
      </c>
      <c r="F45" s="14"/>
      <c r="G45" s="203"/>
      <c r="H45" s="14">
        <v>0</v>
      </c>
      <c r="I45" s="203"/>
      <c r="J45" s="14">
        <v>0</v>
      </c>
      <c r="K45" s="134"/>
      <c r="L45" s="14">
        <v>0</v>
      </c>
      <c r="M45" s="203">
        <v>0</v>
      </c>
      <c r="N45" s="203">
        <f>F45+H45+J45+L45</f>
        <v>0</v>
      </c>
      <c r="O45" s="203">
        <f>N45-M45</f>
        <v>0</v>
      </c>
      <c r="P45" s="85">
        <v>45992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46053</v>
      </c>
      <c r="C48" s="203">
        <v>0</v>
      </c>
      <c r="D48" s="14"/>
      <c r="E48" s="203">
        <v>0</v>
      </c>
      <c r="F48" s="14"/>
      <c r="G48" s="203">
        <v>0</v>
      </c>
      <c r="H48" s="14">
        <v>2645000</v>
      </c>
      <c r="I48" s="203">
        <v>0</v>
      </c>
      <c r="J48" s="14">
        <v>7000</v>
      </c>
      <c r="K48" s="134">
        <v>0</v>
      </c>
      <c r="L48" s="14">
        <v>2718</v>
      </c>
      <c r="M48" s="203"/>
      <c r="N48" s="203">
        <f>F48+H48+J48+L48+D48</f>
        <v>2654718</v>
      </c>
      <c r="O48" s="203">
        <f>N48-M48</f>
        <v>2654718</v>
      </c>
      <c r="P48" s="151">
        <v>46023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0</v>
      </c>
      <c r="F50" s="263"/>
      <c r="G50" s="262">
        <f>H45+H46-H47-H48</f>
        <v>-2645000</v>
      </c>
      <c r="H50" s="263"/>
      <c r="I50" s="262">
        <f>J45+J46-J47-J48</f>
        <v>-7000</v>
      </c>
      <c r="J50" s="263"/>
      <c r="K50" s="262">
        <f>L45+L46-L47-L48</f>
        <v>-2718</v>
      </c>
      <c r="L50" s="263"/>
    </row>
    <row r="51" spans="2:28" x14ac:dyDescent="0.25">
      <c r="B51" s="294" t="s">
        <v>12</v>
      </c>
      <c r="C51" s="295"/>
      <c r="D51" s="212">
        <f>D39+D50</f>
        <v>4770000</v>
      </c>
      <c r="E51" s="289">
        <f>F39+E50</f>
        <v>12600500</v>
      </c>
      <c r="F51" s="290"/>
      <c r="G51" s="289">
        <f>H39+G50</f>
        <v>38039640.200000003</v>
      </c>
      <c r="H51" s="290"/>
      <c r="I51" s="291">
        <f>J39+I50</f>
        <v>468266.29</v>
      </c>
      <c r="J51" s="292"/>
      <c r="K51" s="289">
        <f>L39+K50</f>
        <v>1545305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57423711.490000002</v>
      </c>
      <c r="E52" s="293"/>
      <c r="F52" s="293"/>
      <c r="G52" s="293"/>
      <c r="H52" s="293"/>
      <c r="I52" s="228"/>
      <c r="J52" s="228"/>
      <c r="K52" s="228"/>
      <c r="L52" s="228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34397.065009999998</v>
      </c>
      <c r="P54" s="87"/>
      <c r="S54">
        <v>8.3000000000000007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38308486</v>
      </c>
      <c r="D55" s="149">
        <f>D39+H39+F39+J39+L39</f>
        <v>60078429.490000002</v>
      </c>
      <c r="E55" s="58"/>
      <c r="F55" s="58"/>
      <c r="M55" s="63" t="s">
        <v>25</v>
      </c>
      <c r="N55" s="64">
        <f>N59*S55/100</f>
        <v>91172.943400000004</v>
      </c>
      <c r="P55" s="88"/>
      <c r="S55">
        <v>22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98386915.49000001</v>
      </c>
      <c r="D56" s="285"/>
      <c r="E56" s="57"/>
      <c r="F56" s="57"/>
      <c r="M56" s="63" t="s">
        <v>28</v>
      </c>
      <c r="N56" s="64">
        <f>N59*S56/100</f>
        <v>274347.67514000001</v>
      </c>
      <c r="R56" s="87"/>
      <c r="S56">
        <v>66.2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3315.3797600000003</v>
      </c>
      <c r="S57">
        <v>0.8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11189.40669</v>
      </c>
      <c r="S58">
        <v>2.7</v>
      </c>
      <c r="Y58" s="4"/>
      <c r="AA58" s="78"/>
      <c r="AB58" s="68"/>
    </row>
    <row r="59" spans="2:28" x14ac:dyDescent="0.25">
      <c r="J59" t="s">
        <v>3</v>
      </c>
      <c r="N59" s="64">
        <v>414422.47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95732197.49000001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88BA-A7C2-468F-8C6C-57DEFA03352C}">
  <sheetPr>
    <pageSetUpPr fitToPage="1"/>
  </sheetPr>
  <dimension ref="A1:AB72"/>
  <sheetViews>
    <sheetView topLeftCell="A28" workbookViewId="0">
      <selection activeCell="F48" sqref="F4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146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46054</v>
      </c>
      <c r="C7" s="192"/>
      <c r="D7" s="191"/>
      <c r="E7" s="192"/>
      <c r="F7" s="191"/>
      <c r="G7" s="193">
        <f>120000+1200000+900000+5000-900000</f>
        <v>1325000</v>
      </c>
      <c r="H7" s="194">
        <f>500000+3000+2000+250000+995000+100000+1400000-250000+51000</f>
        <v>3051000</v>
      </c>
      <c r="I7" s="193"/>
      <c r="J7" s="194"/>
      <c r="K7" s="193">
        <f>5000+205500</f>
        <v>210500</v>
      </c>
      <c r="L7" s="194">
        <f>238500</f>
        <v>238500</v>
      </c>
      <c r="M7" s="56">
        <f>SUM(C7:L7)</f>
        <v>4825000</v>
      </c>
      <c r="N7" s="205">
        <v>4774000</v>
      </c>
      <c r="O7" s="230">
        <f>N7-M7</f>
        <v>-51000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v>46055</v>
      </c>
      <c r="C8" s="195">
        <f>10000</f>
        <v>10000</v>
      </c>
      <c r="D8" s="191">
        <f>10000</f>
        <v>10000</v>
      </c>
      <c r="E8" s="192"/>
      <c r="F8" s="191">
        <f>4000</f>
        <v>4000</v>
      </c>
      <c r="G8" s="195">
        <f>542000</f>
        <v>542000</v>
      </c>
      <c r="H8" s="191">
        <f>650000+600000+3000+500000+14000+53000</f>
        <v>1820000</v>
      </c>
      <c r="I8" s="195">
        <f>6500</f>
        <v>6500</v>
      </c>
      <c r="J8" s="191">
        <f>6500</f>
        <v>6500</v>
      </c>
      <c r="K8" s="195">
        <f>120000</f>
        <v>120000</v>
      </c>
      <c r="L8" s="191">
        <f>103510+123300+10000</f>
        <v>236810</v>
      </c>
      <c r="M8" s="56">
        <f>SUM(C8:L8)</f>
        <v>2755810</v>
      </c>
      <c r="N8" s="205">
        <v>2702810</v>
      </c>
      <c r="O8" s="230">
        <f t="shared" ref="O8:O34" si="0">N8-M8</f>
        <v>-53000</v>
      </c>
      <c r="Z8" s="78"/>
      <c r="AB8" s="68"/>
    </row>
    <row r="9" spans="2:28" x14ac:dyDescent="0.25">
      <c r="B9" s="15">
        <v>46056</v>
      </c>
      <c r="C9" s="192">
        <f>150000</f>
        <v>150000</v>
      </c>
      <c r="D9" s="196">
        <f>850000</f>
        <v>850000</v>
      </c>
      <c r="E9" s="192">
        <f>630000</f>
        <v>630000</v>
      </c>
      <c r="F9" s="191">
        <f>30000</f>
        <v>30000</v>
      </c>
      <c r="G9" s="192">
        <f>854950+220000+984500+10000</f>
        <v>2069450</v>
      </c>
      <c r="H9" s="191">
        <f>10000+600000+400000+15000+30000</f>
        <v>1055000</v>
      </c>
      <c r="I9" s="192">
        <f>19500+6500+4200</f>
        <v>30200</v>
      </c>
      <c r="J9" s="191">
        <f>1500+4200</f>
        <v>5700</v>
      </c>
      <c r="K9" s="192"/>
      <c r="L9" s="191">
        <f>16000</f>
        <v>16000</v>
      </c>
      <c r="M9" s="56">
        <f>SUM(C9:L9)</f>
        <v>4836350</v>
      </c>
      <c r="N9" s="205">
        <v>4806350</v>
      </c>
      <c r="O9" s="230">
        <f t="shared" si="0"/>
        <v>-30000</v>
      </c>
      <c r="P9" s="101"/>
      <c r="Z9" s="78"/>
      <c r="AB9" s="68"/>
    </row>
    <row r="10" spans="2:28" x14ac:dyDescent="0.25">
      <c r="B10" s="15">
        <v>46057</v>
      </c>
      <c r="C10" s="192"/>
      <c r="D10" s="196"/>
      <c r="E10" s="192"/>
      <c r="F10" s="191"/>
      <c r="G10" s="192">
        <f>315000+5000</f>
        <v>320000</v>
      </c>
      <c r="H10" s="191">
        <f>35000+8170+1200000+40000+170000+380000+62000</f>
        <v>1895170</v>
      </c>
      <c r="I10" s="192"/>
      <c r="J10" s="191">
        <f>15000+4000+4000</f>
        <v>23000</v>
      </c>
      <c r="K10" s="192">
        <f>4000</f>
        <v>4000</v>
      </c>
      <c r="L10" s="191">
        <f>14500</f>
        <v>14500</v>
      </c>
      <c r="M10" s="56">
        <f>SUM(C10:L10)</f>
        <v>2256670</v>
      </c>
      <c r="N10" s="205">
        <v>2194670</v>
      </c>
      <c r="O10" s="230">
        <f>N10-M10</f>
        <v>-62000</v>
      </c>
      <c r="P10" s="101"/>
      <c r="Z10" s="78"/>
      <c r="AB10" s="68"/>
    </row>
    <row r="11" spans="2:28" x14ac:dyDescent="0.25">
      <c r="B11" s="15">
        <v>46058</v>
      </c>
      <c r="C11" s="195">
        <f>1210000</f>
        <v>1210000</v>
      </c>
      <c r="D11" s="191"/>
      <c r="E11" s="192">
        <f>150000</f>
        <v>150000</v>
      </c>
      <c r="F11" s="191">
        <f>450000</f>
        <v>450000</v>
      </c>
      <c r="G11" s="195">
        <f>150000+835000</f>
        <v>985000</v>
      </c>
      <c r="H11" s="195">
        <f>4000+15000+1390000+870000+490000+39000-20000</f>
        <v>2788000</v>
      </c>
      <c r="I11" s="195"/>
      <c r="J11" s="191">
        <f>7000</f>
        <v>7000</v>
      </c>
      <c r="K11" s="195">
        <f>9850+4000</f>
        <v>13850</v>
      </c>
      <c r="L11" s="191">
        <f>33550+65000</f>
        <v>98550</v>
      </c>
      <c r="M11" s="56">
        <f>SUM(C11:L11)</f>
        <v>5702400</v>
      </c>
      <c r="N11" s="205">
        <f>5663400+20000</f>
        <v>5683400</v>
      </c>
      <c r="O11" s="230">
        <f>N11-M11</f>
        <v>-19000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v>46059</v>
      </c>
      <c r="C12" s="192">
        <f>850000</f>
        <v>850000</v>
      </c>
      <c r="D12" s="191"/>
      <c r="E12" s="192">
        <f>10000</f>
        <v>10000</v>
      </c>
      <c r="F12" s="191">
        <f>15000</f>
        <v>15000</v>
      </c>
      <c r="G12" s="192">
        <f>800000+1190000+600000+890000+540000+7000</f>
        <v>4027000</v>
      </c>
      <c r="H12" s="191">
        <f>5500+220000+380000+1200000+1290000+35000+32000</f>
        <v>3162500</v>
      </c>
      <c r="I12" s="192"/>
      <c r="J12" s="191">
        <f>6500</f>
        <v>6500</v>
      </c>
      <c r="K12" s="192"/>
      <c r="L12" s="191">
        <f>31275</f>
        <v>31275</v>
      </c>
      <c r="M12" s="56">
        <f t="shared" ref="M12:M34" si="1">SUM(C12:L12)</f>
        <v>8102275</v>
      </c>
      <c r="N12" s="205">
        <v>8070275</v>
      </c>
      <c r="O12" s="230">
        <f>N12-M12</f>
        <v>-32000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v>46060</v>
      </c>
      <c r="C13" s="192"/>
      <c r="D13" s="191"/>
      <c r="E13" s="192"/>
      <c r="F13" s="191"/>
      <c r="G13" s="192">
        <f>2040000+69000+420000+700000</f>
        <v>3229000</v>
      </c>
      <c r="H13" s="191">
        <f>3500+270000+19500+6000+1500+4000+16000+11500</f>
        <v>332000</v>
      </c>
      <c r="I13" s="192">
        <f>3500</f>
        <v>3500</v>
      </c>
      <c r="J13" s="191">
        <f>4000+13000+15000+41500</f>
        <v>73500</v>
      </c>
      <c r="K13" s="192"/>
      <c r="L13" s="191">
        <f>29500+94000</f>
        <v>123500</v>
      </c>
      <c r="M13" s="56">
        <f t="shared" si="1"/>
        <v>3761500</v>
      </c>
      <c r="N13" s="205">
        <v>3750000</v>
      </c>
      <c r="O13" s="230">
        <f>N13-M13</f>
        <v>-11500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v>46061</v>
      </c>
      <c r="C14" s="192"/>
      <c r="D14" s="191"/>
      <c r="E14" s="192"/>
      <c r="F14" s="191"/>
      <c r="G14" s="192">
        <f>1500+420000+640000+700000</f>
        <v>1761500</v>
      </c>
      <c r="H14" s="191">
        <f>24000+15000+501500+10000+20000</f>
        <v>570500</v>
      </c>
      <c r="I14" s="192"/>
      <c r="J14" s="191">
        <f>4000</f>
        <v>4000</v>
      </c>
      <c r="K14" s="192"/>
      <c r="L14" s="191">
        <f>134240</f>
        <v>134240</v>
      </c>
      <c r="M14" s="56">
        <f t="shared" si="1"/>
        <v>2470240</v>
      </c>
      <c r="N14" s="205">
        <v>2440240</v>
      </c>
      <c r="O14" s="230">
        <f>N14-M14</f>
        <v>-30000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v>46062</v>
      </c>
      <c r="C15" s="192">
        <f>810000</f>
        <v>810000</v>
      </c>
      <c r="D15" s="200">
        <f>10000</f>
        <v>10000</v>
      </c>
      <c r="E15" s="192">
        <f>680000</f>
        <v>680000</v>
      </c>
      <c r="F15" s="191">
        <f>580000+20000</f>
        <v>600000</v>
      </c>
      <c r="G15" s="192">
        <f>500000+1589500+515000+7000</f>
        <v>2611500</v>
      </c>
      <c r="H15" s="191">
        <f>150000+120000+3000+4000+725000+7000+250000+35000</f>
        <v>1294000</v>
      </c>
      <c r="I15" s="192"/>
      <c r="J15" s="191">
        <f>48800+4000</f>
        <v>52800</v>
      </c>
      <c r="K15" s="192">
        <f>3000+5000</f>
        <v>8000</v>
      </c>
      <c r="L15" s="191">
        <f>69200+4000+14000</f>
        <v>87200</v>
      </c>
      <c r="M15" s="56">
        <f t="shared" si="1"/>
        <v>6153500</v>
      </c>
      <c r="N15" s="205">
        <f>6098500+20000</f>
        <v>6118500</v>
      </c>
      <c r="O15" s="230">
        <f t="shared" si="0"/>
        <v>-35000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v>46063</v>
      </c>
      <c r="C16" s="197"/>
      <c r="D16" s="191">
        <f>1300000</f>
        <v>1300000</v>
      </c>
      <c r="E16" s="192">
        <f>1000000</f>
        <v>1000000</v>
      </c>
      <c r="F16" s="191">
        <f>30000</f>
        <v>30000</v>
      </c>
      <c r="G16" s="197">
        <f>780000+900000+300000</f>
        <v>1980000</v>
      </c>
      <c r="H16" s="191">
        <f>250000+610000+600000+63000</f>
        <v>1523000</v>
      </c>
      <c r="I16" s="195"/>
      <c r="J16" s="191">
        <f>4000+15000</f>
        <v>19000</v>
      </c>
      <c r="K16" s="195"/>
      <c r="L16" s="191">
        <f>93500</f>
        <v>93500</v>
      </c>
      <c r="M16" s="56">
        <f t="shared" si="1"/>
        <v>5945500</v>
      </c>
      <c r="N16" s="205">
        <f>5872500+10000</f>
        <v>5882500</v>
      </c>
      <c r="O16" s="230">
        <f t="shared" si="0"/>
        <v>-63000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v>46064</v>
      </c>
      <c r="C17" s="216">
        <f>1010000</f>
        <v>1010000</v>
      </c>
      <c r="D17" s="217"/>
      <c r="E17" s="218"/>
      <c r="F17" s="219"/>
      <c r="G17" s="216">
        <f>5000</f>
        <v>5000</v>
      </c>
      <c r="H17" s="219">
        <f>500000+20000+5000+67000+590000</f>
        <v>1182000</v>
      </c>
      <c r="I17" s="216"/>
      <c r="J17" s="219">
        <f>15000+6500+3500</f>
        <v>25000</v>
      </c>
      <c r="K17" s="216">
        <f>14500</f>
        <v>14500</v>
      </c>
      <c r="L17" s="219">
        <f>12000+3500+3000.18+162500</f>
        <v>181000.18</v>
      </c>
      <c r="M17" s="176">
        <f t="shared" si="1"/>
        <v>2417500.1800000002</v>
      </c>
      <c r="N17" s="205">
        <v>2350500</v>
      </c>
      <c r="O17" s="233">
        <f>N17-M17</f>
        <v>-67000.180000000168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v>46065</v>
      </c>
      <c r="C18" s="195"/>
      <c r="D18" s="191"/>
      <c r="E18" s="192"/>
      <c r="F18" s="191"/>
      <c r="G18" s="195">
        <f>2000+450000</f>
        <v>452000</v>
      </c>
      <c r="H18" s="191">
        <f>1500+2000+500000+400000+700000+7000</f>
        <v>1610500</v>
      </c>
      <c r="I18" s="195"/>
      <c r="J18" s="191">
        <f>23000+8400</f>
        <v>31400</v>
      </c>
      <c r="K18" s="195"/>
      <c r="L18" s="191">
        <f>51300</f>
        <v>51300</v>
      </c>
      <c r="M18" s="176">
        <f t="shared" si="1"/>
        <v>2145200</v>
      </c>
      <c r="N18" s="205">
        <v>2138200</v>
      </c>
      <c r="O18" s="231">
        <f t="shared" si="0"/>
        <v>-7000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v>46066</v>
      </c>
      <c r="C19" s="192"/>
      <c r="D19" s="191"/>
      <c r="E19" s="192"/>
      <c r="F19" s="191">
        <f>27000</f>
        <v>27000</v>
      </c>
      <c r="G19" s="192">
        <f>2000+500000+7000</f>
        <v>509000</v>
      </c>
      <c r="H19" s="191">
        <f>600000+8000+800000+100000+28000+113000+720000</f>
        <v>2369000</v>
      </c>
      <c r="I19" s="192">
        <f>4000</f>
        <v>4000</v>
      </c>
      <c r="J19" s="191">
        <f>14900</f>
        <v>14900</v>
      </c>
      <c r="K19" s="192">
        <f>4000</f>
        <v>4000</v>
      </c>
      <c r="L19" s="191">
        <f>7800+103100</f>
        <v>110900</v>
      </c>
      <c r="M19" s="56">
        <f>SUM(C19:L19)</f>
        <v>3038800</v>
      </c>
      <c r="N19" s="205">
        <v>2925800</v>
      </c>
      <c r="O19" s="231">
        <f t="shared" si="0"/>
        <v>-113000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v>46067</v>
      </c>
      <c r="C20" s="192"/>
      <c r="D20" s="188"/>
      <c r="E20" s="192"/>
      <c r="F20" s="191"/>
      <c r="G20" s="192"/>
      <c r="H20" s="191">
        <f>800000+350000+47000+20000</f>
        <v>1217000</v>
      </c>
      <c r="I20" s="192"/>
      <c r="J20" s="191">
        <f>6500</f>
        <v>6500</v>
      </c>
      <c r="K20" s="192">
        <f>4000</f>
        <v>4000</v>
      </c>
      <c r="L20" s="191">
        <f>89000</f>
        <v>89000</v>
      </c>
      <c r="M20" s="56">
        <f>SUM(C20:L20)</f>
        <v>1316500</v>
      </c>
      <c r="N20" s="205">
        <f>1249500+20000</f>
        <v>1269500</v>
      </c>
      <c r="O20" s="231">
        <f t="shared" si="0"/>
        <v>-47000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v>46068</v>
      </c>
      <c r="C21" s="192"/>
      <c r="D21" s="191"/>
      <c r="E21" s="192"/>
      <c r="F21" s="191"/>
      <c r="G21" s="192"/>
      <c r="H21" s="191">
        <f>380000+700000+2000</f>
        <v>1082000</v>
      </c>
      <c r="I21" s="192">
        <f>4000</f>
        <v>4000</v>
      </c>
      <c r="J21" s="191">
        <f>4000+5140+7220</f>
        <v>16360</v>
      </c>
      <c r="K21" s="192"/>
      <c r="L21" s="191">
        <f>85000</f>
        <v>85000</v>
      </c>
      <c r="M21" s="56">
        <f t="shared" si="1"/>
        <v>1187360</v>
      </c>
      <c r="N21" s="205">
        <v>1185360</v>
      </c>
      <c r="O21" s="232">
        <f t="shared" si="0"/>
        <v>-2000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v>46069</v>
      </c>
      <c r="C22" s="192"/>
      <c r="D22" s="200"/>
      <c r="E22" s="192"/>
      <c r="F22" s="191">
        <f>680000+20000</f>
        <v>700000</v>
      </c>
      <c r="G22" s="192"/>
      <c r="H22" s="191">
        <f>390000+340000+8000+7000+3000+39000</f>
        <v>787000</v>
      </c>
      <c r="I22" s="192"/>
      <c r="J22" s="191"/>
      <c r="K22" s="189"/>
      <c r="L22" s="190">
        <f>33700+193871.29-1999.6</f>
        <v>225571.69</v>
      </c>
      <c r="M22" s="56">
        <f t="shared" si="1"/>
        <v>1712571.69</v>
      </c>
      <c r="N22" s="205">
        <f>1655571-1999.6+20000</f>
        <v>1673571.4</v>
      </c>
      <c r="O22" s="233">
        <f t="shared" si="0"/>
        <v>-39000.290000000037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v>46070</v>
      </c>
      <c r="C23" s="192"/>
      <c r="D23" s="191"/>
      <c r="E23" s="192">
        <f>880000</f>
        <v>880000</v>
      </c>
      <c r="F23" s="191">
        <f>35000</f>
        <v>35000</v>
      </c>
      <c r="G23" s="192">
        <f>350000+600000+4000+1500</f>
        <v>955500</v>
      </c>
      <c r="H23" s="191">
        <f>380000+650000+350000+3000+10000</f>
        <v>1393000</v>
      </c>
      <c r="I23" s="192"/>
      <c r="J23" s="191">
        <f>25200+24500+4200</f>
        <v>53900</v>
      </c>
      <c r="K23" s="192">
        <f>4000</f>
        <v>4000</v>
      </c>
      <c r="L23" s="191">
        <f>41500</f>
        <v>41500</v>
      </c>
      <c r="M23" s="56">
        <f t="shared" si="1"/>
        <v>3362900</v>
      </c>
      <c r="N23" s="205">
        <v>3352900</v>
      </c>
      <c r="O23" s="232">
        <f t="shared" si="0"/>
        <v>-10000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v>46071</v>
      </c>
      <c r="C24" s="195"/>
      <c r="D24" s="191"/>
      <c r="E24" s="192">
        <f>10000</f>
        <v>10000</v>
      </c>
      <c r="F24" s="191">
        <f>880000+985000</f>
        <v>1865000</v>
      </c>
      <c r="G24" s="195">
        <f>140000+2000</f>
        <v>142000</v>
      </c>
      <c r="H24" s="191">
        <f>470000+550000+630000+15000</f>
        <v>1665000</v>
      </c>
      <c r="I24" s="195">
        <f>10000+4000+4000</f>
        <v>18000</v>
      </c>
      <c r="J24" s="191">
        <f>23500+8000</f>
        <v>31500</v>
      </c>
      <c r="K24" s="195">
        <f>5500</f>
        <v>5500</v>
      </c>
      <c r="L24" s="191">
        <f>77000</f>
        <v>77000</v>
      </c>
      <c r="M24" s="56">
        <f t="shared" si="1"/>
        <v>3814000</v>
      </c>
      <c r="N24" s="205">
        <v>3799000</v>
      </c>
      <c r="O24" s="232">
        <f t="shared" si="0"/>
        <v>-15000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v>46072</v>
      </c>
      <c r="C25" s="192"/>
      <c r="D25" s="191"/>
      <c r="E25" s="192"/>
      <c r="F25" s="191">
        <f>880000</f>
        <v>880000</v>
      </c>
      <c r="G25" s="192">
        <f>6000</f>
        <v>6000</v>
      </c>
      <c r="H25" s="191">
        <f>385000+130000+6000+3000+140000+400000+8000+20000</f>
        <v>1092000</v>
      </c>
      <c r="I25" s="192"/>
      <c r="J25" s="191">
        <f>4000</f>
        <v>4000</v>
      </c>
      <c r="K25" s="192">
        <f>158500</f>
        <v>158500</v>
      </c>
      <c r="L25" s="191">
        <f>13000+89400</f>
        <v>102400</v>
      </c>
      <c r="M25" s="56">
        <f t="shared" si="1"/>
        <v>2242900</v>
      </c>
      <c r="N25" s="205">
        <f>2214900+20000</f>
        <v>2234900</v>
      </c>
      <c r="O25" s="232">
        <f t="shared" si="0"/>
        <v>-8000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v>46073</v>
      </c>
      <c r="C26" s="192"/>
      <c r="D26" s="191"/>
      <c r="E26" s="192">
        <f>5000</f>
        <v>5000</v>
      </c>
      <c r="F26" s="191">
        <f>705000</f>
        <v>705000</v>
      </c>
      <c r="G26" s="192">
        <f>5000+7000+1840000</f>
        <v>1852000</v>
      </c>
      <c r="H26" s="191">
        <f>700000+4000+500000+75000+45000</f>
        <v>1324000</v>
      </c>
      <c r="I26" s="192"/>
      <c r="J26" s="191">
        <f>30000</f>
        <v>30000</v>
      </c>
      <c r="K26" s="192">
        <f>6000+42800</f>
        <v>48800</v>
      </c>
      <c r="L26" s="191">
        <f>41325+1500</f>
        <v>42825</v>
      </c>
      <c r="M26" s="56">
        <f>SUM(C26:L26)</f>
        <v>4007625</v>
      </c>
      <c r="N26" s="205">
        <v>3962625</v>
      </c>
      <c r="O26" s="231">
        <f t="shared" si="0"/>
        <v>-45000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v>46074</v>
      </c>
      <c r="C27" s="192"/>
      <c r="D27" s="191"/>
      <c r="E27" s="192"/>
      <c r="F27" s="191"/>
      <c r="G27" s="192"/>
      <c r="H27" s="191">
        <f>200000+80000+883000+380000</f>
        <v>1543000</v>
      </c>
      <c r="I27" s="192">
        <f>3500+4000</f>
        <v>7500</v>
      </c>
      <c r="J27" s="198"/>
      <c r="K27" s="192"/>
      <c r="L27" s="191">
        <f>55000</f>
        <v>55000</v>
      </c>
      <c r="M27" s="56">
        <f>SUM(C27:L27)</f>
        <v>1605500</v>
      </c>
      <c r="N27" s="205">
        <f>1605500-40000</f>
        <v>1565500</v>
      </c>
      <c r="O27" s="231">
        <f t="shared" si="0"/>
        <v>-40000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v>46075</v>
      </c>
      <c r="C28" s="192"/>
      <c r="D28" s="191"/>
      <c r="E28" s="192"/>
      <c r="F28" s="191"/>
      <c r="G28" s="192">
        <f>190000+640000+240000+540000</f>
        <v>1610000</v>
      </c>
      <c r="H28" s="191">
        <f>1200000+120000+5000+750000+1500+700000+120000+8000</f>
        <v>2904500</v>
      </c>
      <c r="I28" s="192">
        <f>3500</f>
        <v>3500</v>
      </c>
      <c r="J28" s="198">
        <f>20400</f>
        <v>20400</v>
      </c>
      <c r="K28" s="192">
        <f>4000</f>
        <v>4000</v>
      </c>
      <c r="L28" s="191">
        <f>4000</f>
        <v>4000</v>
      </c>
      <c r="M28" s="56">
        <f>SUM(C28:L28)</f>
        <v>4546400</v>
      </c>
      <c r="N28" s="205">
        <v>4538400</v>
      </c>
      <c r="O28" s="231">
        <f t="shared" si="0"/>
        <v>-8000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v>46076</v>
      </c>
      <c r="C29" s="192"/>
      <c r="D29" s="191">
        <f>20000</f>
        <v>20000</v>
      </c>
      <c r="E29" s="192">
        <f>50000+1250000-50000</f>
        <v>1250000</v>
      </c>
      <c r="F29" s="191"/>
      <c r="G29" s="192">
        <f>600000+600000+890000+370000+7000</f>
        <v>2467000</v>
      </c>
      <c r="H29" s="191">
        <f>1500+3000+10000+21000+30000</f>
        <v>65500</v>
      </c>
      <c r="I29" s="192"/>
      <c r="J29" s="191">
        <f>18100+4000+6500+4000</f>
        <v>32600</v>
      </c>
      <c r="K29" s="192"/>
      <c r="L29" s="191">
        <f>18000+29850</f>
        <v>47850</v>
      </c>
      <c r="M29" s="56">
        <f>SUM(C29:L29)</f>
        <v>3882950</v>
      </c>
      <c r="N29" s="205">
        <v>3852950</v>
      </c>
      <c r="O29" s="231">
        <f t="shared" si="0"/>
        <v>-30000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v>46077</v>
      </c>
      <c r="C30" s="192"/>
      <c r="D30" s="191">
        <f>810000</f>
        <v>810000</v>
      </c>
      <c r="E30" s="192"/>
      <c r="F30" s="191"/>
      <c r="G30" s="192"/>
      <c r="H30" s="191">
        <f>600000+4500+130000+600000+920000+26000</f>
        <v>2280500</v>
      </c>
      <c r="I30" s="192">
        <f>4000+5000+100000</f>
        <v>109000</v>
      </c>
      <c r="J30" s="191">
        <f>4000+6800</f>
        <v>10800</v>
      </c>
      <c r="K30" s="192"/>
      <c r="L30" s="191">
        <f>66000+7000+1500</f>
        <v>74500</v>
      </c>
      <c r="M30" s="56">
        <f t="shared" si="1"/>
        <v>3284800</v>
      </c>
      <c r="N30" s="205">
        <f>3258800</f>
        <v>3258800</v>
      </c>
      <c r="O30" s="231">
        <f t="shared" si="0"/>
        <v>-26000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v>46078</v>
      </c>
      <c r="C31" s="199"/>
      <c r="D31" s="202">
        <f>10000</f>
        <v>10000</v>
      </c>
      <c r="E31" s="192">
        <f>75000</f>
        <v>75000</v>
      </c>
      <c r="F31" s="191">
        <f>5000</f>
        <v>5000</v>
      </c>
      <c r="G31" s="192">
        <f>300000+3000</f>
        <v>303000</v>
      </c>
      <c r="H31" s="191">
        <f>553000+60000+400000+35000+90000</f>
        <v>1138000</v>
      </c>
      <c r="I31" s="192">
        <f>4000+6500</f>
        <v>10500</v>
      </c>
      <c r="J31" s="191">
        <f>3500+45000+4900+38000</f>
        <v>91400</v>
      </c>
      <c r="K31" s="199"/>
      <c r="L31" s="198">
        <f>4000+4000</f>
        <v>8000</v>
      </c>
      <c r="M31" s="56">
        <f t="shared" si="1"/>
        <v>1640900</v>
      </c>
      <c r="N31" s="205">
        <v>1550900</v>
      </c>
      <c r="O31" s="231">
        <f t="shared" si="0"/>
        <v>-90000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v>46079</v>
      </c>
      <c r="C32" s="187">
        <f>700000</f>
        <v>700000</v>
      </c>
      <c r="D32" s="190"/>
      <c r="E32" s="189">
        <f>1660000</f>
        <v>1660000</v>
      </c>
      <c r="F32" s="190">
        <v>20000</v>
      </c>
      <c r="G32" s="187">
        <f>700000+350000</f>
        <v>1050000</v>
      </c>
      <c r="H32" s="190">
        <f>475000+16657+290000</f>
        <v>781657</v>
      </c>
      <c r="I32" s="189">
        <f>10000</f>
        <v>10000</v>
      </c>
      <c r="J32" s="190">
        <f>6700+6100</f>
        <v>12800</v>
      </c>
      <c r="K32" s="189">
        <f>160000</f>
        <v>160000</v>
      </c>
      <c r="L32" s="190">
        <f>106000+61200</f>
        <v>167200</v>
      </c>
      <c r="M32" s="56">
        <f t="shared" si="1"/>
        <v>4561657</v>
      </c>
      <c r="N32" s="205">
        <f>4541657+20000</f>
        <v>4561657</v>
      </c>
      <c r="O32" s="231">
        <f t="shared" si="0"/>
        <v>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v>46080</v>
      </c>
      <c r="C33" s="192"/>
      <c r="D33" s="191">
        <f>100000</f>
        <v>100000</v>
      </c>
      <c r="E33" s="192">
        <f>5000</f>
        <v>5000</v>
      </c>
      <c r="F33" s="191">
        <f>85000+25000</f>
        <v>110000</v>
      </c>
      <c r="G33" s="192">
        <f>40000+250000+500000+420000+355000+7000</f>
        <v>1572000</v>
      </c>
      <c r="H33" s="191">
        <f>45000+415000+370000+1310000+100000+14000+6500</f>
        <v>2260500</v>
      </c>
      <c r="I33" s="199"/>
      <c r="J33" s="191">
        <f>10200</f>
        <v>10200</v>
      </c>
      <c r="K33" s="192">
        <f>27000</f>
        <v>27000</v>
      </c>
      <c r="L33" s="191">
        <f>82500+18500</f>
        <v>101000</v>
      </c>
      <c r="M33" s="56">
        <f t="shared" si="1"/>
        <v>4185700</v>
      </c>
      <c r="N33" s="205">
        <f>4129200+50000</f>
        <v>4179200</v>
      </c>
      <c r="O33" s="231">
        <f t="shared" si="0"/>
        <v>-6500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v>46081</v>
      </c>
      <c r="C34" s="192"/>
      <c r="D34" s="191"/>
      <c r="E34" s="192"/>
      <c r="F34" s="191">
        <f>70000</f>
        <v>70000</v>
      </c>
      <c r="G34" s="192">
        <f>550000+595000</f>
        <v>1145000</v>
      </c>
      <c r="H34" s="191">
        <f>50000+3000+85000+150000+110000</f>
        <v>398000</v>
      </c>
      <c r="I34" s="192">
        <f>8000</f>
        <v>8000</v>
      </c>
      <c r="J34" s="191">
        <f>27050</f>
        <v>27050</v>
      </c>
      <c r="K34" s="192"/>
      <c r="L34" s="191">
        <f>15500</f>
        <v>15500</v>
      </c>
      <c r="M34" s="56">
        <f t="shared" si="1"/>
        <v>1663550</v>
      </c>
      <c r="N34" s="205">
        <v>1553550</v>
      </c>
      <c r="O34" s="231">
        <f t="shared" si="0"/>
        <v>-110000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/>
      <c r="C35" s="192"/>
      <c r="D35" s="191"/>
      <c r="E35" s="192"/>
      <c r="F35" s="191"/>
      <c r="G35" s="192"/>
      <c r="H35" s="191"/>
      <c r="I35" s="192"/>
      <c r="J35" s="191"/>
      <c r="K35" s="192"/>
      <c r="L35" s="191"/>
      <c r="M35" s="56"/>
      <c r="N35" s="205"/>
      <c r="O35" s="223"/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/>
      <c r="C36" s="192"/>
      <c r="D36" s="191"/>
      <c r="E36" s="192"/>
      <c r="F36" s="191"/>
      <c r="G36" s="192"/>
      <c r="H36" s="191"/>
      <c r="I36" s="192"/>
      <c r="J36" s="191"/>
      <c r="K36" s="192"/>
      <c r="L36" s="191"/>
      <c r="M36" s="56"/>
      <c r="N36" s="205"/>
      <c r="O36" s="223"/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191"/>
      <c r="E37" s="192"/>
      <c r="F37" s="191"/>
      <c r="G37" s="192"/>
      <c r="H37" s="191"/>
      <c r="I37" s="192"/>
      <c r="J37" s="191"/>
      <c r="K37" s="192"/>
      <c r="L37" s="191"/>
      <c r="M37" s="56"/>
      <c r="N37" s="205"/>
      <c r="O37" s="223"/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4740000</v>
      </c>
      <c r="D39" s="25">
        <f>SUM(D7:D38)</f>
        <v>3110000</v>
      </c>
      <c r="E39" s="24">
        <f t="shared" ref="E39:K39" si="2">SUM(E7:E38)</f>
        <v>6355000</v>
      </c>
      <c r="F39" s="59">
        <f t="shared" si="2"/>
        <v>5546000</v>
      </c>
      <c r="G39" s="24">
        <f t="shared" si="2"/>
        <v>30918950</v>
      </c>
      <c r="H39" s="25">
        <f>SUM(H7:H38)</f>
        <v>42584327</v>
      </c>
      <c r="I39" s="24">
        <f t="shared" si="2"/>
        <v>214700</v>
      </c>
      <c r="J39" s="25">
        <f>SUM(J7:J38)</f>
        <v>616810</v>
      </c>
      <c r="K39" s="24">
        <f t="shared" si="2"/>
        <v>786650</v>
      </c>
      <c r="L39" s="25">
        <f>SUM(L7:L38)</f>
        <v>2553621.87</v>
      </c>
      <c r="M39" s="28">
        <f>SUM(M7:M38)</f>
        <v>97426058.870000005</v>
      </c>
      <c r="N39" s="27">
        <f>SUM(N7:N38)</f>
        <v>96376058.400000006</v>
      </c>
      <c r="O39" s="26">
        <f>N39-M39</f>
        <v>-1050000.4699999988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7850000</v>
      </c>
      <c r="D40" s="282"/>
      <c r="E40" s="267">
        <f>SUM(E39:F39)</f>
        <v>11901000</v>
      </c>
      <c r="F40" s="268"/>
      <c r="G40" s="281">
        <f>SUM(G39:H39)</f>
        <v>73503277</v>
      </c>
      <c r="H40" s="282"/>
      <c r="I40" s="267">
        <f>SUM(I39:J39)</f>
        <v>831510</v>
      </c>
      <c r="J40" s="268"/>
      <c r="K40" s="281">
        <f>SUM(K39:L39)</f>
        <v>3340271.87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46053</v>
      </c>
      <c r="C45" s="203">
        <v>0</v>
      </c>
      <c r="D45" s="14"/>
      <c r="E45" s="203">
        <v>0</v>
      </c>
      <c r="F45" s="14"/>
      <c r="G45" s="203"/>
      <c r="H45" s="14">
        <v>2645000</v>
      </c>
      <c r="I45" s="203"/>
      <c r="J45" s="14">
        <v>7000</v>
      </c>
      <c r="K45" s="134"/>
      <c r="L45" s="14">
        <v>2718</v>
      </c>
      <c r="M45" s="203">
        <v>0</v>
      </c>
      <c r="N45" s="203">
        <f>F45+H45+J45+L45</f>
        <v>2654718</v>
      </c>
      <c r="O45" s="203">
        <f>N45-M45</f>
        <v>2654718</v>
      </c>
      <c r="P45" s="85">
        <v>46054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46081</v>
      </c>
      <c r="C48" s="203">
        <v>0</v>
      </c>
      <c r="D48" s="14"/>
      <c r="E48" s="203">
        <v>0</v>
      </c>
      <c r="F48" s="14">
        <v>70000</v>
      </c>
      <c r="G48" s="203">
        <v>0</v>
      </c>
      <c r="H48" s="14">
        <v>398000</v>
      </c>
      <c r="I48" s="203">
        <v>0</v>
      </c>
      <c r="J48" s="14">
        <v>27050</v>
      </c>
      <c r="K48" s="134">
        <v>0</v>
      </c>
      <c r="L48" s="14">
        <v>5500</v>
      </c>
      <c r="M48" s="203"/>
      <c r="N48" s="203">
        <f>F48+H48+J48+L48+D48</f>
        <v>500550</v>
      </c>
      <c r="O48" s="203">
        <f>N48-M48</f>
        <v>500550</v>
      </c>
      <c r="P48" s="151">
        <v>46082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-70000</v>
      </c>
      <c r="F50" s="263"/>
      <c r="G50" s="262">
        <f>H45+H46-H47-H48</f>
        <v>2247000</v>
      </c>
      <c r="H50" s="263"/>
      <c r="I50" s="262">
        <f>J45+J46-J47-J48</f>
        <v>-20050</v>
      </c>
      <c r="J50" s="263"/>
      <c r="K50" s="262">
        <f>L45+L46-L47-L48</f>
        <v>-2782</v>
      </c>
      <c r="L50" s="263"/>
    </row>
    <row r="51" spans="2:28" x14ac:dyDescent="0.25">
      <c r="B51" s="294" t="s">
        <v>12</v>
      </c>
      <c r="C51" s="295"/>
      <c r="D51" s="212">
        <f>D39+D50</f>
        <v>3110000</v>
      </c>
      <c r="E51" s="289">
        <f>F39+E50</f>
        <v>5476000</v>
      </c>
      <c r="F51" s="290"/>
      <c r="G51" s="289">
        <f>H39+G50</f>
        <v>44831327</v>
      </c>
      <c r="H51" s="290"/>
      <c r="I51" s="291">
        <f>J39+I50</f>
        <v>596760</v>
      </c>
      <c r="J51" s="292"/>
      <c r="K51" s="289">
        <f>L39+K50</f>
        <v>2550839.87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56564926.869999997</v>
      </c>
      <c r="E52" s="293"/>
      <c r="F52" s="293"/>
      <c r="G52" s="293"/>
      <c r="H52" s="293"/>
      <c r="I52" s="229"/>
      <c r="J52" s="229"/>
      <c r="K52" s="229"/>
      <c r="L52" s="229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23040.21225</v>
      </c>
      <c r="P54" s="87"/>
      <c r="S54">
        <v>5.5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43015300</v>
      </c>
      <c r="D55" s="149">
        <f>D39+H39+F39+J39+L39</f>
        <v>54410758.869999997</v>
      </c>
      <c r="E55" s="58"/>
      <c r="F55" s="58"/>
      <c r="M55" s="63" t="s">
        <v>25</v>
      </c>
      <c r="N55" s="64">
        <f>N59*S55/100</f>
        <v>40634.556149999997</v>
      </c>
      <c r="P55" s="88"/>
      <c r="S55">
        <v>9.6999999999999993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97426058.870000005</v>
      </c>
      <c r="D56" s="285"/>
      <c r="E56" s="57"/>
      <c r="F56" s="57"/>
      <c r="M56" s="63" t="s">
        <v>28</v>
      </c>
      <c r="N56" s="64">
        <f>N59*S56/100</f>
        <v>331779.0564</v>
      </c>
      <c r="R56" s="87"/>
      <c r="S56">
        <v>79.2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4608.0424500000008</v>
      </c>
      <c r="S57">
        <v>1.1000000000000001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18851.082750000001</v>
      </c>
      <c r="S58">
        <v>4.5</v>
      </c>
      <c r="Y58" s="4"/>
      <c r="AA58" s="78"/>
      <c r="AB58" s="68"/>
    </row>
    <row r="59" spans="2:28" x14ac:dyDescent="0.25">
      <c r="J59" t="s">
        <v>3</v>
      </c>
      <c r="N59" s="64">
        <v>418912.95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99580226.870000005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F326-8714-4637-A151-C9653C5D148A}">
  <sheetPr>
    <pageSetUpPr fitToPage="1"/>
  </sheetPr>
  <dimension ref="A1:AB72"/>
  <sheetViews>
    <sheetView topLeftCell="A4" workbookViewId="0">
      <selection activeCell="D21" sqref="D21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146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46082</v>
      </c>
      <c r="C7" s="192"/>
      <c r="D7" s="191"/>
      <c r="E7" s="192"/>
      <c r="F7" s="191"/>
      <c r="G7" s="193">
        <f>200000+15000</f>
        <v>215000</v>
      </c>
      <c r="H7" s="194">
        <f>190000+3000+605000+500000+24500</f>
        <v>1322500</v>
      </c>
      <c r="I7" s="193"/>
      <c r="J7" s="194">
        <f>10200+4000</f>
        <v>14200</v>
      </c>
      <c r="K7" s="193"/>
      <c r="L7" s="194"/>
      <c r="M7" s="56">
        <f>SUM(C7:L7)</f>
        <v>1551700</v>
      </c>
      <c r="N7" s="205">
        <v>1527200</v>
      </c>
      <c r="O7" s="230">
        <f>N7-M7</f>
        <v>-24500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v>46083</v>
      </c>
      <c r="C8" s="195"/>
      <c r="D8" s="191"/>
      <c r="E8" s="192"/>
      <c r="F8" s="191">
        <f>680000</f>
        <v>680000</v>
      </c>
      <c r="G8" s="195">
        <f>600000+3000+300000+500000</f>
        <v>1403000</v>
      </c>
      <c r="H8" s="191">
        <f>700000+540000+6000+600000+1500+440000+14000+480000+120000+25000</f>
        <v>2926500</v>
      </c>
      <c r="I8" s="195">
        <f>7900+4000</f>
        <v>11900</v>
      </c>
      <c r="J8" s="191"/>
      <c r="K8" s="195">
        <f>18495</f>
        <v>18495</v>
      </c>
      <c r="L8" s="191">
        <f>68550+20000</f>
        <v>88550</v>
      </c>
      <c r="M8" s="56">
        <f t="shared" ref="M8:M37" si="0">SUM(C8:L8)</f>
        <v>5128445</v>
      </c>
      <c r="N8" s="205">
        <v>5103445</v>
      </c>
      <c r="O8" s="230">
        <f t="shared" ref="O8:O37" si="1">N8-M8</f>
        <v>-25000</v>
      </c>
      <c r="Z8" s="78"/>
      <c r="AB8" s="68"/>
    </row>
    <row r="9" spans="2:28" x14ac:dyDescent="0.25">
      <c r="B9" s="15">
        <v>46084</v>
      </c>
      <c r="C9" s="192"/>
      <c r="D9" s="196"/>
      <c r="E9" s="192"/>
      <c r="F9" s="191">
        <f>955000</f>
        <v>955000</v>
      </c>
      <c r="G9" s="192">
        <f>1500+495000+740000</f>
        <v>1236500</v>
      </c>
      <c r="H9" s="191">
        <f>400000+600000+1500+400000+450000+1500+6500</f>
        <v>1859500</v>
      </c>
      <c r="I9" s="192">
        <f>4200+19500</f>
        <v>23700</v>
      </c>
      <c r="J9" s="191">
        <f>10200</f>
        <v>10200</v>
      </c>
      <c r="K9" s="192"/>
      <c r="L9" s="191">
        <f>41500</f>
        <v>41500</v>
      </c>
      <c r="M9" s="56">
        <f t="shared" si="0"/>
        <v>4126400</v>
      </c>
      <c r="N9" s="205">
        <v>4119900</v>
      </c>
      <c r="O9" s="230">
        <f t="shared" si="1"/>
        <v>-6500</v>
      </c>
      <c r="P9" s="101"/>
      <c r="Z9" s="78"/>
      <c r="AB9" s="68"/>
    </row>
    <row r="10" spans="2:28" x14ac:dyDescent="0.25">
      <c r="B10" s="15">
        <v>46085</v>
      </c>
      <c r="C10" s="192"/>
      <c r="D10" s="196">
        <f>20000</f>
        <v>20000</v>
      </c>
      <c r="E10" s="192"/>
      <c r="F10" s="191">
        <f>1560000</f>
        <v>1560000</v>
      </c>
      <c r="G10" s="192"/>
      <c r="H10" s="191">
        <f>370000+200000+13000</f>
        <v>583000</v>
      </c>
      <c r="I10" s="192">
        <f>10000</f>
        <v>10000</v>
      </c>
      <c r="J10" s="191">
        <f>4000+30900+13700+17670</f>
        <v>66270</v>
      </c>
      <c r="K10" s="192">
        <f>5000</f>
        <v>5000</v>
      </c>
      <c r="L10" s="191">
        <f>14000+154975</f>
        <v>168975</v>
      </c>
      <c r="M10" s="56">
        <f t="shared" si="0"/>
        <v>2413245</v>
      </c>
      <c r="N10" s="205">
        <v>2400245</v>
      </c>
      <c r="O10" s="230">
        <f>N10-M10</f>
        <v>-13000</v>
      </c>
      <c r="P10" s="101"/>
      <c r="Z10" s="78"/>
      <c r="AB10" s="68"/>
    </row>
    <row r="11" spans="2:28" x14ac:dyDescent="0.25">
      <c r="B11" s="15">
        <v>46086</v>
      </c>
      <c r="C11" s="195"/>
      <c r="D11" s="191">
        <f>1100000</f>
        <v>1100000</v>
      </c>
      <c r="E11" s="192">
        <f>685000</f>
        <v>685000</v>
      </c>
      <c r="F11" s="191">
        <f>500000</f>
        <v>500000</v>
      </c>
      <c r="G11" s="195">
        <f>6000+370000+180000</f>
        <v>556000</v>
      </c>
      <c r="H11" s="195">
        <f>700000+540000+420000+10000+9000+7000</f>
        <v>1686000</v>
      </c>
      <c r="I11" s="195">
        <f>6750</f>
        <v>6750</v>
      </c>
      <c r="J11" s="191">
        <f>8000</f>
        <v>8000</v>
      </c>
      <c r="K11" s="195"/>
      <c r="L11" s="191">
        <f>50500</f>
        <v>50500</v>
      </c>
      <c r="M11" s="56">
        <f t="shared" si="0"/>
        <v>4592250</v>
      </c>
      <c r="N11" s="205">
        <v>4585280</v>
      </c>
      <c r="O11" s="230">
        <f t="shared" ref="O11:O13" si="2">N11-M11</f>
        <v>-6970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v>46087</v>
      </c>
      <c r="C12" s="192"/>
      <c r="D12" s="191"/>
      <c r="E12" s="192">
        <f>20000</f>
        <v>20000</v>
      </c>
      <c r="F12" s="191"/>
      <c r="G12" s="192">
        <f>338000+600000+700000</f>
        <v>1638000</v>
      </c>
      <c r="H12" s="191">
        <f>202000+745000+350000+21000</f>
        <v>1318000</v>
      </c>
      <c r="I12" s="192">
        <f>3500</f>
        <v>3500</v>
      </c>
      <c r="J12" s="191">
        <f>5660</f>
        <v>5660</v>
      </c>
      <c r="K12" s="192">
        <f>18800+120000</f>
        <v>138800</v>
      </c>
      <c r="L12" s="191">
        <f>23550+108500</f>
        <v>132050</v>
      </c>
      <c r="M12" s="56">
        <f t="shared" si="0"/>
        <v>3256010</v>
      </c>
      <c r="N12" s="205">
        <v>3256010</v>
      </c>
      <c r="O12" s="230">
        <f t="shared" si="2"/>
        <v>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v>46088</v>
      </c>
      <c r="C13" s="192"/>
      <c r="D13" s="191"/>
      <c r="E13" s="192"/>
      <c r="F13" s="191"/>
      <c r="G13" s="192">
        <f>360000+645000+55000</f>
        <v>1060000</v>
      </c>
      <c r="H13" s="191">
        <f>80000+750000+3000+15000+44000</f>
        <v>892000</v>
      </c>
      <c r="I13" s="192"/>
      <c r="J13" s="191">
        <f>4000</f>
        <v>4000</v>
      </c>
      <c r="K13" s="192"/>
      <c r="L13" s="191">
        <f>164900+120000</f>
        <v>284900</v>
      </c>
      <c r="M13" s="56">
        <f t="shared" si="0"/>
        <v>2240900</v>
      </c>
      <c r="N13" s="205">
        <v>2196900</v>
      </c>
      <c r="O13" s="230">
        <f t="shared" si="2"/>
        <v>-44000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v>46089</v>
      </c>
      <c r="C14" s="192"/>
      <c r="D14" s="191"/>
      <c r="E14" s="192"/>
      <c r="F14" s="191"/>
      <c r="G14" s="192"/>
      <c r="H14" s="191">
        <f>640000+1620000+32000</f>
        <v>2292000</v>
      </c>
      <c r="I14" s="192"/>
      <c r="J14" s="191">
        <f>18760.8</f>
        <v>18760.8</v>
      </c>
      <c r="K14" s="192"/>
      <c r="L14" s="191"/>
      <c r="M14" s="56">
        <f t="shared" si="0"/>
        <v>2310760.7999999998</v>
      </c>
      <c r="N14" s="205">
        <v>2278760.7999999998</v>
      </c>
      <c r="O14" s="230">
        <f>N14-M14</f>
        <v>-32000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v>46090</v>
      </c>
      <c r="C15" s="192"/>
      <c r="D15" s="200">
        <f>20000</f>
        <v>20000</v>
      </c>
      <c r="E15" s="192"/>
      <c r="F15" s="191"/>
      <c r="G15" s="192">
        <f>75000+5000+543000</f>
        <v>623000</v>
      </c>
      <c r="H15" s="191">
        <f>21000+425000+12000+600000+75000</f>
        <v>1133000</v>
      </c>
      <c r="I15" s="192"/>
      <c r="J15" s="191">
        <f>32200+10830+20400</f>
        <v>63430</v>
      </c>
      <c r="K15" s="192">
        <f>6600</f>
        <v>6600</v>
      </c>
      <c r="L15" s="191">
        <f>37000+16500</f>
        <v>53500</v>
      </c>
      <c r="M15" s="56">
        <f t="shared" si="0"/>
        <v>1899530</v>
      </c>
      <c r="N15" s="205">
        <v>1824530</v>
      </c>
      <c r="O15" s="230">
        <f t="shared" si="1"/>
        <v>-75000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v>46091</v>
      </c>
      <c r="C16" s="197"/>
      <c r="D16" s="191"/>
      <c r="E16" s="192">
        <f>680000</f>
        <v>680000</v>
      </c>
      <c r="F16" s="191">
        <f>450000+240000</f>
        <v>690000</v>
      </c>
      <c r="G16" s="197">
        <f>530000</f>
        <v>530000</v>
      </c>
      <c r="H16" s="191">
        <f>300000+600000+121500+2000+850000+10000+38500</f>
        <v>1922000</v>
      </c>
      <c r="I16" s="195"/>
      <c r="J16" s="191">
        <f>4000+3500</f>
        <v>7500</v>
      </c>
      <c r="K16" s="195">
        <f>5000</f>
        <v>5000</v>
      </c>
      <c r="L16" s="191"/>
      <c r="M16" s="56">
        <f t="shared" si="0"/>
        <v>3834500</v>
      </c>
      <c r="N16" s="205">
        <v>3796000</v>
      </c>
      <c r="O16" s="230">
        <f t="shared" si="1"/>
        <v>-38500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v>46092</v>
      </c>
      <c r="C17" s="216"/>
      <c r="D17" s="217">
        <f>900000+10000</f>
        <v>910000</v>
      </c>
      <c r="E17" s="218">
        <f>85000</f>
        <v>85000</v>
      </c>
      <c r="F17" s="219">
        <f>400000</f>
        <v>400000</v>
      </c>
      <c r="G17" s="216">
        <f>800000</f>
        <v>800000</v>
      </c>
      <c r="H17" s="219">
        <f>810000+200000+8000+18000</f>
        <v>1036000</v>
      </c>
      <c r="I17" s="216">
        <f>18100</f>
        <v>18100</v>
      </c>
      <c r="J17" s="219">
        <f>4700+6500</f>
        <v>11200</v>
      </c>
      <c r="K17" s="216">
        <f>7500</f>
        <v>7500</v>
      </c>
      <c r="L17" s="219">
        <f>180000+17500</f>
        <v>197500</v>
      </c>
      <c r="M17" s="56">
        <f t="shared" si="0"/>
        <v>3465300</v>
      </c>
      <c r="N17" s="205">
        <v>3447300</v>
      </c>
      <c r="O17" s="231">
        <f>N17-M17</f>
        <v>-18000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v>46093</v>
      </c>
      <c r="C18" s="195">
        <f>10000</f>
        <v>10000</v>
      </c>
      <c r="D18" s="191">
        <f>900000</f>
        <v>900000</v>
      </c>
      <c r="E18" s="192"/>
      <c r="F18" s="191"/>
      <c r="G18" s="195">
        <f>900000+140000+500000+1500</f>
        <v>1541500</v>
      </c>
      <c r="H18" s="191">
        <f>540000+3000+400000+1240000+600000+700000+3000+26000</f>
        <v>3512000</v>
      </c>
      <c r="I18" s="195"/>
      <c r="J18" s="191">
        <f>4000+4900</f>
        <v>8900</v>
      </c>
      <c r="K18" s="195">
        <f>117000</f>
        <v>117000</v>
      </c>
      <c r="L18" s="191">
        <f>58400+180000</f>
        <v>238400</v>
      </c>
      <c r="M18" s="56">
        <f t="shared" si="0"/>
        <v>6327800</v>
      </c>
      <c r="N18" s="205">
        <v>6301800</v>
      </c>
      <c r="O18" s="231">
        <f t="shared" si="1"/>
        <v>-26000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v>46094</v>
      </c>
      <c r="C19" s="192">
        <f>1500000</f>
        <v>1500000</v>
      </c>
      <c r="D19" s="191"/>
      <c r="E19" s="192"/>
      <c r="F19" s="191"/>
      <c r="G19" s="192">
        <f>3000+1500+540000+5000</f>
        <v>549500</v>
      </c>
      <c r="H19" s="191">
        <f>28000+530000+790000+4500+600000+24000</f>
        <v>1976500</v>
      </c>
      <c r="I19" s="192">
        <f>3500</f>
        <v>3500</v>
      </c>
      <c r="J19" s="191">
        <f>855+6500</f>
        <v>7355</v>
      </c>
      <c r="K19" s="192"/>
      <c r="L19" s="191">
        <f>127500+4000</f>
        <v>131500</v>
      </c>
      <c r="M19" s="56">
        <f t="shared" si="0"/>
        <v>4168355</v>
      </c>
      <c r="N19" s="205">
        <v>4144355</v>
      </c>
      <c r="O19" s="231">
        <f t="shared" si="1"/>
        <v>-24000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v>46095</v>
      </c>
      <c r="C20" s="192"/>
      <c r="D20" s="188"/>
      <c r="E20" s="192"/>
      <c r="F20" s="191"/>
      <c r="G20" s="192">
        <f>600000+4000+900000+310000</f>
        <v>1814000</v>
      </c>
      <c r="H20" s="191">
        <f>800000+165000+5000+610000+12000+360000+380000+50000</f>
        <v>2382000</v>
      </c>
      <c r="I20" s="192"/>
      <c r="J20" s="191">
        <f>8000+15000</f>
        <v>23000</v>
      </c>
      <c r="K20" s="192">
        <f>20000</f>
        <v>20000</v>
      </c>
      <c r="L20" s="191">
        <f>67000</f>
        <v>67000</v>
      </c>
      <c r="M20" s="56">
        <f t="shared" si="0"/>
        <v>4306000</v>
      </c>
      <c r="N20" s="205">
        <v>4256000</v>
      </c>
      <c r="O20" s="231">
        <f t="shared" si="1"/>
        <v>-50000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v>46096</v>
      </c>
      <c r="C21" s="192"/>
      <c r="D21" s="191">
        <f>850000</f>
        <v>850000</v>
      </c>
      <c r="E21" s="192"/>
      <c r="F21" s="191"/>
      <c r="G21" s="192">
        <f>300000+280000</f>
        <v>580000</v>
      </c>
      <c r="H21" s="191">
        <f>269500+240000+5000+1500+440000+350000+175000+370000+65000</f>
        <v>1916000</v>
      </c>
      <c r="I21" s="192">
        <f>4000</f>
        <v>4000</v>
      </c>
      <c r="J21" s="191"/>
      <c r="K21" s="192">
        <f>10000</f>
        <v>10000</v>
      </c>
      <c r="L21" s="191">
        <f>164000+14000</f>
        <v>178000</v>
      </c>
      <c r="M21" s="56">
        <f t="shared" si="0"/>
        <v>3538000</v>
      </c>
      <c r="N21" s="205">
        <v>3473000</v>
      </c>
      <c r="O21" s="232">
        <f t="shared" si="1"/>
        <v>-65000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v>46097</v>
      </c>
      <c r="C22" s="192">
        <f>10000</f>
        <v>10000</v>
      </c>
      <c r="D22" s="200">
        <f>20000</f>
        <v>20000</v>
      </c>
      <c r="E22" s="192"/>
      <c r="F22" s="191"/>
      <c r="G22" s="192">
        <f>590000+1738000+500000+595000+500000</f>
        <v>3923000</v>
      </c>
      <c r="H22" s="191">
        <f>7000+470000+1500+73000</f>
        <v>551500</v>
      </c>
      <c r="I22" s="192">
        <f>4000+3500</f>
        <v>7500</v>
      </c>
      <c r="J22" s="191">
        <f>4000+15000+4000+4000</f>
        <v>27000</v>
      </c>
      <c r="K22" s="189">
        <f>26500</f>
        <v>26500</v>
      </c>
      <c r="L22" s="190">
        <f>2000+18000</f>
        <v>20000</v>
      </c>
      <c r="M22" s="56">
        <f t="shared" si="0"/>
        <v>4585500</v>
      </c>
      <c r="N22" s="205">
        <v>4512500</v>
      </c>
      <c r="O22" s="231">
        <f t="shared" si="1"/>
        <v>-73000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v>46098</v>
      </c>
      <c r="C23" s="192">
        <f>1000000</f>
        <v>1000000</v>
      </c>
      <c r="D23" s="191"/>
      <c r="E23" s="192">
        <f>1000000</f>
        <v>1000000</v>
      </c>
      <c r="F23" s="191">
        <f>85000</f>
        <v>85000</v>
      </c>
      <c r="G23" s="192">
        <f>1050000+660000+50000+300000</f>
        <v>2060000</v>
      </c>
      <c r="H23" s="191">
        <f>530000+15000+10000+430000+500000+77000</f>
        <v>1562000</v>
      </c>
      <c r="I23" s="192"/>
      <c r="J23" s="191">
        <f>8400+12000+27500</f>
        <v>47900</v>
      </c>
      <c r="K23" s="192">
        <f>88500</f>
        <v>88500</v>
      </c>
      <c r="L23" s="191">
        <f>31900</f>
        <v>31900</v>
      </c>
      <c r="M23" s="56">
        <f t="shared" si="0"/>
        <v>5875300</v>
      </c>
      <c r="N23" s="205">
        <v>5798300</v>
      </c>
      <c r="O23" s="232">
        <f t="shared" si="1"/>
        <v>-77000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v>46099</v>
      </c>
      <c r="C24" s="195">
        <f>615600</f>
        <v>615600</v>
      </c>
      <c r="D24" s="191">
        <f>219400</f>
        <v>219400</v>
      </c>
      <c r="E24" s="192">
        <f>1560000</f>
        <v>1560000</v>
      </c>
      <c r="F24" s="191"/>
      <c r="G24" s="195">
        <f>140000+200000+510000+590000</f>
        <v>1440000</v>
      </c>
      <c r="H24" s="191">
        <f>4000+10000+9500+600000+29500</f>
        <v>653000</v>
      </c>
      <c r="I24" s="195"/>
      <c r="J24" s="191">
        <f>11500</f>
        <v>11500</v>
      </c>
      <c r="K24" s="195">
        <v>3500</v>
      </c>
      <c r="L24" s="191">
        <f>12000</f>
        <v>12000</v>
      </c>
      <c r="M24" s="56">
        <f t="shared" si="0"/>
        <v>4515000</v>
      </c>
      <c r="N24" s="205">
        <v>4485500</v>
      </c>
      <c r="O24" s="232">
        <f t="shared" si="1"/>
        <v>-29500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v>46100</v>
      </c>
      <c r="C25" s="192"/>
      <c r="D25" s="191"/>
      <c r="E25" s="192"/>
      <c r="F25" s="191">
        <f>150000</f>
        <v>150000</v>
      </c>
      <c r="G25" s="192">
        <f>1445000</f>
        <v>1445000</v>
      </c>
      <c r="H25" s="191">
        <f>203000+678500+380000+540000+150000+52000</f>
        <v>2003500</v>
      </c>
      <c r="I25" s="192"/>
      <c r="J25" s="191">
        <f>8700</f>
        <v>8700</v>
      </c>
      <c r="K25" s="192">
        <f>3500</f>
        <v>3500</v>
      </c>
      <c r="L25" s="191">
        <f>118790</f>
        <v>118790</v>
      </c>
      <c r="M25" s="56">
        <f t="shared" si="0"/>
        <v>3729490</v>
      </c>
      <c r="N25" s="205">
        <v>3677490</v>
      </c>
      <c r="O25" s="232">
        <f t="shared" si="1"/>
        <v>-52000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v>46101</v>
      </c>
      <c r="C26" s="192"/>
      <c r="D26" s="191"/>
      <c r="E26" s="192"/>
      <c r="F26" s="191">
        <f>15000</f>
        <v>15000</v>
      </c>
      <c r="G26" s="192">
        <f>1500+14000</f>
        <v>15500</v>
      </c>
      <c r="H26" s="191">
        <f>21000+400000+290000+80000+383000+17900</f>
        <v>1191900</v>
      </c>
      <c r="I26" s="192"/>
      <c r="J26" s="191">
        <f>6500</f>
        <v>6500</v>
      </c>
      <c r="K26" s="192">
        <f>33000+4000</f>
        <v>37000</v>
      </c>
      <c r="L26" s="191">
        <f>184800+46196</f>
        <v>230996</v>
      </c>
      <c r="M26" s="56">
        <f t="shared" si="0"/>
        <v>1496896</v>
      </c>
      <c r="N26" s="205">
        <v>1478996</v>
      </c>
      <c r="O26" s="231">
        <f t="shared" si="1"/>
        <v>-17900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v>46102</v>
      </c>
      <c r="C27" s="192"/>
      <c r="D27" s="191"/>
      <c r="E27" s="192"/>
      <c r="F27" s="191"/>
      <c r="G27" s="192">
        <f>5000+700000</f>
        <v>705000</v>
      </c>
      <c r="H27" s="191">
        <f>3000+265000+410000+3000+3000+590000+1245500+25000</f>
        <v>2544500</v>
      </c>
      <c r="I27" s="192">
        <f>6500</f>
        <v>6500</v>
      </c>
      <c r="J27" s="198">
        <f>4500+16000</f>
        <v>20500</v>
      </c>
      <c r="K27" s="192"/>
      <c r="L27" s="191"/>
      <c r="M27" s="56">
        <f t="shared" si="0"/>
        <v>3276500</v>
      </c>
      <c r="N27" s="205">
        <v>3251500</v>
      </c>
      <c r="O27" s="231">
        <f t="shared" si="1"/>
        <v>-25000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v>46103</v>
      </c>
      <c r="C28" s="192"/>
      <c r="D28" s="191"/>
      <c r="E28" s="192"/>
      <c r="F28" s="191"/>
      <c r="G28" s="192">
        <f>540000+3500+430000+700000</f>
        <v>1673500</v>
      </c>
      <c r="H28" s="191">
        <f>890000+4000+80000+630000+700000+36500</f>
        <v>2340500</v>
      </c>
      <c r="I28" s="192">
        <f>10200+6850</f>
        <v>17050</v>
      </c>
      <c r="J28" s="198">
        <f>9500+6825.75</f>
        <v>16325.75</v>
      </c>
      <c r="K28" s="192">
        <f>2500</f>
        <v>2500</v>
      </c>
      <c r="L28" s="191">
        <f>24000+18000</f>
        <v>42000</v>
      </c>
      <c r="M28" s="56">
        <f t="shared" si="0"/>
        <v>4091875.75</v>
      </c>
      <c r="N28" s="205">
        <f>4055375.75</f>
        <v>4055375.75</v>
      </c>
      <c r="O28" s="231">
        <f t="shared" si="1"/>
        <v>-36500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v>46104</v>
      </c>
      <c r="C29" s="192">
        <f>10000</f>
        <v>10000</v>
      </c>
      <c r="D29" s="191">
        <f>874900</f>
        <v>874900</v>
      </c>
      <c r="E29" s="192"/>
      <c r="F29" s="191"/>
      <c r="G29" s="192">
        <f>100000+350000+35000.05</f>
        <v>485000.05</v>
      </c>
      <c r="H29" s="191">
        <f>440000+1500+10000+450000+12000</f>
        <v>913500</v>
      </c>
      <c r="I29" s="192">
        <f>22866.5</f>
        <v>22866.5</v>
      </c>
      <c r="J29" s="191">
        <f>6500</f>
        <v>6500</v>
      </c>
      <c r="K29" s="192"/>
      <c r="L29" s="191">
        <f>29300</f>
        <v>29300</v>
      </c>
      <c r="M29" s="56">
        <f t="shared" si="0"/>
        <v>2342066.5499999998</v>
      </c>
      <c r="N29" s="205">
        <v>2330066.5499999998</v>
      </c>
      <c r="O29" s="231">
        <f t="shared" si="1"/>
        <v>-12000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v>46105</v>
      </c>
      <c r="C30" s="192"/>
      <c r="D30" s="191">
        <f>50000</f>
        <v>50000</v>
      </c>
      <c r="E30" s="192"/>
      <c r="F30" s="191">
        <f>1160000</f>
        <v>1160000</v>
      </c>
      <c r="G30" s="192">
        <f>4000</f>
        <v>4000</v>
      </c>
      <c r="H30" s="191">
        <f>8000+1355000+170000+750000+13500</f>
        <v>2296500</v>
      </c>
      <c r="I30" s="192"/>
      <c r="J30" s="191">
        <f>13000+6500+4200</f>
        <v>23700</v>
      </c>
      <c r="K30" s="192"/>
      <c r="L30" s="191">
        <f>115925</f>
        <v>115925</v>
      </c>
      <c r="M30" s="56">
        <f t="shared" si="0"/>
        <v>3650125</v>
      </c>
      <c r="N30" s="205">
        <v>3636625</v>
      </c>
      <c r="O30" s="231">
        <f t="shared" si="1"/>
        <v>-13500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v>46106</v>
      </c>
      <c r="C31" s="199"/>
      <c r="D31" s="202">
        <f>10000</f>
        <v>10000</v>
      </c>
      <c r="E31" s="192"/>
      <c r="F31" s="191">
        <f>765000</f>
        <v>765000</v>
      </c>
      <c r="G31" s="192">
        <f>230000</f>
        <v>230000</v>
      </c>
      <c r="H31" s="191">
        <f>784500+580000+950000+740000+111000</f>
        <v>3165500</v>
      </c>
      <c r="I31" s="192"/>
      <c r="J31" s="191">
        <f>4000</f>
        <v>4000</v>
      </c>
      <c r="K31" s="199"/>
      <c r="L31" s="198">
        <f>76700</f>
        <v>76700</v>
      </c>
      <c r="M31" s="56">
        <f t="shared" si="0"/>
        <v>4251200</v>
      </c>
      <c r="N31" s="205">
        <v>4140200</v>
      </c>
      <c r="O31" s="231">
        <f t="shared" si="1"/>
        <v>-111000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v>46107</v>
      </c>
      <c r="C32" s="187">
        <f>1700000</f>
        <v>1700000</v>
      </c>
      <c r="D32" s="190"/>
      <c r="E32" s="189">
        <f>680000</f>
        <v>680000</v>
      </c>
      <c r="F32" s="190">
        <f>170000</f>
        <v>170000</v>
      </c>
      <c r="G32" s="187">
        <f>60000+200000+220000+220000+220000+645000</f>
        <v>1565000</v>
      </c>
      <c r="H32" s="190">
        <f>420000+2000+12000+3000+115000</f>
        <v>552000</v>
      </c>
      <c r="I32" s="189">
        <f>37800+10200</f>
        <v>48000</v>
      </c>
      <c r="J32" s="190">
        <f>8400+4000+37800</f>
        <v>50200</v>
      </c>
      <c r="K32" s="189">
        <f>2800</f>
        <v>2800</v>
      </c>
      <c r="L32" s="190">
        <f>66500</f>
        <v>66500</v>
      </c>
      <c r="M32" s="56">
        <f t="shared" si="0"/>
        <v>4834500</v>
      </c>
      <c r="N32" s="205">
        <v>4719500</v>
      </c>
      <c r="O32" s="231">
        <f t="shared" si="1"/>
        <v>-115000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v>46108</v>
      </c>
      <c r="C33" s="192">
        <f>1100000</f>
        <v>1100000</v>
      </c>
      <c r="D33" s="191"/>
      <c r="E33" s="192">
        <f>5000</f>
        <v>5000</v>
      </c>
      <c r="F33" s="191">
        <f>10000</f>
        <v>10000</v>
      </c>
      <c r="G33" s="192">
        <f>3000+540000+530000</f>
        <v>1073000</v>
      </c>
      <c r="H33" s="191">
        <f>350000+3000+5000+450000+17000</f>
        <v>825000</v>
      </c>
      <c r="I33" s="199"/>
      <c r="J33" s="191">
        <f>16500</f>
        <v>16500</v>
      </c>
      <c r="K33" s="192">
        <f>7500</f>
        <v>7500</v>
      </c>
      <c r="L33" s="191">
        <f>4000+96500</f>
        <v>100500</v>
      </c>
      <c r="M33" s="56">
        <f t="shared" si="0"/>
        <v>3137500</v>
      </c>
      <c r="N33" s="205">
        <v>3120500</v>
      </c>
      <c r="O33" s="231">
        <f t="shared" si="1"/>
        <v>-17000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v>46109</v>
      </c>
      <c r="C34" s="192"/>
      <c r="D34" s="191"/>
      <c r="E34" s="192"/>
      <c r="F34" s="191"/>
      <c r="G34" s="192">
        <f>750000+1500+1002000+500000+550000+500000+550000</f>
        <v>3853500</v>
      </c>
      <c r="H34" s="191">
        <f>450000+1500+130000+660000+450000+2047500+26000</f>
        <v>3765000</v>
      </c>
      <c r="I34" s="192">
        <f>4000</f>
        <v>4000</v>
      </c>
      <c r="J34" s="191">
        <f>15770+24500</f>
        <v>40270</v>
      </c>
      <c r="K34" s="192">
        <f>7000</f>
        <v>7000</v>
      </c>
      <c r="L34" s="191">
        <f>5000</f>
        <v>5000</v>
      </c>
      <c r="M34" s="56">
        <f t="shared" si="0"/>
        <v>7674770</v>
      </c>
      <c r="N34" s="205">
        <v>7648770</v>
      </c>
      <c r="O34" s="231">
        <f t="shared" si="1"/>
        <v>-26000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v>46110</v>
      </c>
      <c r="C35" s="192"/>
      <c r="D35" s="200"/>
      <c r="E35" s="192"/>
      <c r="F35" s="191"/>
      <c r="G35" s="199">
        <f>600000+300000+5000+2000</f>
        <v>907000</v>
      </c>
      <c r="H35" s="198">
        <f>2000+570000+6000+2000+100000+540000+10000</f>
        <v>1230000</v>
      </c>
      <c r="I35" s="199"/>
      <c r="J35" s="198">
        <f>15000</f>
        <v>15000</v>
      </c>
      <c r="K35" s="199">
        <f>21500</f>
        <v>21500</v>
      </c>
      <c r="L35" s="198">
        <f>39500+22000</f>
        <v>61500</v>
      </c>
      <c r="M35" s="56">
        <f t="shared" si="0"/>
        <v>2235000</v>
      </c>
      <c r="N35" s="205">
        <v>2225000</v>
      </c>
      <c r="O35" s="231">
        <f t="shared" si="1"/>
        <v>-10000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v>46111</v>
      </c>
      <c r="C36" s="192"/>
      <c r="D36" s="200">
        <f>10000</f>
        <v>10000</v>
      </c>
      <c r="E36" s="192"/>
      <c r="F36" s="191"/>
      <c r="G36" s="192">
        <f>950000+650000+7000+200000</f>
        <v>1807000</v>
      </c>
      <c r="H36" s="191">
        <f>690000+600000+20000+1500+29000</f>
        <v>1340500</v>
      </c>
      <c r="I36" s="192">
        <f>10200</f>
        <v>10200</v>
      </c>
      <c r="J36" s="191">
        <f>8000+4500</f>
        <v>12500</v>
      </c>
      <c r="K36" s="192">
        <f>66000+8000</f>
        <v>74000</v>
      </c>
      <c r="L36" s="191">
        <f>4000+96500+2790</f>
        <v>103290</v>
      </c>
      <c r="M36" s="56">
        <f t="shared" si="0"/>
        <v>3357490</v>
      </c>
      <c r="N36" s="205">
        <v>3328490</v>
      </c>
      <c r="O36" s="231">
        <f t="shared" si="1"/>
        <v>-29000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46112</v>
      </c>
      <c r="C37" s="192"/>
      <c r="D37" s="200"/>
      <c r="E37" s="192">
        <f>750000</f>
        <v>750000</v>
      </c>
      <c r="F37" s="191">
        <f>745000</f>
        <v>745000</v>
      </c>
      <c r="G37" s="192">
        <f>600000+17500</f>
        <v>617500</v>
      </c>
      <c r="H37" s="191">
        <f>175000+700000+1500+620000+550000+400000+88500+0.6</f>
        <v>2535000.6</v>
      </c>
      <c r="I37" s="192"/>
      <c r="J37" s="191"/>
      <c r="K37" s="192">
        <f>64500</f>
        <v>64500</v>
      </c>
      <c r="L37" s="191">
        <f>12000</f>
        <v>12000</v>
      </c>
      <c r="M37" s="56">
        <f t="shared" si="0"/>
        <v>4724000.5999999996</v>
      </c>
      <c r="N37" s="205">
        <v>4635500</v>
      </c>
      <c r="O37" s="231">
        <f t="shared" si="1"/>
        <v>-88500.599999999627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5945600</v>
      </c>
      <c r="D39" s="25">
        <f>SUM(D7:D38)</f>
        <v>4984300</v>
      </c>
      <c r="E39" s="24">
        <f t="shared" ref="E39:K39" si="3">SUM(E7:E38)</f>
        <v>5465000</v>
      </c>
      <c r="F39" s="59">
        <f t="shared" si="3"/>
        <v>7885000</v>
      </c>
      <c r="G39" s="24">
        <f t="shared" si="3"/>
        <v>34350500.049999997</v>
      </c>
      <c r="H39" s="25">
        <f>SUM(H7:H38)</f>
        <v>54226900.600000001</v>
      </c>
      <c r="I39" s="24">
        <f t="shared" si="3"/>
        <v>197566.5</v>
      </c>
      <c r="J39" s="25">
        <f>SUM(J7:J38)</f>
        <v>555571.55000000005</v>
      </c>
      <c r="K39" s="24">
        <f t="shared" si="3"/>
        <v>667195</v>
      </c>
      <c r="L39" s="25">
        <f>SUM(L7:L38)</f>
        <v>2658776</v>
      </c>
      <c r="M39" s="28">
        <f>SUM(M7:M38)</f>
        <v>116936409.69999999</v>
      </c>
      <c r="N39" s="27">
        <f>SUM(N7:N38)</f>
        <v>115755039.09999999</v>
      </c>
      <c r="O39" s="26">
        <f>N39-M39</f>
        <v>-1181370.599999994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10929900</v>
      </c>
      <c r="D40" s="282"/>
      <c r="E40" s="267">
        <f>SUM(E39:F39)</f>
        <v>13350000</v>
      </c>
      <c r="F40" s="268"/>
      <c r="G40" s="281">
        <f>SUM(G39:H39)</f>
        <v>88577400.650000006</v>
      </c>
      <c r="H40" s="282"/>
      <c r="I40" s="267">
        <f>SUM(I39:J39)</f>
        <v>753138.05</v>
      </c>
      <c r="J40" s="268"/>
      <c r="K40" s="281">
        <f>SUM(K39:L39)</f>
        <v>3325971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46081</v>
      </c>
      <c r="C45" s="203">
        <v>0</v>
      </c>
      <c r="D45" s="14"/>
      <c r="E45" s="203">
        <v>0</v>
      </c>
      <c r="F45" s="14">
        <v>70000</v>
      </c>
      <c r="G45" s="203"/>
      <c r="H45" s="14">
        <v>398000</v>
      </c>
      <c r="I45" s="203"/>
      <c r="J45" s="14">
        <v>27050</v>
      </c>
      <c r="K45" s="134"/>
      <c r="L45" s="14">
        <v>5500</v>
      </c>
      <c r="M45" s="203">
        <v>0</v>
      </c>
      <c r="N45" s="203">
        <f>F45+H45+J45+L45</f>
        <v>500550</v>
      </c>
      <c r="O45" s="203">
        <f>N45-M45</f>
        <v>500550</v>
      </c>
      <c r="P45" s="85">
        <v>46082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46112</v>
      </c>
      <c r="C48" s="203">
        <v>0</v>
      </c>
      <c r="D48" s="14"/>
      <c r="E48" s="203">
        <v>0</v>
      </c>
      <c r="F48" s="14">
        <v>745000</v>
      </c>
      <c r="G48" s="203">
        <v>0</v>
      </c>
      <c r="H48" s="14">
        <f>2535000-8500</f>
        <v>2526500</v>
      </c>
      <c r="I48" s="203">
        <v>0</v>
      </c>
      <c r="J48" s="14"/>
      <c r="K48" s="134">
        <v>0</v>
      </c>
      <c r="L48" s="14">
        <v>12000</v>
      </c>
      <c r="M48" s="203"/>
      <c r="N48" s="203">
        <f>F48+H48+J48+L48+D48</f>
        <v>3283500</v>
      </c>
      <c r="O48" s="203">
        <f>N48-M48</f>
        <v>3283500</v>
      </c>
      <c r="P48" s="151">
        <v>46113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-675000</v>
      </c>
      <c r="F50" s="263"/>
      <c r="G50" s="262">
        <f>H45+H46-H47-H48</f>
        <v>-2128500</v>
      </c>
      <c r="H50" s="263"/>
      <c r="I50" s="262">
        <f>J45+J46-J47-J48</f>
        <v>27050</v>
      </c>
      <c r="J50" s="263"/>
      <c r="K50" s="262">
        <f>L45+L46-L47-L48</f>
        <v>-6500</v>
      </c>
      <c r="L50" s="263"/>
    </row>
    <row r="51" spans="2:28" x14ac:dyDescent="0.25">
      <c r="B51" s="294" t="s">
        <v>12</v>
      </c>
      <c r="C51" s="295"/>
      <c r="D51" s="212">
        <f>D39+D50</f>
        <v>4984300</v>
      </c>
      <c r="E51" s="289">
        <f>F39+E50</f>
        <v>7210000</v>
      </c>
      <c r="F51" s="290"/>
      <c r="G51" s="289">
        <f>H39+G50</f>
        <v>52098400.600000001</v>
      </c>
      <c r="H51" s="290"/>
      <c r="I51" s="291">
        <f>J39+I50</f>
        <v>582621.55000000005</v>
      </c>
      <c r="J51" s="292"/>
      <c r="K51" s="289">
        <f>L39+K50</f>
        <v>2652276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67527598.150000006</v>
      </c>
      <c r="E52" s="293"/>
      <c r="F52" s="293"/>
      <c r="G52" s="293"/>
      <c r="H52" s="293"/>
      <c r="I52" s="234"/>
      <c r="J52" s="234"/>
      <c r="K52" s="234"/>
      <c r="L52" s="234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37327.757839999998</v>
      </c>
      <c r="P54" s="87"/>
      <c r="S54">
        <v>7.4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46625861.549999997</v>
      </c>
      <c r="D55" s="149">
        <f>D39+H39+F39+J39+L39</f>
        <v>70310548.150000006</v>
      </c>
      <c r="E55" s="58"/>
      <c r="F55" s="58"/>
      <c r="M55" s="63" t="s">
        <v>25</v>
      </c>
      <c r="N55" s="64">
        <f>N59*S55/100</f>
        <v>53973.920119999995</v>
      </c>
      <c r="P55" s="88"/>
      <c r="S55">
        <v>10.7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116936409.7</v>
      </c>
      <c r="D56" s="285"/>
      <c r="E56" s="57"/>
      <c r="F56" s="57"/>
      <c r="M56" s="63" t="s">
        <v>28</v>
      </c>
      <c r="N56" s="64">
        <f>N59*S56/100</f>
        <v>388914.88235999993</v>
      </c>
      <c r="R56" s="87"/>
      <c r="S56">
        <v>77.099999999999994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4539.8624399999999</v>
      </c>
      <c r="S57">
        <v>0.9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19672.737239999999</v>
      </c>
      <c r="S58">
        <v>3.9</v>
      </c>
      <c r="Y58" s="4"/>
      <c r="AA58" s="78"/>
      <c r="AB58" s="68"/>
    </row>
    <row r="59" spans="2:28" x14ac:dyDescent="0.25">
      <c r="J59" t="s">
        <v>3</v>
      </c>
      <c r="N59" s="64">
        <v>504429.16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114153459.7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D437-5E9E-4EC8-8AAF-E8BE3936034C}">
  <sheetPr>
    <pageSetUpPr fitToPage="1"/>
  </sheetPr>
  <dimension ref="A1:AB72"/>
  <sheetViews>
    <sheetView topLeftCell="A25" workbookViewId="0">
      <selection activeCell="B33" sqref="B33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137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46113</v>
      </c>
      <c r="C7" s="192"/>
      <c r="D7" s="191">
        <f>30000</f>
        <v>30000</v>
      </c>
      <c r="E7" s="192">
        <f>995000</f>
        <v>995000</v>
      </c>
      <c r="F7" s="191">
        <f>585000</f>
        <v>585000</v>
      </c>
      <c r="G7" s="193">
        <f>390000</f>
        <v>390000</v>
      </c>
      <c r="H7" s="194">
        <f>2000+400000+2000+425000+25000</f>
        <v>854000</v>
      </c>
      <c r="I7" s="193">
        <f>14000</f>
        <v>14000</v>
      </c>
      <c r="J7" s="194">
        <f>16700+7591.8</f>
        <v>24291.8</v>
      </c>
      <c r="K7" s="193">
        <f>10000</f>
        <v>10000</v>
      </c>
      <c r="L7" s="194">
        <f>2000+154500+44000</f>
        <v>200500</v>
      </c>
      <c r="M7" s="56">
        <f>SUM(C7:L7)</f>
        <v>3102791.8</v>
      </c>
      <c r="N7" s="205">
        <v>3077791.8</v>
      </c>
      <c r="O7" s="230">
        <f>N7-M7</f>
        <v>-25000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v>46114</v>
      </c>
      <c r="C8" s="195"/>
      <c r="D8" s="191"/>
      <c r="E8" s="192"/>
      <c r="F8" s="191"/>
      <c r="G8" s="195">
        <f>500000+3500+700000</f>
        <v>1203500</v>
      </c>
      <c r="H8" s="191">
        <f>690000+400000+450000+20000</f>
        <v>1560000</v>
      </c>
      <c r="I8" s="195"/>
      <c r="J8" s="191">
        <f>15000</f>
        <v>15000</v>
      </c>
      <c r="K8" s="195">
        <f>21000</f>
        <v>21000</v>
      </c>
      <c r="L8" s="191">
        <f>68950</f>
        <v>68950</v>
      </c>
      <c r="M8" s="56">
        <f t="shared" ref="M8:M36" si="0">SUM(C8:L8)</f>
        <v>2868450</v>
      </c>
      <c r="N8" s="205">
        <v>2848450</v>
      </c>
      <c r="O8" s="230">
        <f t="shared" ref="O8:O36" si="1">N8-M8</f>
        <v>-20000</v>
      </c>
      <c r="Z8" s="78"/>
      <c r="AB8" s="68"/>
    </row>
    <row r="9" spans="2:28" x14ac:dyDescent="0.25">
      <c r="B9" s="15">
        <v>46115</v>
      </c>
      <c r="C9" s="192"/>
      <c r="D9" s="196">
        <f>1950000</f>
        <v>1950000</v>
      </c>
      <c r="E9" s="192">
        <f>5000</f>
        <v>5000</v>
      </c>
      <c r="F9" s="191">
        <f>15000</f>
        <v>15000</v>
      </c>
      <c r="G9" s="192">
        <f>570000+5000+990000+630000+7000</f>
        <v>2202000</v>
      </c>
      <c r="H9" s="191">
        <f>640000+30000+75000+230000+10000</f>
        <v>985000</v>
      </c>
      <c r="I9" s="192"/>
      <c r="J9" s="191">
        <f>20500+7000+28000</f>
        <v>55500</v>
      </c>
      <c r="K9" s="192">
        <f>98250</f>
        <v>98250</v>
      </c>
      <c r="L9" s="191">
        <f>104900+91500</f>
        <v>196400</v>
      </c>
      <c r="M9" s="56">
        <f t="shared" si="0"/>
        <v>5507150</v>
      </c>
      <c r="N9" s="205">
        <f>5467150+30000</f>
        <v>5497150</v>
      </c>
      <c r="O9" s="230">
        <f t="shared" si="1"/>
        <v>-10000</v>
      </c>
      <c r="P9" s="101"/>
      <c r="Z9" s="78"/>
      <c r="AB9" s="68"/>
    </row>
    <row r="10" spans="2:28" x14ac:dyDescent="0.25">
      <c r="B10" s="15">
        <v>46116</v>
      </c>
      <c r="C10" s="192"/>
      <c r="D10" s="196"/>
      <c r="E10" s="192"/>
      <c r="F10" s="191"/>
      <c r="G10" s="192">
        <f>600000+1330000+700000</f>
        <v>2630000</v>
      </c>
      <c r="H10" s="191">
        <f>450000+10000+3500+1183000+700000+6500</f>
        <v>2353000</v>
      </c>
      <c r="I10" s="192"/>
      <c r="J10" s="191">
        <f>3711.29</f>
        <v>3711.29</v>
      </c>
      <c r="K10" s="192">
        <f>14000</f>
        <v>14000</v>
      </c>
      <c r="L10" s="191">
        <f>8000+40900</f>
        <v>48900</v>
      </c>
      <c r="M10" s="56">
        <f t="shared" si="0"/>
        <v>5049611.29</v>
      </c>
      <c r="N10" s="205">
        <v>5043111.29</v>
      </c>
      <c r="O10" s="230">
        <f>N10-M10</f>
        <v>-6500</v>
      </c>
      <c r="P10" s="101"/>
      <c r="Z10" s="78"/>
      <c r="AB10" s="68"/>
    </row>
    <row r="11" spans="2:28" x14ac:dyDescent="0.25">
      <c r="B11" s="15">
        <v>46117</v>
      </c>
      <c r="C11" s="195"/>
      <c r="D11" s="191"/>
      <c r="E11" s="192"/>
      <c r="F11" s="191"/>
      <c r="G11" s="195">
        <f>1500+450000+400000</f>
        <v>851500</v>
      </c>
      <c r="H11" s="195">
        <f>420000+550000+700000+47000</f>
        <v>1717000</v>
      </c>
      <c r="I11" s="195"/>
      <c r="J11" s="191">
        <f>15000</f>
        <v>15000</v>
      </c>
      <c r="K11" s="195"/>
      <c r="L11" s="191">
        <f>8000+4000+25000</f>
        <v>37000</v>
      </c>
      <c r="M11" s="56">
        <f t="shared" si="0"/>
        <v>2620500</v>
      </c>
      <c r="N11" s="205">
        <v>2573500</v>
      </c>
      <c r="O11" s="230">
        <f t="shared" ref="O11:O13" si="2">N11-M11</f>
        <v>-47000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v>46118</v>
      </c>
      <c r="C12" s="192"/>
      <c r="D12" s="191">
        <f>10000</f>
        <v>10000</v>
      </c>
      <c r="E12" s="192"/>
      <c r="F12" s="191"/>
      <c r="G12" s="192">
        <f>340000+600000+75000+5000</f>
        <v>1020000</v>
      </c>
      <c r="H12" s="191">
        <f>250000+600000+560000+400000+430000+7000+4000</f>
        <v>2251000</v>
      </c>
      <c r="I12" s="192">
        <f>24500</f>
        <v>24500</v>
      </c>
      <c r="J12" s="191">
        <f>8000+16500</f>
        <v>24500</v>
      </c>
      <c r="K12" s="192">
        <f>250000+126500</f>
        <v>376500</v>
      </c>
      <c r="L12" s="191">
        <f>4000+60600</f>
        <v>64600</v>
      </c>
      <c r="M12" s="56">
        <f t="shared" si="0"/>
        <v>3771100</v>
      </c>
      <c r="N12" s="205">
        <v>3846100</v>
      </c>
      <c r="O12" s="230">
        <f t="shared" si="2"/>
        <v>75000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v>46119</v>
      </c>
      <c r="C13" s="192"/>
      <c r="D13" s="191">
        <v>75000</v>
      </c>
      <c r="E13" s="192">
        <f>680000</f>
        <v>680000</v>
      </c>
      <c r="F13" s="191">
        <f>815000</f>
        <v>815000</v>
      </c>
      <c r="G13" s="192"/>
      <c r="H13" s="191">
        <f>1485000+1350000+3000-300000+76500</f>
        <v>2614500</v>
      </c>
      <c r="I13" s="192">
        <f>6500</f>
        <v>6500</v>
      </c>
      <c r="J13" s="191">
        <f>14000+14280+24000</f>
        <v>52280</v>
      </c>
      <c r="K13" s="192">
        <f>16500</f>
        <v>16500</v>
      </c>
      <c r="L13" s="191">
        <f>500</f>
        <v>500</v>
      </c>
      <c r="M13" s="56">
        <f t="shared" si="0"/>
        <v>4260280</v>
      </c>
      <c r="N13" s="205">
        <v>4108780</v>
      </c>
      <c r="O13" s="230">
        <f t="shared" si="2"/>
        <v>-151500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v>46120</v>
      </c>
      <c r="C14" s="192">
        <f>10000</f>
        <v>10000</v>
      </c>
      <c r="D14" s="191"/>
      <c r="E14" s="192">
        <f>680000</f>
        <v>680000</v>
      </c>
      <c r="F14" s="191">
        <f>975000</f>
        <v>975000</v>
      </c>
      <c r="G14" s="192">
        <f>420000+440000</f>
        <v>860000</v>
      </c>
      <c r="H14" s="191">
        <f>140000+45000</f>
        <v>185000</v>
      </c>
      <c r="I14" s="192">
        <f>2000</f>
        <v>2000</v>
      </c>
      <c r="J14" s="191">
        <f>19500+4900+7900</f>
        <v>32300</v>
      </c>
      <c r="K14" s="192"/>
      <c r="L14" s="191">
        <f>18400</f>
        <v>18400</v>
      </c>
      <c r="M14" s="56">
        <f t="shared" si="0"/>
        <v>2762700</v>
      </c>
      <c r="N14" s="205">
        <v>2717700</v>
      </c>
      <c r="O14" s="230">
        <f>N14-M14</f>
        <v>-45000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v>46121</v>
      </c>
      <c r="C15" s="192">
        <f>1360000</f>
        <v>1360000</v>
      </c>
      <c r="D15" s="200">
        <f>350000</f>
        <v>350000</v>
      </c>
      <c r="E15" s="192"/>
      <c r="F15" s="191">
        <f>730000</f>
        <v>730000</v>
      </c>
      <c r="G15" s="192">
        <f>975000</f>
        <v>975000</v>
      </c>
      <c r="H15" s="191">
        <f>12000+150000+150000+850000+590000+350000+1500+25000+399000</f>
        <v>2527500</v>
      </c>
      <c r="I15" s="192">
        <f>10200</f>
        <v>10200</v>
      </c>
      <c r="J15" s="191">
        <f>4000</f>
        <v>4000</v>
      </c>
      <c r="K15" s="192"/>
      <c r="L15" s="191">
        <f>4000</f>
        <v>4000</v>
      </c>
      <c r="M15" s="56">
        <f t="shared" si="0"/>
        <v>5960700</v>
      </c>
      <c r="N15" s="205">
        <v>5561700</v>
      </c>
      <c r="O15" s="230">
        <f t="shared" si="1"/>
        <v>-399000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v>46122</v>
      </c>
      <c r="C16" s="197"/>
      <c r="D16" s="191"/>
      <c r="E16" s="192">
        <f>15000</f>
        <v>15000</v>
      </c>
      <c r="F16" s="191">
        <f>90000</f>
        <v>90000</v>
      </c>
      <c r="G16" s="197">
        <f>600000+25000+800000+540000+7000</f>
        <v>1972000</v>
      </c>
      <c r="H16" s="191">
        <f>28000+200000+345000+50000+40000</f>
        <v>663000</v>
      </c>
      <c r="I16" s="195"/>
      <c r="J16" s="191">
        <f>4000+6500</f>
        <v>10500</v>
      </c>
      <c r="K16" s="195">
        <f>51000+4000</f>
        <v>55000</v>
      </c>
      <c r="L16" s="191">
        <f>24000+91300+12500</f>
        <v>127800</v>
      </c>
      <c r="M16" s="56">
        <f t="shared" si="0"/>
        <v>2933300</v>
      </c>
      <c r="N16" s="205">
        <v>2893300</v>
      </c>
      <c r="O16" s="230">
        <f t="shared" si="1"/>
        <v>-40000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v>46123</v>
      </c>
      <c r="C17" s="216"/>
      <c r="D17" s="217"/>
      <c r="E17" s="218"/>
      <c r="F17" s="219"/>
      <c r="G17" s="216">
        <f>50000+8000+350000+5000</f>
        <v>413000</v>
      </c>
      <c r="H17" s="219">
        <f>600000+64000+10000+790000+900000+5000+42000</f>
        <v>2411000</v>
      </c>
      <c r="I17" s="216">
        <f>7900</f>
        <v>7900</v>
      </c>
      <c r="J17" s="219">
        <f>31400+3000</f>
        <v>34400</v>
      </c>
      <c r="K17" s="216">
        <f>48000</f>
        <v>48000</v>
      </c>
      <c r="L17" s="219">
        <f>36500</f>
        <v>36500</v>
      </c>
      <c r="M17" s="56">
        <f t="shared" si="0"/>
        <v>2950800</v>
      </c>
      <c r="N17" s="205">
        <v>2908800</v>
      </c>
      <c r="O17" s="231">
        <f>N17-M17</f>
        <v>-42000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v>46124</v>
      </c>
      <c r="C18" s="195"/>
      <c r="D18" s="191"/>
      <c r="E18" s="192"/>
      <c r="F18" s="191"/>
      <c r="G18" s="195">
        <f>1280000+450000+700000</f>
        <v>2430000</v>
      </c>
      <c r="H18" s="191">
        <f>320000+72000</f>
        <v>392000</v>
      </c>
      <c r="I18" s="195">
        <f>4000</f>
        <v>4000</v>
      </c>
      <c r="J18" s="191">
        <f>2000+4000+4000+15000+3460</f>
        <v>28460</v>
      </c>
      <c r="K18" s="195"/>
      <c r="L18" s="191">
        <f>10000</f>
        <v>10000</v>
      </c>
      <c r="M18" s="56">
        <f t="shared" si="0"/>
        <v>2864460</v>
      </c>
      <c r="N18" s="205">
        <v>2792460</v>
      </c>
      <c r="O18" s="231">
        <f t="shared" si="1"/>
        <v>-72000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v>46125</v>
      </c>
      <c r="C19" s="192">
        <f>10000+850000</f>
        <v>860000</v>
      </c>
      <c r="D19" s="191">
        <f>40000</f>
        <v>40000</v>
      </c>
      <c r="E19" s="192"/>
      <c r="F19" s="191"/>
      <c r="G19" s="192">
        <f>3000+160000</f>
        <v>163000</v>
      </c>
      <c r="H19" s="191">
        <f>640000+15000+1085500+740000+30000+1500+28000+550000+20000</f>
        <v>3110000</v>
      </c>
      <c r="I19" s="192">
        <f>4000</f>
        <v>4000</v>
      </c>
      <c r="J19" s="191">
        <f>41400-28600</f>
        <v>12800</v>
      </c>
      <c r="K19" s="192">
        <f>62000+54000</f>
        <v>116000</v>
      </c>
      <c r="L19" s="191">
        <f>32250+4000</f>
        <v>36250</v>
      </c>
      <c r="M19" s="56">
        <f t="shared" si="0"/>
        <v>4342050</v>
      </c>
      <c r="N19" s="205">
        <v>4322050</v>
      </c>
      <c r="O19" s="231">
        <f t="shared" si="1"/>
        <v>-20000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v>46126</v>
      </c>
      <c r="C20" s="192"/>
      <c r="D20" s="188"/>
      <c r="E20" s="192">
        <f>780000</f>
        <v>780000</v>
      </c>
      <c r="F20" s="191">
        <f>780000</f>
        <v>780000</v>
      </c>
      <c r="G20" s="192">
        <f>600000+5000+325000</f>
        <v>930000</v>
      </c>
      <c r="H20" s="191">
        <f>530000+550000+125000+20000</f>
        <v>1225000</v>
      </c>
      <c r="I20" s="192">
        <f>4000+12600</f>
        <v>16600</v>
      </c>
      <c r="J20" s="191">
        <f>12000+8000+28600+6500+11900</f>
        <v>67000</v>
      </c>
      <c r="K20" s="192"/>
      <c r="L20" s="191">
        <f>8500+15000</f>
        <v>23500</v>
      </c>
      <c r="M20" s="56">
        <f t="shared" si="0"/>
        <v>3822100</v>
      </c>
      <c r="N20" s="205">
        <v>3802100</v>
      </c>
      <c r="O20" s="231">
        <f t="shared" si="1"/>
        <v>-20000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v>46127</v>
      </c>
      <c r="C21" s="192">
        <f>10000</f>
        <v>10000</v>
      </c>
      <c r="D21" s="191">
        <f>50000</f>
        <v>50000</v>
      </c>
      <c r="E21" s="192">
        <f>710000</f>
        <v>710000</v>
      </c>
      <c r="F21" s="191">
        <f>10000</f>
        <v>10000</v>
      </c>
      <c r="G21" s="192">
        <f>600000+600000+750000</f>
        <v>1950000</v>
      </c>
      <c r="H21" s="191">
        <f>626525+500000+380000+11000</f>
        <v>1517525</v>
      </c>
      <c r="I21" s="192">
        <f>3500</f>
        <v>3500</v>
      </c>
      <c r="J21" s="191">
        <f>16500</f>
        <v>16500</v>
      </c>
      <c r="K21" s="192">
        <f>3500</f>
        <v>3500</v>
      </c>
      <c r="L21" s="191">
        <f>25500</f>
        <v>25500</v>
      </c>
      <c r="M21" s="56">
        <f t="shared" si="0"/>
        <v>4296525</v>
      </c>
      <c r="N21" s="205">
        <v>4285525</v>
      </c>
      <c r="O21" s="232">
        <f t="shared" si="1"/>
        <v>-11000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v>46128</v>
      </c>
      <c r="C22" s="192"/>
      <c r="D22" s="200">
        <f>785000</f>
        <v>785000</v>
      </c>
      <c r="E22" s="192"/>
      <c r="F22" s="191">
        <f>10000</f>
        <v>10000</v>
      </c>
      <c r="G22" s="192">
        <f>550000+265000+2000+80000-350000</f>
        <v>547000</v>
      </c>
      <c r="H22" s="191">
        <f>60000+117000+8000+10000+10000</f>
        <v>205000</v>
      </c>
      <c r="I22" s="192"/>
      <c r="J22" s="191"/>
      <c r="K22" s="189">
        <f>4000</f>
        <v>4000</v>
      </c>
      <c r="L22" s="190">
        <f>102500</f>
        <v>102500</v>
      </c>
      <c r="M22" s="56">
        <f t="shared" si="0"/>
        <v>1653500</v>
      </c>
      <c r="N22" s="205">
        <v>1643500</v>
      </c>
      <c r="O22" s="231">
        <f t="shared" si="1"/>
        <v>-10000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v>46129</v>
      </c>
      <c r="C23" s="192"/>
      <c r="D23" s="191">
        <f>25000</f>
        <v>25000</v>
      </c>
      <c r="E23" s="192"/>
      <c r="F23" s="191"/>
      <c r="G23" s="192">
        <f>450000+3000+820000</f>
        <v>1273000</v>
      </c>
      <c r="H23" s="191">
        <f>555800+3000+100000+160000+1500+400000+73500</f>
        <v>1293800</v>
      </c>
      <c r="I23" s="192">
        <f>4000+15000</f>
        <v>19000</v>
      </c>
      <c r="J23" s="191">
        <f>35325+4900+3000+2810.06</f>
        <v>46035.06</v>
      </c>
      <c r="K23" s="192">
        <f>10000+43000+10000</f>
        <v>63000</v>
      </c>
      <c r="L23" s="191">
        <f>80000</f>
        <v>80000</v>
      </c>
      <c r="M23" s="56">
        <f t="shared" si="0"/>
        <v>2799835.06</v>
      </c>
      <c r="N23" s="205">
        <f>2723525+2810.06</f>
        <v>2726335.06</v>
      </c>
      <c r="O23" s="232">
        <f t="shared" si="1"/>
        <v>-73500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v>46130</v>
      </c>
      <c r="C24" s="195"/>
      <c r="D24" s="191"/>
      <c r="E24" s="192"/>
      <c r="F24" s="191"/>
      <c r="G24" s="195">
        <f>180000+3000+1235000+650000-180000</f>
        <v>1888000</v>
      </c>
      <c r="H24" s="191">
        <f>400000+390000+110000+4900-400000+74500</f>
        <v>579400</v>
      </c>
      <c r="I24" s="195"/>
      <c r="J24" s="191"/>
      <c r="K24" s="195"/>
      <c r="L24" s="191">
        <f>60500+61000</f>
        <v>121500</v>
      </c>
      <c r="M24" s="56">
        <f t="shared" si="0"/>
        <v>2588900</v>
      </c>
      <c r="N24" s="205">
        <v>2514400</v>
      </c>
      <c r="O24" s="232">
        <f t="shared" si="1"/>
        <v>-74500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v>46131</v>
      </c>
      <c r="C25" s="192"/>
      <c r="D25" s="191"/>
      <c r="E25" s="192"/>
      <c r="F25" s="191"/>
      <c r="G25" s="192">
        <f>420000+1500+500000+380000</f>
        <v>1301500</v>
      </c>
      <c r="H25" s="191">
        <f>2515000+20000+260000+790000+100000+900000</f>
        <v>4585000</v>
      </c>
      <c r="I25" s="192"/>
      <c r="J25" s="191">
        <f>20300+12600+7500</f>
        <v>40400</v>
      </c>
      <c r="K25" s="192">
        <f>8000</f>
        <v>8000</v>
      </c>
      <c r="L25" s="191">
        <f>55000</f>
        <v>55000</v>
      </c>
      <c r="M25" s="56">
        <f t="shared" si="0"/>
        <v>5989900</v>
      </c>
      <c r="N25" s="205">
        <v>5889900</v>
      </c>
      <c r="O25" s="232">
        <f t="shared" si="1"/>
        <v>-100000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237">
        <v>46132</v>
      </c>
      <c r="C26" s="238"/>
      <c r="D26" s="239"/>
      <c r="E26" s="238"/>
      <c r="F26" s="239"/>
      <c r="G26" s="238">
        <f>904000+22800-36500</f>
        <v>890300</v>
      </c>
      <c r="H26" s="239">
        <f>203000+380000+14000+37000</f>
        <v>634000</v>
      </c>
      <c r="I26" s="238"/>
      <c r="J26" s="239"/>
      <c r="K26" s="238"/>
      <c r="L26" s="239"/>
      <c r="M26" s="176">
        <f t="shared" si="0"/>
        <v>1524300</v>
      </c>
      <c r="N26" s="208">
        <v>1487300</v>
      </c>
      <c r="O26" s="231">
        <f t="shared" si="1"/>
        <v>-37000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v>46133</v>
      </c>
      <c r="C27" s="192"/>
      <c r="D27" s="191"/>
      <c r="E27" s="192"/>
      <c r="F27" s="191">
        <f>680000</f>
        <v>680000</v>
      </c>
      <c r="G27" s="192">
        <f>560000+600000+150000+50000+26500</f>
        <v>1386500</v>
      </c>
      <c r="H27" s="191">
        <f>100000+420000+2545000+150000+26000+85000</f>
        <v>3326000</v>
      </c>
      <c r="I27" s="192">
        <f>7900</f>
        <v>7900</v>
      </c>
      <c r="J27" s="198">
        <f>10200+8318+6500</f>
        <v>25018</v>
      </c>
      <c r="K27" s="192">
        <f>120000</f>
        <v>120000</v>
      </c>
      <c r="L27" s="191">
        <f>56000</f>
        <v>56000</v>
      </c>
      <c r="M27" s="56">
        <f t="shared" si="0"/>
        <v>5601418</v>
      </c>
      <c r="N27" s="205">
        <f>5490418+85000</f>
        <v>5575418</v>
      </c>
      <c r="O27" s="231">
        <f t="shared" si="1"/>
        <v>-26000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v>46134</v>
      </c>
      <c r="C28" s="192"/>
      <c r="D28" s="191"/>
      <c r="E28" s="192">
        <f>5000</f>
        <v>5000</v>
      </c>
      <c r="F28" s="191">
        <f>880000</f>
        <v>880000</v>
      </c>
      <c r="G28" s="192">
        <f>160000+500000+700000</f>
        <v>1360000</v>
      </c>
      <c r="H28" s="191">
        <f>289400+4000+501500+60000</f>
        <v>854900</v>
      </c>
      <c r="I28" s="192"/>
      <c r="J28" s="198">
        <f>3500</f>
        <v>3500</v>
      </c>
      <c r="K28" s="192"/>
      <c r="L28" s="191">
        <f>89000+8000</f>
        <v>97000</v>
      </c>
      <c r="M28" s="56">
        <f t="shared" si="0"/>
        <v>3200400</v>
      </c>
      <c r="N28" s="205">
        <v>3140400</v>
      </c>
      <c r="O28" s="231">
        <f t="shared" si="1"/>
        <v>-60000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v>46135</v>
      </c>
      <c r="C29" s="192"/>
      <c r="D29" s="191"/>
      <c r="E29" s="192">
        <f>680000</f>
        <v>680000</v>
      </c>
      <c r="F29" s="191">
        <f>1050000-800000</f>
        <v>250000</v>
      </c>
      <c r="G29" s="192">
        <f>290000+640000+2000+2100+1500</f>
        <v>935600</v>
      </c>
      <c r="H29" s="191">
        <f>600000+250000+551500+14000+510000+1360000+34000</f>
        <v>3319500</v>
      </c>
      <c r="I29" s="192"/>
      <c r="J29" s="191">
        <f>12600</f>
        <v>12600</v>
      </c>
      <c r="K29" s="192"/>
      <c r="L29" s="191">
        <f>14000</f>
        <v>14000</v>
      </c>
      <c r="M29" s="56">
        <f t="shared" si="0"/>
        <v>5211700</v>
      </c>
      <c r="N29" s="205">
        <v>4977700</v>
      </c>
      <c r="O29" s="231">
        <f t="shared" si="1"/>
        <v>-234000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v>46136</v>
      </c>
      <c r="C30" s="192"/>
      <c r="D30" s="191">
        <f>20000</f>
        <v>20000</v>
      </c>
      <c r="E30" s="192">
        <f>20000</f>
        <v>20000</v>
      </c>
      <c r="F30" s="191">
        <f>20000</f>
        <v>20000</v>
      </c>
      <c r="G30" s="192">
        <f>600000+380000+1500</f>
        <v>981500</v>
      </c>
      <c r="H30" s="191">
        <f>28000+480000+520000+1340000+6000+10000+3000+1826500+13000</f>
        <v>4226500</v>
      </c>
      <c r="I30" s="192">
        <f>4900</f>
        <v>4900</v>
      </c>
      <c r="J30" s="191">
        <f>18000+6500</f>
        <v>24500</v>
      </c>
      <c r="K30" s="192">
        <f>4000</f>
        <v>4000</v>
      </c>
      <c r="L30" s="191">
        <f>34700</f>
        <v>34700</v>
      </c>
      <c r="M30" s="56">
        <f t="shared" si="0"/>
        <v>5336100</v>
      </c>
      <c r="N30" s="205">
        <v>5323100</v>
      </c>
      <c r="O30" s="231">
        <f t="shared" si="1"/>
        <v>-13000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v>46137</v>
      </c>
      <c r="C31" s="199"/>
      <c r="D31" s="202"/>
      <c r="E31" s="192"/>
      <c r="F31" s="191"/>
      <c r="G31" s="192">
        <f>750000+400000+220000+1850000+3000</f>
        <v>3223000</v>
      </c>
      <c r="H31" s="191">
        <f>3000+3000+120000+395000+30000+5000+1400000+3000</f>
        <v>1959000</v>
      </c>
      <c r="I31" s="192">
        <f>15000</f>
        <v>15000</v>
      </c>
      <c r="J31" s="191">
        <f>31000</f>
        <v>31000</v>
      </c>
      <c r="K31" s="199">
        <f>10000</f>
        <v>10000</v>
      </c>
      <c r="L31" s="198">
        <f>60200+195500</f>
        <v>255700</v>
      </c>
      <c r="M31" s="56">
        <f t="shared" si="0"/>
        <v>5493700</v>
      </c>
      <c r="N31" s="205">
        <v>5490700</v>
      </c>
      <c r="O31" s="231">
        <f t="shared" si="1"/>
        <v>-3000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v>46138</v>
      </c>
      <c r="C32" s="187">
        <v>500000</v>
      </c>
      <c r="D32" s="190">
        <v>500000</v>
      </c>
      <c r="E32" s="189"/>
      <c r="F32" s="190"/>
      <c r="G32" s="187">
        <f>1050000+1500</f>
        <v>1051500</v>
      </c>
      <c r="H32" s="190">
        <f>1040000+190000+1500+700000+55000-500000</f>
        <v>1486500</v>
      </c>
      <c r="I32" s="189"/>
      <c r="J32" s="190">
        <f>30000</f>
        <v>30000</v>
      </c>
      <c r="K32" s="189"/>
      <c r="L32" s="190">
        <f>59000+14250</f>
        <v>73250</v>
      </c>
      <c r="M32" s="56">
        <f t="shared" si="0"/>
        <v>3641250</v>
      </c>
      <c r="N32" s="205">
        <v>3586250</v>
      </c>
      <c r="O32" s="231">
        <f t="shared" si="1"/>
        <v>-55000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v>46139</v>
      </c>
      <c r="C33" s="192"/>
      <c r="D33" s="191"/>
      <c r="E33" s="192"/>
      <c r="F33" s="191"/>
      <c r="G33" s="192">
        <f>10000+1500+450000</f>
        <v>461500</v>
      </c>
      <c r="H33" s="191">
        <f>640000+21000+3000+545000+3500+21000+553000+36500</f>
        <v>1823000</v>
      </c>
      <c r="I33" s="199"/>
      <c r="J33" s="191">
        <f>4000+10200+17500</f>
        <v>31700</v>
      </c>
      <c r="K33" s="192">
        <f>28500</f>
        <v>28500</v>
      </c>
      <c r="L33" s="191">
        <f>44500+179000</f>
        <v>223500</v>
      </c>
      <c r="M33" s="56">
        <f t="shared" si="0"/>
        <v>2568200</v>
      </c>
      <c r="N33" s="205">
        <v>2531700</v>
      </c>
      <c r="O33" s="231">
        <f t="shared" si="1"/>
        <v>-36500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v>46140</v>
      </c>
      <c r="C34" s="192"/>
      <c r="D34" s="191"/>
      <c r="E34" s="192">
        <f>1200000</f>
        <v>1200000</v>
      </c>
      <c r="F34" s="191">
        <f>15000+35000</f>
        <v>50000</v>
      </c>
      <c r="G34" s="192">
        <f>960000+525000+500000+5000</f>
        <v>1990000</v>
      </c>
      <c r="H34" s="191">
        <f>75000+740000+800000+600000+175000+12000</f>
        <v>2402000</v>
      </c>
      <c r="I34" s="192">
        <f>15000+4000+8400</f>
        <v>27400</v>
      </c>
      <c r="J34" s="191">
        <f>8700</f>
        <v>8700</v>
      </c>
      <c r="K34" s="192">
        <f>4000</f>
        <v>4000</v>
      </c>
      <c r="L34" s="191">
        <f>4000+24100+2500</f>
        <v>30600</v>
      </c>
      <c r="M34" s="56">
        <f t="shared" si="0"/>
        <v>5712700</v>
      </c>
      <c r="N34" s="205">
        <v>5592700</v>
      </c>
      <c r="O34" s="231">
        <f t="shared" si="1"/>
        <v>-120000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v>46141</v>
      </c>
      <c r="C35" s="192">
        <f>10000</f>
        <v>10000</v>
      </c>
      <c r="D35" s="200">
        <f>245000</f>
        <v>245000</v>
      </c>
      <c r="E35" s="192"/>
      <c r="F35" s="191">
        <f>90000</f>
        <v>90000</v>
      </c>
      <c r="G35" s="199"/>
      <c r="H35" s="198">
        <f>3500+370000+700000+10000+100000+143500</f>
        <v>1327000</v>
      </c>
      <c r="I35" s="199">
        <f>4000+10000</f>
        <v>14000</v>
      </c>
      <c r="J35" s="198">
        <f>4200+13000+20510+43000</f>
        <v>80710</v>
      </c>
      <c r="K35" s="199"/>
      <c r="L35" s="198">
        <f>110730+28000</f>
        <v>138730</v>
      </c>
      <c r="M35" s="56">
        <f t="shared" si="0"/>
        <v>1905440</v>
      </c>
      <c r="N35" s="205">
        <v>1761940</v>
      </c>
      <c r="O35" s="231">
        <f t="shared" si="1"/>
        <v>-143500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v>46142</v>
      </c>
      <c r="C36" s="192">
        <f>10000</f>
        <v>10000</v>
      </c>
      <c r="D36" s="200"/>
      <c r="E36" s="192">
        <f>565000</f>
        <v>565000</v>
      </c>
      <c r="F36" s="191">
        <v>20000</v>
      </c>
      <c r="G36" s="192">
        <f>350000+320000+2000</f>
        <v>672000</v>
      </c>
      <c r="H36" s="191">
        <f>293500+310000+10000+260000</f>
        <v>873500</v>
      </c>
      <c r="I36" s="192"/>
      <c r="J36" s="191">
        <f>24000+1495</f>
        <v>25495</v>
      </c>
      <c r="K36" s="192">
        <f>391000</f>
        <v>391000</v>
      </c>
      <c r="L36" s="191">
        <f>71000</f>
        <v>71000</v>
      </c>
      <c r="M36" s="56">
        <f t="shared" si="0"/>
        <v>2627995</v>
      </c>
      <c r="N36" s="205">
        <v>2367995</v>
      </c>
      <c r="O36" s="231">
        <f t="shared" si="1"/>
        <v>-260000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/>
      <c r="I37" s="192"/>
      <c r="J37" s="191"/>
      <c r="K37" s="192"/>
      <c r="L37" s="191"/>
      <c r="M37" s="56"/>
      <c r="N37" s="205"/>
      <c r="O37" s="231"/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2760000</v>
      </c>
      <c r="D39" s="25">
        <f>SUM(D7:D38)</f>
        <v>4080000</v>
      </c>
      <c r="E39" s="24">
        <f t="shared" ref="E39:K39" si="3">SUM(E7:E38)</f>
        <v>6335000</v>
      </c>
      <c r="F39" s="59">
        <f t="shared" si="3"/>
        <v>6000000</v>
      </c>
      <c r="G39" s="24">
        <f t="shared" si="3"/>
        <v>35951400</v>
      </c>
      <c r="H39" s="25">
        <f>SUM(H7:H38)</f>
        <v>53260625</v>
      </c>
      <c r="I39" s="24">
        <f t="shared" si="3"/>
        <v>181400</v>
      </c>
      <c r="J39" s="25">
        <f>SUM(J7:J38)</f>
        <v>755901.14999999991</v>
      </c>
      <c r="K39" s="24">
        <f t="shared" si="3"/>
        <v>1391250</v>
      </c>
      <c r="L39" s="25">
        <f>SUM(L7:L38)</f>
        <v>2252280</v>
      </c>
      <c r="M39" s="28">
        <f>SUM(M7:M38)</f>
        <v>112967856.15000001</v>
      </c>
      <c r="N39" s="27">
        <f>SUM(N7:N38)</f>
        <v>110887856.15000001</v>
      </c>
      <c r="O39" s="26">
        <f>N39-M39</f>
        <v>-2080000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6840000</v>
      </c>
      <c r="D40" s="282"/>
      <c r="E40" s="267">
        <f>SUM(E39:F39)</f>
        <v>12335000</v>
      </c>
      <c r="F40" s="268"/>
      <c r="G40" s="281">
        <f>SUM(G39:H39)</f>
        <v>89212025</v>
      </c>
      <c r="H40" s="282"/>
      <c r="I40" s="267">
        <f>SUM(I39:J39)</f>
        <v>937301.14999999991</v>
      </c>
      <c r="J40" s="268"/>
      <c r="K40" s="281">
        <f>SUM(K39:L39)</f>
        <v>3643530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46112</v>
      </c>
      <c r="C45" s="203">
        <v>0</v>
      </c>
      <c r="D45" s="14"/>
      <c r="E45" s="203">
        <v>0</v>
      </c>
      <c r="F45" s="14">
        <v>745000</v>
      </c>
      <c r="G45" s="203"/>
      <c r="H45" s="14">
        <v>2526500</v>
      </c>
      <c r="I45" s="203"/>
      <c r="J45" s="14"/>
      <c r="K45" s="134"/>
      <c r="L45" s="14">
        <v>12000</v>
      </c>
      <c r="M45" s="203">
        <v>0</v>
      </c>
      <c r="N45" s="203">
        <f>F45+H45+J45+L45</f>
        <v>3283500</v>
      </c>
      <c r="O45" s="203">
        <f>N45-M45</f>
        <v>3283500</v>
      </c>
      <c r="P45" s="85">
        <v>46113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46142</v>
      </c>
      <c r="C48" s="203">
        <v>0</v>
      </c>
      <c r="D48" s="14"/>
      <c r="E48" s="203">
        <v>0</v>
      </c>
      <c r="F48" s="14"/>
      <c r="G48" s="203">
        <v>0</v>
      </c>
      <c r="H48" s="14">
        <v>873500</v>
      </c>
      <c r="I48" s="203">
        <v>0</v>
      </c>
      <c r="J48" s="14">
        <v>25495</v>
      </c>
      <c r="K48" s="134">
        <v>0</v>
      </c>
      <c r="L48" s="14">
        <v>71000</v>
      </c>
      <c r="M48" s="203"/>
      <c r="N48" s="203">
        <f>F48+H48+J48+L48+D48</f>
        <v>969995</v>
      </c>
      <c r="O48" s="203">
        <f>N48-M48</f>
        <v>969995</v>
      </c>
      <c r="P48" s="151">
        <v>46143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745000</v>
      </c>
      <c r="F50" s="263"/>
      <c r="G50" s="262">
        <f>H45+H46-H47-H48</f>
        <v>1653000</v>
      </c>
      <c r="H50" s="263"/>
      <c r="I50" s="262">
        <f>J45+J46-J47-J48</f>
        <v>-25495</v>
      </c>
      <c r="J50" s="263"/>
      <c r="K50" s="262">
        <f>L45+L46-L47-L48</f>
        <v>-59000</v>
      </c>
      <c r="L50" s="263"/>
    </row>
    <row r="51" spans="2:28" x14ac:dyDescent="0.25">
      <c r="B51" s="294" t="s">
        <v>12</v>
      </c>
      <c r="C51" s="295"/>
      <c r="D51" s="212">
        <f>D39+D50</f>
        <v>4080000</v>
      </c>
      <c r="E51" s="289">
        <f>F39+E50</f>
        <v>6745000</v>
      </c>
      <c r="F51" s="290"/>
      <c r="G51" s="289">
        <f>H39+G50</f>
        <v>54913625</v>
      </c>
      <c r="H51" s="290"/>
      <c r="I51" s="291">
        <f>J39+I50</f>
        <v>730406.14999999991</v>
      </c>
      <c r="J51" s="292"/>
      <c r="K51" s="289">
        <f>L39+K50</f>
        <v>2193280</v>
      </c>
      <c r="L51" s="290"/>
    </row>
    <row r="52" spans="2:28" s="42" customFormat="1" x14ac:dyDescent="0.25">
      <c r="B52" s="257" t="s">
        <v>17</v>
      </c>
      <c r="C52" s="257"/>
      <c r="D52" s="293">
        <f>SUM(D51:L51)</f>
        <v>68662311.150000006</v>
      </c>
      <c r="E52" s="293"/>
      <c r="F52" s="293"/>
      <c r="G52" s="293"/>
      <c r="H52" s="293"/>
      <c r="I52" s="235"/>
      <c r="J52" s="235"/>
      <c r="K52" s="235"/>
      <c r="L52" s="235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35075.084719999999</v>
      </c>
      <c r="P54" s="87"/>
      <c r="S54">
        <v>5.8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46619050</v>
      </c>
      <c r="D55" s="149">
        <f>D39+H39+F39+J39+L39</f>
        <v>66348806.149999999</v>
      </c>
      <c r="E55" s="58"/>
      <c r="F55" s="58"/>
      <c r="M55" s="63" t="s">
        <v>25</v>
      </c>
      <c r="N55" s="64">
        <f>N59*S55/100</f>
        <v>59264.798320000002</v>
      </c>
      <c r="P55" s="88"/>
      <c r="S55">
        <v>9.8000000000000007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112967856.15000001</v>
      </c>
      <c r="D56" s="285"/>
      <c r="E56" s="57"/>
      <c r="F56" s="57"/>
      <c r="M56" s="63" t="s">
        <v>28</v>
      </c>
      <c r="N56" s="64">
        <f>N59*S56/100</f>
        <v>484399.01483999996</v>
      </c>
      <c r="R56" s="87"/>
      <c r="S56">
        <v>80.099999999999994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6652.1712400000006</v>
      </c>
      <c r="S57">
        <v>1.1000000000000001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19351.77088</v>
      </c>
      <c r="S58">
        <v>3.2</v>
      </c>
      <c r="Y58" s="4"/>
      <c r="AA58" s="78"/>
      <c r="AB58" s="68"/>
    </row>
    <row r="59" spans="2:28" x14ac:dyDescent="0.25">
      <c r="J59" t="s">
        <v>3</v>
      </c>
      <c r="N59" s="64">
        <v>604742.84</v>
      </c>
      <c r="O59" s="211"/>
      <c r="S59" s="68">
        <f>SUM(S53:S58)</f>
        <v>99.999999999999986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115281361.15000001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DC03-E05E-474D-A40E-7C83BE9E798F}">
  <sheetPr>
    <pageSetUpPr fitToPage="1"/>
  </sheetPr>
  <dimension ref="A1:AB72"/>
  <sheetViews>
    <sheetView topLeftCell="A37" workbookViewId="0">
      <selection activeCell="I38" sqref="I38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138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46143</v>
      </c>
      <c r="C7" s="192"/>
      <c r="D7" s="191"/>
      <c r="E7" s="192">
        <f>20000</f>
        <v>20000</v>
      </c>
      <c r="F7" s="191">
        <f>20000</f>
        <v>20000</v>
      </c>
      <c r="G7" s="193">
        <f>350000+430000</f>
        <v>780000</v>
      </c>
      <c r="H7" s="194">
        <f>200000+780000+260000+500000+35000+14000</f>
        <v>1789000</v>
      </c>
      <c r="I7" s="193">
        <f>29200</f>
        <v>29200</v>
      </c>
      <c r="J7" s="194">
        <f>12400+6500</f>
        <v>18900</v>
      </c>
      <c r="K7" s="193">
        <f>71500+26000</f>
        <v>97500</v>
      </c>
      <c r="L7" s="194">
        <f>49950</f>
        <v>49950</v>
      </c>
      <c r="M7" s="176">
        <f>SUM(C7:L7)</f>
        <v>2804550</v>
      </c>
      <c r="N7" s="208">
        <f>2755550+35000</f>
        <v>2790550</v>
      </c>
      <c r="O7" s="231">
        <f>N7-M7</f>
        <v>-14000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v>46144</v>
      </c>
      <c r="C8" s="195"/>
      <c r="D8" s="191"/>
      <c r="E8" s="192"/>
      <c r="F8" s="191"/>
      <c r="G8" s="195">
        <f>350000+590000+350000+7000</f>
        <v>1297000</v>
      </c>
      <c r="H8" s="191">
        <f>430000+250000+50000+13000+700000+37000+13500</f>
        <v>1493500</v>
      </c>
      <c r="I8" s="195">
        <f>4000+7900</f>
        <v>11900</v>
      </c>
      <c r="J8" s="191">
        <f>26700+24500</f>
        <v>51200</v>
      </c>
      <c r="K8" s="195"/>
      <c r="L8" s="191"/>
      <c r="M8" s="176">
        <f t="shared" ref="M8:M37" si="0">SUM(C8:L8)</f>
        <v>2853600</v>
      </c>
      <c r="N8" s="208">
        <f>2803100+37000</f>
        <v>2840100</v>
      </c>
      <c r="O8" s="231">
        <f t="shared" ref="O8:O37" si="1">N8-M8</f>
        <v>-13500</v>
      </c>
      <c r="Z8" s="78"/>
      <c r="AB8" s="68"/>
    </row>
    <row r="9" spans="2:28" x14ac:dyDescent="0.25">
      <c r="B9" s="15">
        <v>46145</v>
      </c>
      <c r="C9" s="192"/>
      <c r="D9" s="196"/>
      <c r="E9" s="192"/>
      <c r="F9" s="191"/>
      <c r="G9" s="192">
        <f>1500+5000</f>
        <v>6500</v>
      </c>
      <c r="H9" s="191">
        <f>700000+540000+35000+1400000+27000+75000</f>
        <v>2777000</v>
      </c>
      <c r="I9" s="192"/>
      <c r="J9" s="191">
        <f>4000</f>
        <v>4000</v>
      </c>
      <c r="K9" s="192"/>
      <c r="L9" s="191">
        <f>17000</f>
        <v>17000</v>
      </c>
      <c r="M9" s="176">
        <f t="shared" si="0"/>
        <v>2804500</v>
      </c>
      <c r="N9" s="208">
        <f>2697500+32000</f>
        <v>2729500</v>
      </c>
      <c r="O9" s="231">
        <f t="shared" si="1"/>
        <v>-75000</v>
      </c>
      <c r="P9" s="101"/>
      <c r="Z9" s="78"/>
      <c r="AB9" s="68"/>
    </row>
    <row r="10" spans="2:28" x14ac:dyDescent="0.25">
      <c r="B10" s="15">
        <v>46146</v>
      </c>
      <c r="C10" s="192">
        <f>40000</f>
        <v>40000</v>
      </c>
      <c r="D10" s="196">
        <f>10000</f>
        <v>10000</v>
      </c>
      <c r="E10" s="192"/>
      <c r="F10" s="191"/>
      <c r="G10" s="192">
        <f>10000</f>
        <v>10000</v>
      </c>
      <c r="H10" s="191">
        <f>420000+200000+27000+32000</f>
        <v>679000</v>
      </c>
      <c r="I10" s="192"/>
      <c r="J10" s="191">
        <f>12800</f>
        <v>12800</v>
      </c>
      <c r="K10" s="192">
        <f>43200+31500</f>
        <v>74700</v>
      </c>
      <c r="L10" s="191">
        <f>8000+78890</f>
        <v>86890</v>
      </c>
      <c r="M10" s="176">
        <f t="shared" si="0"/>
        <v>913390</v>
      </c>
      <c r="N10" s="208">
        <f>832890+37000</f>
        <v>869890</v>
      </c>
      <c r="O10" s="231">
        <f>N10-M10</f>
        <v>-43500</v>
      </c>
      <c r="P10" s="101"/>
      <c r="Z10" s="78"/>
      <c r="AB10" s="68"/>
    </row>
    <row r="11" spans="2:28" x14ac:dyDescent="0.25">
      <c r="B11" s="15">
        <v>46147</v>
      </c>
      <c r="C11" s="195"/>
      <c r="D11" s="191">
        <f>75000</f>
        <v>75000</v>
      </c>
      <c r="E11" s="192">
        <f>1180000</f>
        <v>1180000</v>
      </c>
      <c r="F11" s="191">
        <f>35000</f>
        <v>35000</v>
      </c>
      <c r="G11" s="195">
        <f>600000-600000+330000+420000</f>
        <v>750000</v>
      </c>
      <c r="H11" s="195">
        <f>350000+6000+128500</f>
        <v>484500</v>
      </c>
      <c r="I11" s="195"/>
      <c r="J11" s="191">
        <f>2000</f>
        <v>2000</v>
      </c>
      <c r="K11" s="195">
        <f>8000</f>
        <v>8000</v>
      </c>
      <c r="L11" s="191">
        <f>22500+97500</f>
        <v>120000</v>
      </c>
      <c r="M11" s="176">
        <f t="shared" si="0"/>
        <v>2654500</v>
      </c>
      <c r="N11" s="208">
        <f>2520000+6000</f>
        <v>2526000</v>
      </c>
      <c r="O11" s="231">
        <f t="shared" ref="O11:O13" si="2">N11-M11</f>
        <v>-128500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v>46148</v>
      </c>
      <c r="C12" s="192"/>
      <c r="D12" s="191">
        <f>20000</f>
        <v>20000</v>
      </c>
      <c r="E12" s="192">
        <f>85000</f>
        <v>85000</v>
      </c>
      <c r="F12" s="191">
        <f>490000+1330000</f>
        <v>1820000</v>
      </c>
      <c r="G12" s="192">
        <f>640000+408000+600000</f>
        <v>1648000</v>
      </c>
      <c r="H12" s="191">
        <f>272000+6000+3500</f>
        <v>281500</v>
      </c>
      <c r="I12" s="192"/>
      <c r="J12" s="191">
        <f>7900</f>
        <v>7900</v>
      </c>
      <c r="K12" s="192"/>
      <c r="L12" s="191">
        <f>220098</f>
        <v>220098</v>
      </c>
      <c r="M12" s="176">
        <f t="shared" si="0"/>
        <v>4082498</v>
      </c>
      <c r="N12" s="208">
        <f>4072998+6000</f>
        <v>4078998</v>
      </c>
      <c r="O12" s="231">
        <f t="shared" si="2"/>
        <v>-3500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v>46149</v>
      </c>
      <c r="C13" s="216"/>
      <c r="D13" s="217"/>
      <c r="E13" s="216"/>
      <c r="F13" s="217">
        <f>790000</f>
        <v>790000</v>
      </c>
      <c r="G13" s="216">
        <f>400000+850000+9000</f>
        <v>1259000</v>
      </c>
      <c r="H13" s="217">
        <f>1262500+1790000+600000+12000+70000</f>
        <v>3734500</v>
      </c>
      <c r="I13" s="216"/>
      <c r="J13" s="217">
        <f>10200</f>
        <v>10200</v>
      </c>
      <c r="K13" s="216">
        <f>8000</f>
        <v>8000</v>
      </c>
      <c r="L13" s="217">
        <f>77500</f>
        <v>77500</v>
      </c>
      <c r="M13" s="176">
        <f t="shared" si="0"/>
        <v>5879200</v>
      </c>
      <c r="N13" s="208">
        <f>5788200+21000</f>
        <v>5809200</v>
      </c>
      <c r="O13" s="231">
        <f t="shared" si="2"/>
        <v>-70000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v>46150</v>
      </c>
      <c r="C14" s="216"/>
      <c r="D14" s="217">
        <f>250000</f>
        <v>250000</v>
      </c>
      <c r="E14" s="216">
        <f>5000</f>
        <v>5000</v>
      </c>
      <c r="F14" s="217">
        <f>50000</f>
        <v>50000</v>
      </c>
      <c r="G14" s="216">
        <f>640000</f>
        <v>640000</v>
      </c>
      <c r="H14" s="217">
        <f>73500+240000+350000+28000+7000</f>
        <v>698500</v>
      </c>
      <c r="I14" s="216"/>
      <c r="J14" s="217">
        <f>11400</f>
        <v>11400</v>
      </c>
      <c r="K14" s="216">
        <f>4000+54500+14000</f>
        <v>72500</v>
      </c>
      <c r="L14" s="217">
        <f>38700+15000</f>
        <v>53700</v>
      </c>
      <c r="M14" s="176">
        <f t="shared" si="0"/>
        <v>1781100</v>
      </c>
      <c r="N14" s="208">
        <f>1746100+28000+7000</f>
        <v>1781100</v>
      </c>
      <c r="O14" s="231">
        <f>N14-M14</f>
        <v>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v>46151</v>
      </c>
      <c r="C15" s="216"/>
      <c r="D15" s="240"/>
      <c r="E15" s="216"/>
      <c r="F15" s="217"/>
      <c r="G15" s="216">
        <f>550000</f>
        <v>550000</v>
      </c>
      <c r="H15" s="217">
        <f>550000+600000+40000</f>
        <v>1190000</v>
      </c>
      <c r="I15" s="216"/>
      <c r="J15" s="217">
        <f>12600</f>
        <v>12600</v>
      </c>
      <c r="K15" s="216"/>
      <c r="L15" s="217"/>
      <c r="M15" s="176">
        <f t="shared" si="0"/>
        <v>1752600</v>
      </c>
      <c r="N15" s="208">
        <f>1712600</f>
        <v>1712600</v>
      </c>
      <c r="O15" s="231">
        <f t="shared" si="1"/>
        <v>-40000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v>46152</v>
      </c>
      <c r="C16" s="241"/>
      <c r="D16" s="217"/>
      <c r="E16" s="216"/>
      <c r="F16" s="217"/>
      <c r="G16" s="241">
        <f>5000+150000+400000</f>
        <v>555000</v>
      </c>
      <c r="H16" s="217">
        <f>330000+740000+1390000+28000+50000</f>
        <v>2538000</v>
      </c>
      <c r="I16" s="218"/>
      <c r="J16" s="217"/>
      <c r="K16" s="218"/>
      <c r="L16" s="217">
        <f>125000</f>
        <v>125000</v>
      </c>
      <c r="M16" s="176">
        <f t="shared" si="0"/>
        <v>3218000</v>
      </c>
      <c r="N16" s="208">
        <f>3140000+28000</f>
        <v>3168000</v>
      </c>
      <c r="O16" s="231">
        <f t="shared" si="1"/>
        <v>-50000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v>46153</v>
      </c>
      <c r="C17" s="216"/>
      <c r="D17" s="217">
        <f>320000</f>
        <v>320000</v>
      </c>
      <c r="E17" s="218"/>
      <c r="F17" s="219">
        <f>10000</f>
        <v>10000</v>
      </c>
      <c r="G17" s="216">
        <f>540000+430000+5000+4500</f>
        <v>979500</v>
      </c>
      <c r="H17" s="219">
        <f>400000+150000+120000+600000+75000+27000+40000</f>
        <v>1412000</v>
      </c>
      <c r="I17" s="216"/>
      <c r="J17" s="219">
        <f>12800</f>
        <v>12800</v>
      </c>
      <c r="K17" s="216"/>
      <c r="L17" s="219">
        <f>90900+42400+6600</f>
        <v>139900</v>
      </c>
      <c r="M17" s="176">
        <f t="shared" si="0"/>
        <v>2874200</v>
      </c>
      <c r="N17" s="208">
        <f>2802700+31500</f>
        <v>2834200</v>
      </c>
      <c r="O17" s="231">
        <f>N17-M17</f>
        <v>-40000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v>46154</v>
      </c>
      <c r="C18" s="218">
        <f>2000000</f>
        <v>2000000</v>
      </c>
      <c r="D18" s="217"/>
      <c r="E18" s="216"/>
      <c r="F18" s="217">
        <f>1180000</f>
        <v>1180000</v>
      </c>
      <c r="G18" s="218">
        <f>220000+640000+5000</f>
        <v>865000</v>
      </c>
      <c r="H18" s="217">
        <f>660000+800000+700000+24500+40000+30000</f>
        <v>2254500</v>
      </c>
      <c r="I18" s="218"/>
      <c r="J18" s="217">
        <f>6500</f>
        <v>6500</v>
      </c>
      <c r="K18" s="218">
        <f>4000+110000</f>
        <v>114000</v>
      </c>
      <c r="L18" s="217">
        <f>48600+51800</f>
        <v>100400</v>
      </c>
      <c r="M18" s="176">
        <f t="shared" si="0"/>
        <v>6520400</v>
      </c>
      <c r="N18" s="208">
        <f>6420900+29500+30000</f>
        <v>6480400</v>
      </c>
      <c r="O18" s="231">
        <f t="shared" si="1"/>
        <v>-40000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v>46155</v>
      </c>
      <c r="C19" s="238">
        <f>20000</f>
        <v>20000</v>
      </c>
      <c r="D19" s="239">
        <f>20000</f>
        <v>20000</v>
      </c>
      <c r="E19" s="238">
        <f>5000</f>
        <v>5000</v>
      </c>
      <c r="F19" s="239">
        <f>1135000</f>
        <v>1135000</v>
      </c>
      <c r="G19" s="238">
        <f>200000+1000000+1500</f>
        <v>1201500</v>
      </c>
      <c r="H19" s="239">
        <f>400000+185000+1250000+15000+1500+5000</f>
        <v>1856500</v>
      </c>
      <c r="I19" s="238"/>
      <c r="J19" s="239"/>
      <c r="K19" s="238">
        <f>24500</f>
        <v>24500</v>
      </c>
      <c r="L19" s="239">
        <f>2500+13500+32500</f>
        <v>48500</v>
      </c>
      <c r="M19" s="176">
        <f t="shared" si="0"/>
        <v>4311000</v>
      </c>
      <c r="N19" s="208">
        <f>4303000+3000+180000</f>
        <v>4486000</v>
      </c>
      <c r="O19" s="231">
        <f t="shared" si="1"/>
        <v>175000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v>46156</v>
      </c>
      <c r="C20" s="216"/>
      <c r="D20" s="242"/>
      <c r="E20" s="216"/>
      <c r="F20" s="217">
        <f>1310000</f>
        <v>1310000</v>
      </c>
      <c r="G20" s="216">
        <f>290000</f>
        <v>290000</v>
      </c>
      <c r="H20" s="217">
        <f>360000+90000+18000+5000+32000</f>
        <v>505000</v>
      </c>
      <c r="I20" s="216"/>
      <c r="J20" s="217">
        <f>6500</f>
        <v>6500</v>
      </c>
      <c r="K20" s="216">
        <f>4000+4000</f>
        <v>8000</v>
      </c>
      <c r="L20" s="217">
        <f>48600</f>
        <v>48600</v>
      </c>
      <c r="M20" s="176">
        <f t="shared" si="0"/>
        <v>2168100</v>
      </c>
      <c r="N20" s="208">
        <f>2113100+23000</f>
        <v>2136100</v>
      </c>
      <c r="O20" s="231">
        <f t="shared" si="1"/>
        <v>-32000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v>46157</v>
      </c>
      <c r="C21" s="216"/>
      <c r="D21" s="217">
        <f>1150000</f>
        <v>1150000</v>
      </c>
      <c r="E21" s="216">
        <f>5000</f>
        <v>5000</v>
      </c>
      <c r="F21" s="217">
        <f>15000</f>
        <v>15000</v>
      </c>
      <c r="G21" s="216">
        <f>230000+1500</f>
        <v>231500</v>
      </c>
      <c r="H21" s="217">
        <f>410000+700+750000+1140000+450000+34500+61500</f>
        <v>2846700</v>
      </c>
      <c r="I21" s="216"/>
      <c r="J21" s="217">
        <f>6500+15000</f>
        <v>21500</v>
      </c>
      <c r="K21" s="216">
        <f>4000</f>
        <v>4000</v>
      </c>
      <c r="L21" s="217">
        <f>83600</f>
        <v>83600</v>
      </c>
      <c r="M21" s="176">
        <f t="shared" si="0"/>
        <v>4357300</v>
      </c>
      <c r="N21" s="208">
        <f>4259800+36000</f>
        <v>4295800</v>
      </c>
      <c r="O21" s="232">
        <f t="shared" si="1"/>
        <v>-61500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v>46158</v>
      </c>
      <c r="C22" s="216"/>
      <c r="D22" s="240"/>
      <c r="E22" s="216"/>
      <c r="F22" s="217"/>
      <c r="G22" s="216">
        <f>330000+35+5000</f>
        <v>335035</v>
      </c>
      <c r="H22" s="217">
        <f>420000+18000+16500</f>
        <v>454500</v>
      </c>
      <c r="I22" s="216">
        <f>6500</f>
        <v>6500</v>
      </c>
      <c r="J22" s="217">
        <f>4000</f>
        <v>4000</v>
      </c>
      <c r="K22" s="238">
        <f>10000</f>
        <v>10000</v>
      </c>
      <c r="L22" s="239">
        <f>4000</f>
        <v>4000</v>
      </c>
      <c r="M22" s="176">
        <f t="shared" si="0"/>
        <v>814035</v>
      </c>
      <c r="N22" s="208">
        <f>774535+23000</f>
        <v>797535</v>
      </c>
      <c r="O22" s="231">
        <f t="shared" si="1"/>
        <v>-16500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v>46159</v>
      </c>
      <c r="C23" s="216"/>
      <c r="D23" s="217"/>
      <c r="E23" s="216"/>
      <c r="F23" s="217"/>
      <c r="G23" s="216">
        <f>1050000+1340000+380000+11500</f>
        <v>2781500</v>
      </c>
      <c r="H23" s="217">
        <f>200000+530000+850000+19500+26000+30001</f>
        <v>1655501</v>
      </c>
      <c r="I23" s="216"/>
      <c r="J23" s="217">
        <f>4000</f>
        <v>4000</v>
      </c>
      <c r="K23" s="216">
        <f>3500</f>
        <v>3500</v>
      </c>
      <c r="L23" s="217">
        <f>44500</f>
        <v>44500</v>
      </c>
      <c r="M23" s="176">
        <f t="shared" si="0"/>
        <v>4489001</v>
      </c>
      <c r="N23" s="208">
        <f>4402000+31000+30001</f>
        <v>4463001</v>
      </c>
      <c r="O23" s="232">
        <f t="shared" si="1"/>
        <v>-26000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v>46160</v>
      </c>
      <c r="C24" s="218">
        <f>10000</f>
        <v>10000</v>
      </c>
      <c r="D24" s="217">
        <f>10000</f>
        <v>10000</v>
      </c>
      <c r="E24" s="216"/>
      <c r="F24" s="217"/>
      <c r="G24" s="218">
        <f>600000+440000+6000</f>
        <v>1046000</v>
      </c>
      <c r="H24" s="217">
        <f>180000+3500+100000+1390000+375000+26000+75000</f>
        <v>2149500</v>
      </c>
      <c r="I24" s="218">
        <f>7500+1500</f>
        <v>9000</v>
      </c>
      <c r="J24" s="217"/>
      <c r="K24" s="218">
        <f>25000</f>
        <v>25000</v>
      </c>
      <c r="L24" s="217">
        <f>52900</f>
        <v>52900</v>
      </c>
      <c r="M24" s="176">
        <f t="shared" si="0"/>
        <v>3302400</v>
      </c>
      <c r="N24" s="208">
        <f>3195400+32000</f>
        <v>3227400</v>
      </c>
      <c r="O24" s="232">
        <f t="shared" si="1"/>
        <v>-75000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v>46161</v>
      </c>
      <c r="C25" s="216">
        <f>1000000</f>
        <v>1000000</v>
      </c>
      <c r="D25" s="217">
        <f>10000</f>
        <v>10000</v>
      </c>
      <c r="E25" s="216"/>
      <c r="F25" s="217">
        <f>730000</f>
        <v>730000</v>
      </c>
      <c r="G25" s="216">
        <f>35000</f>
        <v>35000</v>
      </c>
      <c r="H25" s="217">
        <f>120000+430000+25000</f>
        <v>575000</v>
      </c>
      <c r="I25" s="216"/>
      <c r="J25" s="217">
        <f>6500+4000+14000</f>
        <v>24500</v>
      </c>
      <c r="K25" s="216"/>
      <c r="L25" s="217">
        <f>91000+24000</f>
        <v>115000</v>
      </c>
      <c r="M25" s="176">
        <f t="shared" si="0"/>
        <v>2489500</v>
      </c>
      <c r="N25" s="208">
        <v>2464500</v>
      </c>
      <c r="O25" s="232">
        <f t="shared" si="1"/>
        <v>-25000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v>46162</v>
      </c>
      <c r="C26" s="238">
        <f>20000</f>
        <v>20000</v>
      </c>
      <c r="D26" s="239">
        <f>20000</f>
        <v>20000</v>
      </c>
      <c r="E26" s="238"/>
      <c r="F26" s="239">
        <f>105000</f>
        <v>105000</v>
      </c>
      <c r="G26" s="238">
        <f>5000+700000</f>
        <v>705000</v>
      </c>
      <c r="H26" s="239">
        <f>4000+150000+4500+14000</f>
        <v>172500</v>
      </c>
      <c r="I26" s="238">
        <f>15000</f>
        <v>15000</v>
      </c>
      <c r="J26" s="239">
        <f>7500</f>
        <v>7500</v>
      </c>
      <c r="K26" s="238">
        <f>74000</f>
        <v>74000</v>
      </c>
      <c r="L26" s="239">
        <f>71500+8750+59150</f>
        <v>139400</v>
      </c>
      <c r="M26" s="176">
        <f t="shared" si="0"/>
        <v>1258400</v>
      </c>
      <c r="N26" s="208">
        <f>1239900+4500</f>
        <v>1244400</v>
      </c>
      <c r="O26" s="231">
        <f t="shared" si="1"/>
        <v>-14000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v>46163</v>
      </c>
      <c r="C27" s="216"/>
      <c r="D27" s="217">
        <f>10000</f>
        <v>10000</v>
      </c>
      <c r="E27" s="216"/>
      <c r="F27" s="217"/>
      <c r="G27" s="216">
        <f>150000+1500</f>
        <v>151500</v>
      </c>
      <c r="H27" s="217">
        <f>590000+160000+500000+700000+11500+27000</f>
        <v>1988500</v>
      </c>
      <c r="I27" s="216">
        <f>3500</f>
        <v>3500</v>
      </c>
      <c r="J27" s="243">
        <f>4700+17100+7900+8400</f>
        <v>38100</v>
      </c>
      <c r="K27" s="216">
        <f>7500</f>
        <v>7500</v>
      </c>
      <c r="L27" s="217">
        <f>82500+10000</f>
        <v>92500</v>
      </c>
      <c r="M27" s="176">
        <f t="shared" si="0"/>
        <v>2291600</v>
      </c>
      <c r="N27" s="208">
        <f>2251600+13000</f>
        <v>2264600</v>
      </c>
      <c r="O27" s="231">
        <f t="shared" si="1"/>
        <v>-27000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15">
        <v>46164</v>
      </c>
      <c r="C28" s="216"/>
      <c r="D28" s="217"/>
      <c r="E28" s="216"/>
      <c r="F28" s="217"/>
      <c r="G28" s="216">
        <f>165000+180000+120000+7000</f>
        <v>472000</v>
      </c>
      <c r="H28" s="217">
        <f>150000+260000+670000+39000+650000+1097000+550000+58000+71500</f>
        <v>3545500</v>
      </c>
      <c r="I28" s="216"/>
      <c r="J28" s="243"/>
      <c r="K28" s="216">
        <f>118900+17500</f>
        <v>136400</v>
      </c>
      <c r="L28" s="217">
        <f>70000+121000</f>
        <v>191000</v>
      </c>
      <c r="M28" s="176">
        <f t="shared" si="0"/>
        <v>4344900</v>
      </c>
      <c r="N28" s="208">
        <f>4208400+65000</f>
        <v>4273400</v>
      </c>
      <c r="O28" s="231">
        <f t="shared" si="1"/>
        <v>-71500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v>46165</v>
      </c>
      <c r="C29" s="238"/>
      <c r="D29" s="239"/>
      <c r="E29" s="238"/>
      <c r="F29" s="239"/>
      <c r="G29" s="238">
        <f>120000</f>
        <v>120000</v>
      </c>
      <c r="H29" s="239">
        <f>430000+110000+34500</f>
        <v>574500</v>
      </c>
      <c r="I29" s="238"/>
      <c r="J29" s="239">
        <f>6500</f>
        <v>6500</v>
      </c>
      <c r="K29" s="238">
        <f>7000</f>
        <v>7000</v>
      </c>
      <c r="L29" s="239">
        <f>19000+52000</f>
        <v>71000</v>
      </c>
      <c r="M29" s="176">
        <f t="shared" si="0"/>
        <v>779000</v>
      </c>
      <c r="N29" s="208">
        <v>744500</v>
      </c>
      <c r="O29" s="231">
        <f t="shared" si="1"/>
        <v>-34500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v>46166</v>
      </c>
      <c r="C30" s="216"/>
      <c r="D30" s="217"/>
      <c r="E30" s="216"/>
      <c r="F30" s="217"/>
      <c r="G30" s="216"/>
      <c r="H30" s="217">
        <f>700000+3000+18000</f>
        <v>721000</v>
      </c>
      <c r="I30" s="216"/>
      <c r="J30" s="217"/>
      <c r="K30" s="216">
        <f>35000+102800</f>
        <v>137800</v>
      </c>
      <c r="L30" s="217">
        <f>4000</f>
        <v>4000</v>
      </c>
      <c r="M30" s="176">
        <f t="shared" si="0"/>
        <v>862800</v>
      </c>
      <c r="N30" s="208">
        <f>841800+3000</f>
        <v>844800</v>
      </c>
      <c r="O30" s="231">
        <f t="shared" si="1"/>
        <v>-18000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v>46167</v>
      </c>
      <c r="C31" s="199">
        <f>30000</f>
        <v>30000</v>
      </c>
      <c r="D31" s="202">
        <f>30000</f>
        <v>30000</v>
      </c>
      <c r="E31" s="192"/>
      <c r="F31" s="191"/>
      <c r="G31" s="192"/>
      <c r="H31" s="191">
        <f>280000+380000+15500+20500</f>
        <v>696000</v>
      </c>
      <c r="I31" s="192">
        <f>36500</f>
        <v>36500</v>
      </c>
      <c r="J31" s="191"/>
      <c r="K31" s="199">
        <f>22000</f>
        <v>22000</v>
      </c>
      <c r="L31" s="198">
        <f>39200</f>
        <v>39200</v>
      </c>
      <c r="M31" s="176">
        <f t="shared" si="0"/>
        <v>853700</v>
      </c>
      <c r="N31" s="208">
        <f>817700+15500</f>
        <v>833200</v>
      </c>
      <c r="O31" s="231">
        <f t="shared" si="1"/>
        <v>-20500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v>46168</v>
      </c>
      <c r="C32" s="187">
        <f>350000</f>
        <v>350000</v>
      </c>
      <c r="D32" s="190"/>
      <c r="E32" s="189"/>
      <c r="F32" s="190"/>
      <c r="G32" s="187">
        <f>160000+3000</f>
        <v>163000</v>
      </c>
      <c r="H32" s="190">
        <f>230000+20000</f>
        <v>250000</v>
      </c>
      <c r="I32" s="189">
        <f>25000+4200</f>
        <v>29200</v>
      </c>
      <c r="J32" s="190">
        <f>3711.29</f>
        <v>3711.29</v>
      </c>
      <c r="K32" s="189">
        <f>43000</f>
        <v>43000</v>
      </c>
      <c r="L32" s="190">
        <f>60500</f>
        <v>60500</v>
      </c>
      <c r="M32" s="176">
        <f t="shared" si="0"/>
        <v>899411.29</v>
      </c>
      <c r="N32" s="208">
        <f>876411.29+3000</f>
        <v>879411.29</v>
      </c>
      <c r="O32" s="231">
        <f t="shared" si="1"/>
        <v>-20000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v>46169</v>
      </c>
      <c r="C33" s="192"/>
      <c r="D33" s="191"/>
      <c r="E33" s="192"/>
      <c r="F33" s="191"/>
      <c r="G33" s="192">
        <f>80000+3000</f>
        <v>83000</v>
      </c>
      <c r="H33" s="191">
        <f>360000+35000+1500+24500+430000</f>
        <v>851000</v>
      </c>
      <c r="I33" s="199"/>
      <c r="J33" s="191">
        <f>30000</f>
        <v>30000</v>
      </c>
      <c r="K33" s="192">
        <f>240000</f>
        <v>240000</v>
      </c>
      <c r="L33" s="191">
        <f>48200+45500</f>
        <v>93700</v>
      </c>
      <c r="M33" s="176">
        <f t="shared" si="0"/>
        <v>1297700</v>
      </c>
      <c r="N33" s="208">
        <f>1268700+4500</f>
        <v>1273200</v>
      </c>
      <c r="O33" s="231">
        <f t="shared" si="1"/>
        <v>-24500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v>46170</v>
      </c>
      <c r="C34" s="192"/>
      <c r="D34" s="191"/>
      <c r="E34" s="192"/>
      <c r="F34" s="191"/>
      <c r="G34" s="192">
        <f>6000</f>
        <v>6000</v>
      </c>
      <c r="H34" s="191">
        <f>36744.4+650000+5000+4000+36950</f>
        <v>732694.4</v>
      </c>
      <c r="I34" s="192"/>
      <c r="J34" s="191"/>
      <c r="K34" s="192"/>
      <c r="L34" s="191"/>
      <c r="M34" s="176">
        <f t="shared" si="0"/>
        <v>738694.4</v>
      </c>
      <c r="N34" s="208">
        <f>691744.4+10000</f>
        <v>701744.4</v>
      </c>
      <c r="O34" s="231">
        <f t="shared" si="1"/>
        <v>-36950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v>46171</v>
      </c>
      <c r="C35" s="192"/>
      <c r="D35" s="200"/>
      <c r="E35" s="192"/>
      <c r="F35" s="191"/>
      <c r="G35" s="199">
        <f>380000+700000+900000+10000</f>
        <v>1990000</v>
      </c>
      <c r="H35" s="198">
        <f>110000+550000+27500</f>
        <v>687500</v>
      </c>
      <c r="I35" s="199"/>
      <c r="J35" s="198">
        <f>4900+4000</f>
        <v>8900</v>
      </c>
      <c r="K35" s="199">
        <f>1500</f>
        <v>1500</v>
      </c>
      <c r="L35" s="198">
        <f>18000+21000</f>
        <v>39000</v>
      </c>
      <c r="M35" s="56">
        <f t="shared" si="0"/>
        <v>2726900</v>
      </c>
      <c r="N35" s="205">
        <f>2689400+37500</f>
        <v>2726900</v>
      </c>
      <c r="O35" s="231">
        <f t="shared" si="1"/>
        <v>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v>46172</v>
      </c>
      <c r="C36" s="192"/>
      <c r="D36" s="200"/>
      <c r="E36" s="192"/>
      <c r="F36" s="191"/>
      <c r="G36" s="192">
        <f>365000+650000+600000+4000</f>
        <v>1619000</v>
      </c>
      <c r="H36" s="191">
        <f>440000+3500+9000</f>
        <v>452500</v>
      </c>
      <c r="I36" s="192"/>
      <c r="J36" s="191"/>
      <c r="K36" s="192"/>
      <c r="L36" s="191">
        <f>104200</f>
        <v>104200</v>
      </c>
      <c r="M36" s="56">
        <f t="shared" si="0"/>
        <v>2175700</v>
      </c>
      <c r="N36" s="205">
        <f>2159200+7500</f>
        <v>2166700</v>
      </c>
      <c r="O36" s="231">
        <f t="shared" si="1"/>
        <v>-9000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>
        <v>46173</v>
      </c>
      <c r="C37" s="192"/>
      <c r="D37" s="200"/>
      <c r="E37" s="192"/>
      <c r="F37" s="191"/>
      <c r="G37" s="192">
        <v>235000</v>
      </c>
      <c r="H37" s="191">
        <f>9500+430000+155000+540000+10000+4500+58000</f>
        <v>1207000</v>
      </c>
      <c r="I37" s="192">
        <f>4000</f>
        <v>4000</v>
      </c>
      <c r="J37" s="191"/>
      <c r="K37" s="192">
        <f>5000</f>
        <v>5000</v>
      </c>
      <c r="L37" s="191">
        <f>2750</f>
        <v>2750</v>
      </c>
      <c r="M37" s="56">
        <f t="shared" si="0"/>
        <v>1453750</v>
      </c>
      <c r="N37" s="205">
        <f>1391250+4500</f>
        <v>1395750</v>
      </c>
      <c r="O37" s="231">
        <f t="shared" si="1"/>
        <v>-58000</v>
      </c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3470000</v>
      </c>
      <c r="D39" s="25">
        <f>SUM(D7:D38)</f>
        <v>1925000</v>
      </c>
      <c r="E39" s="24">
        <f t="shared" ref="E39:K39" si="3">SUM(E7:E38)</f>
        <v>1300000</v>
      </c>
      <c r="F39" s="59">
        <f t="shared" si="3"/>
        <v>7200000</v>
      </c>
      <c r="G39" s="24">
        <f t="shared" si="3"/>
        <v>20805035</v>
      </c>
      <c r="H39" s="25">
        <f>SUM(H7:H38)</f>
        <v>41253395.399999999</v>
      </c>
      <c r="I39" s="24">
        <f t="shared" si="3"/>
        <v>144800</v>
      </c>
      <c r="J39" s="25">
        <f>SUM(J7:J38)</f>
        <v>305511.28999999998</v>
      </c>
      <c r="K39" s="24">
        <f t="shared" si="3"/>
        <v>1123900</v>
      </c>
      <c r="L39" s="25">
        <f>SUM(L7:L38)</f>
        <v>2224788</v>
      </c>
      <c r="M39" s="28">
        <f>SUM(M7:M38)</f>
        <v>79752429.690000013</v>
      </c>
      <c r="N39" s="27">
        <f>SUM(N7:N38)</f>
        <v>78839479.690000013</v>
      </c>
      <c r="O39" s="26">
        <f>N39-M39</f>
        <v>-912950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5395000</v>
      </c>
      <c r="D40" s="282"/>
      <c r="E40" s="267">
        <f>SUM(E39:F39)</f>
        <v>8500000</v>
      </c>
      <c r="F40" s="268"/>
      <c r="G40" s="281">
        <f>SUM(G39:H39)</f>
        <v>62058430.399999999</v>
      </c>
      <c r="H40" s="282"/>
      <c r="I40" s="267">
        <f>SUM(I39:J39)</f>
        <v>450311.29</v>
      </c>
      <c r="J40" s="268"/>
      <c r="K40" s="281">
        <f>SUM(K39:L39)</f>
        <v>3348688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46142</v>
      </c>
      <c r="C45" s="203">
        <v>0</v>
      </c>
      <c r="D45" s="14"/>
      <c r="E45" s="203">
        <v>0</v>
      </c>
      <c r="F45" s="14"/>
      <c r="G45" s="203"/>
      <c r="H45" s="14">
        <v>873500</v>
      </c>
      <c r="I45" s="203"/>
      <c r="J45" s="14">
        <v>25495</v>
      </c>
      <c r="K45" s="134"/>
      <c r="L45" s="14">
        <v>71000</v>
      </c>
      <c r="M45" s="203">
        <v>0</v>
      </c>
      <c r="N45" s="203">
        <f>F45+H45+J45+L45</f>
        <v>969995</v>
      </c>
      <c r="O45" s="203">
        <f>N45-M45</f>
        <v>969995</v>
      </c>
      <c r="P45" s="85">
        <v>46143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46173</v>
      </c>
      <c r="C48" s="203">
        <v>0</v>
      </c>
      <c r="D48" s="14"/>
      <c r="E48" s="203">
        <v>0</v>
      </c>
      <c r="F48" s="14"/>
      <c r="G48" s="203">
        <v>0</v>
      </c>
      <c r="H48" s="14">
        <v>1003250</v>
      </c>
      <c r="I48" s="203">
        <v>0</v>
      </c>
      <c r="J48" s="14"/>
      <c r="K48" s="134">
        <v>0</v>
      </c>
      <c r="L48" s="14">
        <v>0</v>
      </c>
      <c r="M48" s="203"/>
      <c r="N48" s="203">
        <f>F48+H48+J48+L48+D48</f>
        <v>1003250</v>
      </c>
      <c r="O48" s="203">
        <f>N48-M48</f>
        <v>1003250</v>
      </c>
      <c r="P48" s="151">
        <v>46174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0</v>
      </c>
      <c r="F50" s="263"/>
      <c r="G50" s="262">
        <f>H45+H46-H47-H48</f>
        <v>-129750</v>
      </c>
      <c r="H50" s="263"/>
      <c r="I50" s="262">
        <f>J45+J46-J47-J48</f>
        <v>25495</v>
      </c>
      <c r="J50" s="263"/>
      <c r="K50" s="262">
        <f>L45+L46-L47-L48</f>
        <v>71000</v>
      </c>
      <c r="L50" s="263"/>
    </row>
    <row r="51" spans="2:28" x14ac:dyDescent="0.25">
      <c r="B51" s="294" t="s">
        <v>12</v>
      </c>
      <c r="C51" s="295"/>
      <c r="D51" s="212">
        <f>D39+D50</f>
        <v>1925000</v>
      </c>
      <c r="E51" s="289">
        <f>F39+E50</f>
        <v>7200000</v>
      </c>
      <c r="F51" s="290"/>
      <c r="G51" s="289">
        <f>H39+G50</f>
        <v>41123645.399999999</v>
      </c>
      <c r="H51" s="290"/>
      <c r="I51" s="291">
        <f>J39+I50</f>
        <v>331006.28999999998</v>
      </c>
      <c r="J51" s="292"/>
      <c r="K51" s="289">
        <f>L39+K50</f>
        <v>2295788</v>
      </c>
      <c r="L51" s="290"/>
    </row>
    <row r="52" spans="2:28" s="42" customFormat="1" x14ac:dyDescent="0.25">
      <c r="B52" s="257" t="s">
        <v>17</v>
      </c>
      <c r="C52" s="257"/>
      <c r="D52" s="296">
        <f>SUM(D51:L51)</f>
        <v>52875439.689999998</v>
      </c>
      <c r="E52" s="296"/>
      <c r="F52" s="296"/>
      <c r="G52" s="296"/>
      <c r="H52" s="296"/>
      <c r="I52" s="236"/>
      <c r="J52" s="236"/>
      <c r="K52" s="236"/>
      <c r="L52" s="23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11464.164000000001</v>
      </c>
      <c r="P54" s="87"/>
      <c r="S54">
        <v>3.6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26843735</v>
      </c>
      <c r="D55" s="149">
        <f>D39+H39+F39+J39+L39</f>
        <v>52908694.689999998</v>
      </c>
      <c r="E55" s="58"/>
      <c r="F55" s="58"/>
      <c r="M55" s="63" t="s">
        <v>25</v>
      </c>
      <c r="N55" s="64">
        <f>N59*S55/100</f>
        <v>43309.063999999991</v>
      </c>
      <c r="P55" s="88"/>
      <c r="S55">
        <v>13.6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79752429.689999998</v>
      </c>
      <c r="D56" s="285"/>
      <c r="E56" s="57"/>
      <c r="F56" s="57"/>
      <c r="M56" s="63" t="s">
        <v>28</v>
      </c>
      <c r="N56" s="64">
        <f>N59*S56/100</f>
        <v>248390.22</v>
      </c>
      <c r="R56" s="87"/>
      <c r="S56">
        <v>78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1910.694</v>
      </c>
      <c r="S57">
        <v>0.6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13374.858</v>
      </c>
      <c r="S58">
        <v>4.2</v>
      </c>
      <c r="Y58" s="4"/>
      <c r="AA58" s="78"/>
      <c r="AB58" s="68"/>
    </row>
    <row r="59" spans="2:28" x14ac:dyDescent="0.25">
      <c r="J59" t="s">
        <v>3</v>
      </c>
      <c r="N59" s="64">
        <v>318449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79719174.689999998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T56:U56"/>
    <mergeCell ref="Z56:AA56"/>
    <mergeCell ref="C60:D60"/>
    <mergeCell ref="B50:C50"/>
    <mergeCell ref="E50:F50"/>
    <mergeCell ref="G50:H50"/>
    <mergeCell ref="I50:J50"/>
    <mergeCell ref="B52:C52"/>
    <mergeCell ref="D52:H52"/>
    <mergeCell ref="C56:D56"/>
    <mergeCell ref="K50:L50"/>
    <mergeCell ref="B51:C51"/>
    <mergeCell ref="E51:F51"/>
    <mergeCell ref="G51:H51"/>
    <mergeCell ref="I51:J51"/>
    <mergeCell ref="K51:L5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B2:M2"/>
    <mergeCell ref="B3:C3"/>
    <mergeCell ref="D3:G3"/>
    <mergeCell ref="C5:D5"/>
    <mergeCell ref="E5:F5"/>
    <mergeCell ref="G5:H5"/>
    <mergeCell ref="I5:J5"/>
    <mergeCell ref="K5:L5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E68F-91DF-4C17-B890-4B1027F1510E}">
  <sheetPr>
    <pageSetUpPr fitToPage="1"/>
  </sheetPr>
  <dimension ref="A1:AB72"/>
  <sheetViews>
    <sheetView tabSelected="1" topLeftCell="A25" workbookViewId="0">
      <selection activeCell="K30" sqref="K30"/>
    </sheetView>
  </sheetViews>
  <sheetFormatPr defaultRowHeight="15" x14ac:dyDescent="0.25"/>
  <cols>
    <col min="1" max="1" width="1.5703125" customWidth="1"/>
    <col min="2" max="2" width="9.140625" style="1" customWidth="1"/>
    <col min="3" max="3" width="12.7109375" customWidth="1"/>
    <col min="4" max="4" width="13.5703125" customWidth="1"/>
    <col min="5" max="5" width="10.85546875" customWidth="1"/>
    <col min="6" max="6" width="15.28515625" customWidth="1"/>
    <col min="7" max="8" width="12.42578125" customWidth="1"/>
    <col min="9" max="9" width="10.140625" customWidth="1"/>
    <col min="10" max="10" width="11.140625" customWidth="1"/>
    <col min="11" max="12" width="11" customWidth="1"/>
    <col min="13" max="13" width="15.42578125" customWidth="1"/>
    <col min="14" max="14" width="13.140625" customWidth="1"/>
    <col min="15" max="15" width="11.42578125" customWidth="1"/>
    <col min="16" max="16" width="19.28515625" style="68" customWidth="1"/>
    <col min="17" max="17" width="9.140625" style="68" customWidth="1"/>
    <col min="18" max="18" width="9" style="68" customWidth="1"/>
    <col min="19" max="19" width="9.140625" style="68" customWidth="1"/>
    <col min="20" max="20" width="11.42578125" style="68" customWidth="1"/>
    <col min="21" max="21" width="6.7109375" style="68" customWidth="1"/>
    <col min="22" max="22" width="9.140625" style="68" customWidth="1"/>
    <col min="23" max="23" width="5.5703125" style="68" customWidth="1"/>
    <col min="25" max="25" width="8.5703125" customWidth="1"/>
    <col min="26" max="27" width="4.140625" customWidth="1"/>
  </cols>
  <sheetData>
    <row r="1" spans="2:28" ht="18.75" x14ac:dyDescent="0.3">
      <c r="B1" s="75" t="s">
        <v>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2:28" ht="18.75" x14ac:dyDescent="0.3">
      <c r="B2" s="272" t="s">
        <v>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2:28" ht="18.75" x14ac:dyDescent="0.3">
      <c r="B3" s="273"/>
      <c r="C3" s="273"/>
      <c r="D3" s="274" t="s">
        <v>139</v>
      </c>
      <c r="E3" s="274"/>
      <c r="F3" s="274"/>
      <c r="G3" s="274"/>
      <c r="H3" s="39">
        <v>2026</v>
      </c>
      <c r="I3" s="39"/>
      <c r="J3" s="39"/>
      <c r="K3" s="39"/>
      <c r="L3" s="39"/>
    </row>
    <row r="4" spans="2:28" ht="15.75" thickBot="1" x14ac:dyDescent="0.3"/>
    <row r="5" spans="2:28" ht="15.75" thickBot="1" x14ac:dyDescent="0.3">
      <c r="C5" s="275" t="s">
        <v>24</v>
      </c>
      <c r="D5" s="276"/>
      <c r="E5" s="277" t="s">
        <v>25</v>
      </c>
      <c r="F5" s="278"/>
      <c r="G5" s="277" t="s">
        <v>26</v>
      </c>
      <c r="H5" s="279"/>
      <c r="I5" s="277" t="s">
        <v>27</v>
      </c>
      <c r="J5" s="279"/>
      <c r="K5" s="277" t="s">
        <v>34</v>
      </c>
      <c r="L5" s="279"/>
    </row>
    <row r="6" spans="2:28" s="8" customFormat="1" ht="45.75" customHeight="1" thickBot="1" x14ac:dyDescent="0.3">
      <c r="B6" s="18" t="s">
        <v>0</v>
      </c>
      <c r="C6" s="19" t="s">
        <v>2</v>
      </c>
      <c r="D6" s="20" t="s">
        <v>1</v>
      </c>
      <c r="E6" s="21" t="s">
        <v>2</v>
      </c>
      <c r="F6" s="41" t="s">
        <v>1</v>
      </c>
      <c r="G6" s="19" t="s">
        <v>2</v>
      </c>
      <c r="H6" s="20" t="s">
        <v>1</v>
      </c>
      <c r="I6" s="19" t="s">
        <v>2</v>
      </c>
      <c r="J6" s="20" t="s">
        <v>1</v>
      </c>
      <c r="K6" s="19" t="s">
        <v>2</v>
      </c>
      <c r="L6" s="20" t="s">
        <v>1</v>
      </c>
      <c r="M6" s="19" t="s">
        <v>4</v>
      </c>
      <c r="N6" s="22" t="s">
        <v>7</v>
      </c>
      <c r="O6" s="66" t="s">
        <v>128</v>
      </c>
      <c r="P6" s="76"/>
      <c r="Q6" s="77"/>
      <c r="R6" s="77"/>
      <c r="S6" s="77"/>
      <c r="T6" s="77"/>
      <c r="U6" s="77"/>
      <c r="V6" s="77"/>
      <c r="W6" s="77"/>
    </row>
    <row r="7" spans="2:28" x14ac:dyDescent="0.25">
      <c r="B7" s="15">
        <v>46174</v>
      </c>
      <c r="C7" s="192">
        <f>110000</f>
        <v>110000</v>
      </c>
      <c r="D7" s="191">
        <f>980000</f>
        <v>980000</v>
      </c>
      <c r="E7" s="192"/>
      <c r="F7" s="191"/>
      <c r="G7" s="193">
        <f>430000+195000+8000</f>
        <v>633000</v>
      </c>
      <c r="H7" s="194">
        <f>1300000+37000+46500</f>
        <v>1383500</v>
      </c>
      <c r="I7" s="193"/>
      <c r="J7" s="194"/>
      <c r="K7" s="193">
        <f>22500+129000</f>
        <v>151500</v>
      </c>
      <c r="L7" s="194">
        <f>96500+34000</f>
        <v>130500</v>
      </c>
      <c r="M7" s="254">
        <f>SUM(C7:L7)</f>
        <v>3388500</v>
      </c>
      <c r="N7" s="255">
        <f>3297000+45000</f>
        <v>3342000</v>
      </c>
      <c r="O7" s="232">
        <f>N7-M7</f>
        <v>-46500</v>
      </c>
      <c r="Q7" s="109"/>
      <c r="R7" s="123"/>
      <c r="S7" s="123"/>
      <c r="T7" s="106"/>
      <c r="U7" s="123"/>
      <c r="V7" s="67"/>
      <c r="X7" s="67"/>
      <c r="Z7" s="78"/>
      <c r="AB7" s="68"/>
    </row>
    <row r="8" spans="2:28" x14ac:dyDescent="0.25">
      <c r="B8" s="15">
        <v>46175</v>
      </c>
      <c r="C8" s="195">
        <f>6690</f>
        <v>6690</v>
      </c>
      <c r="D8" s="191">
        <f>1000000</f>
        <v>1000000</v>
      </c>
      <c r="E8" s="192">
        <f>1336000</f>
        <v>1336000</v>
      </c>
      <c r="F8" s="191">
        <f>129000</f>
        <v>129000</v>
      </c>
      <c r="G8" s="195">
        <f>1890000+350000</f>
        <v>2240000</v>
      </c>
      <c r="H8" s="191">
        <f>750000+20000</f>
        <v>770000</v>
      </c>
      <c r="I8" s="195">
        <f>4000</f>
        <v>4000</v>
      </c>
      <c r="J8" s="191">
        <f>4200</f>
        <v>4200</v>
      </c>
      <c r="K8" s="195">
        <f>16000+46000</f>
        <v>62000</v>
      </c>
      <c r="L8" s="191">
        <f>61500</f>
        <v>61500</v>
      </c>
      <c r="M8" s="254">
        <f t="shared" ref="M8:M36" si="0">SUM(C8:L8)</f>
        <v>5613390</v>
      </c>
      <c r="N8" s="255">
        <f>5593390</f>
        <v>5593390</v>
      </c>
      <c r="O8" s="232">
        <f t="shared" ref="O8:O36" si="1">N8-M8</f>
        <v>-20000</v>
      </c>
      <c r="Z8" s="78"/>
      <c r="AB8" s="68"/>
    </row>
    <row r="9" spans="2:28" x14ac:dyDescent="0.25">
      <c r="B9" s="15">
        <v>46176</v>
      </c>
      <c r="C9" s="192"/>
      <c r="D9" s="196"/>
      <c r="E9" s="192"/>
      <c r="F9" s="191">
        <f>5000</f>
        <v>5000</v>
      </c>
      <c r="G9" s="192">
        <f>150000</f>
        <v>150000</v>
      </c>
      <c r="H9" s="191">
        <f>1130000+530000+3000+42000</f>
        <v>1705000</v>
      </c>
      <c r="I9" s="192">
        <f>6500+3080</f>
        <v>9580</v>
      </c>
      <c r="J9" s="191"/>
      <c r="K9" s="192">
        <f>9000</f>
        <v>9000</v>
      </c>
      <c r="L9" s="191">
        <f>9750</f>
        <v>9750</v>
      </c>
      <c r="M9" s="254">
        <f t="shared" si="0"/>
        <v>1888330</v>
      </c>
      <c r="N9" s="255">
        <f>1843330+3000</f>
        <v>1846330</v>
      </c>
      <c r="O9" s="232">
        <f t="shared" si="1"/>
        <v>-42000</v>
      </c>
      <c r="P9" s="101"/>
      <c r="Z9" s="78"/>
      <c r="AB9" s="68"/>
    </row>
    <row r="10" spans="2:28" x14ac:dyDescent="0.25">
      <c r="B10" s="15">
        <v>46177</v>
      </c>
      <c r="C10" s="192">
        <v>790000</v>
      </c>
      <c r="D10" s="196">
        <f>210000</f>
        <v>210000</v>
      </c>
      <c r="E10" s="192">
        <f>1480000</f>
        <v>1480000</v>
      </c>
      <c r="F10" s="191"/>
      <c r="G10" s="192">
        <f>3000+170000</f>
        <v>173000</v>
      </c>
      <c r="H10" s="191">
        <f>400000+430000+790000+1500</f>
        <v>1621500</v>
      </c>
      <c r="I10" s="192">
        <f>18100</f>
        <v>18100</v>
      </c>
      <c r="J10" s="191">
        <f>8000+3000+15000</f>
        <v>26000</v>
      </c>
      <c r="K10" s="192">
        <f>9000</f>
        <v>9000</v>
      </c>
      <c r="L10" s="191">
        <f>132100</f>
        <v>132100</v>
      </c>
      <c r="M10" s="254">
        <f t="shared" si="0"/>
        <v>4459700</v>
      </c>
      <c r="N10" s="255">
        <v>4458200</v>
      </c>
      <c r="O10" s="232">
        <f>N10-M10</f>
        <v>-1500</v>
      </c>
      <c r="P10" s="101"/>
      <c r="Z10" s="78"/>
      <c r="AB10" s="68"/>
    </row>
    <row r="11" spans="2:28" x14ac:dyDescent="0.25">
      <c r="B11" s="256">
        <v>46178</v>
      </c>
      <c r="C11" s="195">
        <f>800000</f>
        <v>800000</v>
      </c>
      <c r="D11" s="191"/>
      <c r="E11" s="192">
        <f>5000</f>
        <v>5000</v>
      </c>
      <c r="F11" s="191">
        <f>40000</f>
        <v>40000</v>
      </c>
      <c r="G11" s="195">
        <f>2000</f>
        <v>2000</v>
      </c>
      <c r="H11" s="195">
        <f>190000+30000+8500+39500</f>
        <v>268000</v>
      </c>
      <c r="I11" s="195">
        <f>4000+15000</f>
        <v>19000</v>
      </c>
      <c r="J11" s="191"/>
      <c r="K11" s="195">
        <f>4000+5000+5000</f>
        <v>14000</v>
      </c>
      <c r="L11" s="191">
        <f>79800+45000+49000</f>
        <v>173800</v>
      </c>
      <c r="M11" s="254">
        <f t="shared" si="0"/>
        <v>1321800</v>
      </c>
      <c r="N11" s="255">
        <f>1271800+10500</f>
        <v>1282300</v>
      </c>
      <c r="O11" s="232">
        <f t="shared" ref="O11:O13" si="2">N11-M11</f>
        <v>-39500</v>
      </c>
      <c r="P11" s="101"/>
      <c r="Q11" s="123"/>
      <c r="R11" s="67"/>
      <c r="T11" s="123"/>
      <c r="U11" s="123"/>
      <c r="V11" s="123"/>
      <c r="W11" s="123"/>
      <c r="X11" s="68"/>
      <c r="Y11" s="68"/>
      <c r="AB11" s="67"/>
    </row>
    <row r="12" spans="2:28" x14ac:dyDescent="0.25">
      <c r="B12" s="15">
        <v>46179</v>
      </c>
      <c r="C12" s="192"/>
      <c r="D12" s="191"/>
      <c r="E12" s="192"/>
      <c r="F12" s="191"/>
      <c r="G12" s="192">
        <f>410000</f>
        <v>410000</v>
      </c>
      <c r="H12" s="191">
        <f>600000+200000+54000+49000</f>
        <v>903000</v>
      </c>
      <c r="I12" s="192"/>
      <c r="J12" s="191">
        <f>6500+3000+3711.29</f>
        <v>13211.29</v>
      </c>
      <c r="K12" s="192">
        <f>1000+32575</f>
        <v>33575</v>
      </c>
      <c r="L12" s="191">
        <f>73000+38480</f>
        <v>111480</v>
      </c>
      <c r="M12" s="254">
        <f t="shared" si="0"/>
        <v>1471266.29</v>
      </c>
      <c r="N12" s="255">
        <f>1368266.29+54000</f>
        <v>1422266.29</v>
      </c>
      <c r="O12" s="232">
        <f t="shared" si="2"/>
        <v>-49000</v>
      </c>
      <c r="P12" s="101"/>
      <c r="Q12" s="123"/>
      <c r="S12" s="124"/>
      <c r="T12" s="123"/>
      <c r="U12" s="123"/>
      <c r="V12" s="67"/>
      <c r="X12" s="67"/>
      <c r="Y12" s="67"/>
      <c r="AB12" s="68"/>
    </row>
    <row r="13" spans="2:28" x14ac:dyDescent="0.25">
      <c r="B13" s="15">
        <v>46180</v>
      </c>
      <c r="C13" s="216">
        <f>1000000</f>
        <v>1000000</v>
      </c>
      <c r="D13" s="217"/>
      <c r="E13" s="216"/>
      <c r="F13" s="217"/>
      <c r="G13" s="216">
        <f>150000+150000+720000</f>
        <v>1020000</v>
      </c>
      <c r="H13" s="217">
        <f>1000000+65000+430000+250000+3500+80000</f>
        <v>1828500</v>
      </c>
      <c r="I13" s="216">
        <f>4000+4000</f>
        <v>8000</v>
      </c>
      <c r="J13" s="217">
        <f>8000</f>
        <v>8000</v>
      </c>
      <c r="K13" s="216">
        <f>4000</f>
        <v>4000</v>
      </c>
      <c r="L13" s="217">
        <f>73500</f>
        <v>73500</v>
      </c>
      <c r="M13" s="254">
        <f t="shared" si="0"/>
        <v>3942000</v>
      </c>
      <c r="N13" s="255">
        <f>3858500+3500</f>
        <v>3862000</v>
      </c>
      <c r="O13" s="232">
        <f t="shared" si="2"/>
        <v>-80000</v>
      </c>
      <c r="P13" s="101"/>
      <c r="U13" s="123"/>
      <c r="V13" s="123"/>
      <c r="W13" s="123"/>
      <c r="X13" s="68"/>
      <c r="Y13" s="67"/>
      <c r="AB13" s="68"/>
    </row>
    <row r="14" spans="2:28" x14ac:dyDescent="0.25">
      <c r="B14" s="15">
        <v>46181</v>
      </c>
      <c r="C14" s="216"/>
      <c r="D14" s="217">
        <f>400000+20000</f>
        <v>420000</v>
      </c>
      <c r="E14" s="216"/>
      <c r="F14" s="217"/>
      <c r="G14" s="216">
        <f>590000+540000+10000</f>
        <v>1140000</v>
      </c>
      <c r="H14" s="217">
        <f>600000+4000+410000+10000+5000</f>
        <v>1029000</v>
      </c>
      <c r="I14" s="216"/>
      <c r="J14" s="217">
        <f>4000+11500</f>
        <v>15500</v>
      </c>
      <c r="K14" s="216">
        <f>6000+37500</f>
        <v>43500</v>
      </c>
      <c r="L14" s="217">
        <f>73000+9000</f>
        <v>82000</v>
      </c>
      <c r="M14" s="254">
        <f t="shared" si="0"/>
        <v>2730000</v>
      </c>
      <c r="N14" s="255">
        <f>2705000+20000</f>
        <v>2725000</v>
      </c>
      <c r="O14" s="232">
        <f>N14-M14</f>
        <v>-5000</v>
      </c>
      <c r="T14" s="123"/>
      <c r="U14" s="123"/>
      <c r="V14" s="78"/>
      <c r="W14" s="123"/>
      <c r="X14" s="68"/>
      <c r="Y14" s="68"/>
      <c r="AB14" s="68"/>
    </row>
    <row r="15" spans="2:28" x14ac:dyDescent="0.25">
      <c r="B15" s="15">
        <v>46182</v>
      </c>
      <c r="C15" s="246"/>
      <c r="D15" s="247"/>
      <c r="E15" s="246"/>
      <c r="F15" s="239">
        <f>85000</f>
        <v>85000</v>
      </c>
      <c r="G15" s="238">
        <f>1170000+600000+400000+10000</f>
        <v>2180000</v>
      </c>
      <c r="H15" s="239">
        <f>600000+690000-5000+10000+51500</f>
        <v>1346500</v>
      </c>
      <c r="I15" s="238">
        <f>4000+4200</f>
        <v>8200</v>
      </c>
      <c r="J15" s="239">
        <f>6200+8400</f>
        <v>14600</v>
      </c>
      <c r="K15" s="238"/>
      <c r="L15" s="239">
        <f>31000</f>
        <v>31000</v>
      </c>
      <c r="M15" s="254">
        <f t="shared" si="0"/>
        <v>3665300</v>
      </c>
      <c r="N15" s="255">
        <f>3593800+20000</f>
        <v>3613800</v>
      </c>
      <c r="O15" s="232">
        <f t="shared" si="1"/>
        <v>-51500</v>
      </c>
      <c r="P15" s="159"/>
      <c r="R15" s="109"/>
      <c r="S15" s="123"/>
      <c r="T15" s="123"/>
      <c r="U15" s="67"/>
      <c r="V15" s="123"/>
      <c r="W15" s="67"/>
      <c r="X15" s="123"/>
      <c r="Y15" s="68"/>
    </row>
    <row r="16" spans="2:28" x14ac:dyDescent="0.25">
      <c r="B16" s="15">
        <v>46183</v>
      </c>
      <c r="C16" s="241"/>
      <c r="D16" s="217"/>
      <c r="E16" s="216">
        <f>685000</f>
        <v>685000</v>
      </c>
      <c r="F16" s="217">
        <f>40000</f>
        <v>40000</v>
      </c>
      <c r="G16" s="241">
        <f>410000+540000</f>
        <v>950000</v>
      </c>
      <c r="H16" s="217">
        <f>250000+600000+8000+26000</f>
        <v>884000</v>
      </c>
      <c r="I16" s="218">
        <f>6500+3500</f>
        <v>10000</v>
      </c>
      <c r="J16" s="217"/>
      <c r="K16" s="218">
        <f>12500</f>
        <v>12500</v>
      </c>
      <c r="L16" s="217">
        <f>14500</f>
        <v>14500</v>
      </c>
      <c r="M16" s="254">
        <f t="shared" si="0"/>
        <v>2596000</v>
      </c>
      <c r="N16" s="255">
        <f>2557000+8000+5000</f>
        <v>2570000</v>
      </c>
      <c r="O16" s="232">
        <f t="shared" si="1"/>
        <v>-26000</v>
      </c>
      <c r="P16" s="101"/>
      <c r="R16" s="109"/>
      <c r="T16" s="123"/>
      <c r="U16" s="123"/>
      <c r="V16" s="78"/>
      <c r="W16" s="123"/>
      <c r="X16" s="68"/>
      <c r="Y16" s="68"/>
      <c r="AB16" s="94"/>
    </row>
    <row r="17" spans="2:28" x14ac:dyDescent="0.25">
      <c r="B17" s="15">
        <v>46184</v>
      </c>
      <c r="C17" s="248"/>
      <c r="D17" s="249"/>
      <c r="E17" s="250"/>
      <c r="F17" s="242">
        <f>20000+85000</f>
        <v>105000</v>
      </c>
      <c r="G17" s="238">
        <f>400000+6000+3000</f>
        <v>409000</v>
      </c>
      <c r="H17" s="242">
        <f>1100000+260000+3000+580000+1500+90000+25000+26000</f>
        <v>2085500</v>
      </c>
      <c r="I17" s="238">
        <f>3500</f>
        <v>3500</v>
      </c>
      <c r="J17" s="242">
        <f>6500+1320</f>
        <v>7820</v>
      </c>
      <c r="K17" s="238">
        <f>23000</f>
        <v>23000</v>
      </c>
      <c r="L17" s="242">
        <f>78500+29500</f>
        <v>108000</v>
      </c>
      <c r="M17" s="254">
        <f t="shared" si="0"/>
        <v>2741820</v>
      </c>
      <c r="N17" s="255">
        <f>2687820+28000</f>
        <v>2715820</v>
      </c>
      <c r="O17" s="232">
        <f>N17-M17</f>
        <v>-26000</v>
      </c>
      <c r="P17" s="101"/>
      <c r="Q17" s="123"/>
      <c r="R17" s="123"/>
      <c r="U17" s="123"/>
      <c r="V17" s="123"/>
      <c r="W17" s="123"/>
      <c r="X17" s="68"/>
      <c r="Y17" s="68"/>
      <c r="AB17" s="67"/>
    </row>
    <row r="18" spans="2:28" x14ac:dyDescent="0.25">
      <c r="B18" s="15">
        <v>46185</v>
      </c>
      <c r="C18" s="218"/>
      <c r="D18" s="217"/>
      <c r="E18" s="216">
        <f>10000</f>
        <v>10000</v>
      </c>
      <c r="F18" s="217">
        <f>10000</f>
        <v>10000</v>
      </c>
      <c r="G18" s="218">
        <f>270000+7000</f>
        <v>277000</v>
      </c>
      <c r="H18" s="217">
        <f>150000+35000</f>
        <v>185000</v>
      </c>
      <c r="I18" s="218">
        <f>23500</f>
        <v>23500</v>
      </c>
      <c r="J18" s="217"/>
      <c r="K18" s="218">
        <f>8000</f>
        <v>8000</v>
      </c>
      <c r="L18" s="217">
        <f>86000+49500</f>
        <v>135500</v>
      </c>
      <c r="M18" s="254">
        <f t="shared" si="0"/>
        <v>649000</v>
      </c>
      <c r="N18" s="255">
        <f>607000+42000</f>
        <v>649000</v>
      </c>
      <c r="O18" s="232">
        <f t="shared" si="1"/>
        <v>0</v>
      </c>
      <c r="Q18" s="109"/>
      <c r="R18" s="127"/>
      <c r="S18" s="109"/>
      <c r="U18" s="67"/>
      <c r="V18" s="123"/>
      <c r="W18" s="128"/>
      <c r="X18" s="80"/>
      <c r="AB18" s="78"/>
    </row>
    <row r="19" spans="2:28" x14ac:dyDescent="0.25">
      <c r="B19" s="15">
        <v>46186</v>
      </c>
      <c r="C19" s="238"/>
      <c r="D19" s="239"/>
      <c r="E19" s="238"/>
      <c r="F19" s="239">
        <f>880000</f>
        <v>880000</v>
      </c>
      <c r="G19" s="238">
        <f>20000+19000</f>
        <v>39000</v>
      </c>
      <c r="H19" s="239">
        <f>35000+20000+16500</f>
        <v>71500</v>
      </c>
      <c r="I19" s="238">
        <f>6500</f>
        <v>6500</v>
      </c>
      <c r="J19" s="239">
        <f>24500</f>
        <v>24500</v>
      </c>
      <c r="K19" s="238">
        <f>3000</f>
        <v>3000</v>
      </c>
      <c r="L19" s="239">
        <f>56000</f>
        <v>56000</v>
      </c>
      <c r="M19" s="254">
        <f t="shared" si="0"/>
        <v>1080500</v>
      </c>
      <c r="N19" s="255">
        <f>1025000+39000</f>
        <v>1064000</v>
      </c>
      <c r="O19" s="232">
        <f t="shared" si="1"/>
        <v>-16500</v>
      </c>
      <c r="P19" s="160"/>
      <c r="R19" s="123"/>
      <c r="U19" s="128"/>
      <c r="V19" s="78"/>
      <c r="W19" s="67"/>
      <c r="X19" s="80"/>
      <c r="Y19" s="78"/>
      <c r="Z19" s="123"/>
      <c r="AB19" s="67"/>
    </row>
    <row r="20" spans="2:28" x14ac:dyDescent="0.25">
      <c r="B20" s="15">
        <v>46187</v>
      </c>
      <c r="C20" s="216"/>
      <c r="D20" s="242"/>
      <c r="E20" s="216"/>
      <c r="F20" s="217"/>
      <c r="G20" s="216">
        <f>540000</f>
        <v>540000</v>
      </c>
      <c r="H20" s="217">
        <f>400000+450000+75000+4500+70000</f>
        <v>999500</v>
      </c>
      <c r="I20" s="216">
        <f>4000</f>
        <v>4000</v>
      </c>
      <c r="J20" s="217">
        <f>4000</f>
        <v>4000</v>
      </c>
      <c r="K20" s="216"/>
      <c r="L20" s="217"/>
      <c r="M20" s="254">
        <f t="shared" si="0"/>
        <v>1547500</v>
      </c>
      <c r="N20" s="255">
        <f>1473000+4500</f>
        <v>1477500</v>
      </c>
      <c r="O20" s="232">
        <f t="shared" si="1"/>
        <v>-70000</v>
      </c>
      <c r="P20" s="101"/>
      <c r="Q20" s="67"/>
      <c r="T20" s="123"/>
      <c r="U20" s="123"/>
      <c r="V20" s="78"/>
      <c r="W20" s="123"/>
      <c r="X20" s="68"/>
      <c r="Y20" s="67"/>
      <c r="AB20" s="78"/>
    </row>
    <row r="21" spans="2:28" ht="17.25" customHeight="1" x14ac:dyDescent="0.25">
      <c r="B21" s="15">
        <v>46188</v>
      </c>
      <c r="C21" s="216"/>
      <c r="D21" s="217"/>
      <c r="E21" s="216"/>
      <c r="F21" s="217"/>
      <c r="G21" s="216">
        <f>450000+3000+7000</f>
        <v>460000</v>
      </c>
      <c r="H21" s="217">
        <f>690000+260000+550000+690000+18500+81000+20000</f>
        <v>2309500</v>
      </c>
      <c r="I21" s="216">
        <f>6500</f>
        <v>6500</v>
      </c>
      <c r="J21" s="217">
        <f>4000</f>
        <v>4000</v>
      </c>
      <c r="K21" s="216">
        <f>54800+27000</f>
        <v>81800</v>
      </c>
      <c r="L21" s="217">
        <f>113000+83000</f>
        <v>196000</v>
      </c>
      <c r="M21" s="254">
        <f t="shared" si="0"/>
        <v>3057800</v>
      </c>
      <c r="N21" s="255">
        <f>2931300+25500+20000</f>
        <v>2976800</v>
      </c>
      <c r="O21" s="232">
        <f t="shared" si="1"/>
        <v>-81000</v>
      </c>
      <c r="P21" s="172"/>
      <c r="Q21" s="123"/>
      <c r="T21" s="123"/>
      <c r="U21" s="128"/>
      <c r="V21" s="78"/>
      <c r="W21" s="123"/>
      <c r="X21" s="68"/>
      <c r="Y21" s="67"/>
      <c r="AB21" s="123"/>
    </row>
    <row r="22" spans="2:28" x14ac:dyDescent="0.25">
      <c r="B22" s="15">
        <v>46189</v>
      </c>
      <c r="C22" s="216"/>
      <c r="D22" s="240"/>
      <c r="E22" s="216"/>
      <c r="F22" s="217">
        <f>880000+1045000</f>
        <v>1925000</v>
      </c>
      <c r="G22" s="216">
        <f>595000+5000+5000</f>
        <v>605000</v>
      </c>
      <c r="H22" s="217">
        <f>1000000+1174500+100000+5000+740000+10000+38000</f>
        <v>3067500</v>
      </c>
      <c r="I22" s="216">
        <f>340</f>
        <v>340</v>
      </c>
      <c r="J22" s="217"/>
      <c r="K22" s="238"/>
      <c r="L22" s="239">
        <f>19000</f>
        <v>19000</v>
      </c>
      <c r="M22" s="254">
        <f t="shared" si="0"/>
        <v>5616840</v>
      </c>
      <c r="N22" s="255">
        <f>5563840+15000</f>
        <v>5578840</v>
      </c>
      <c r="O22" s="232">
        <f t="shared" si="1"/>
        <v>-38000</v>
      </c>
      <c r="S22" s="67"/>
      <c r="T22" s="123"/>
      <c r="U22" s="123"/>
      <c r="V22" s="123"/>
      <c r="W22" s="123"/>
      <c r="X22" s="68"/>
      <c r="Y22" s="67"/>
      <c r="AB22" s="67"/>
    </row>
    <row r="23" spans="2:28" x14ac:dyDescent="0.25">
      <c r="B23" s="15">
        <v>46190</v>
      </c>
      <c r="C23" s="216">
        <f>10000</f>
        <v>10000</v>
      </c>
      <c r="D23" s="217">
        <f>10000</f>
        <v>10000</v>
      </c>
      <c r="E23" s="216"/>
      <c r="F23" s="217">
        <f>780000</f>
        <v>780000</v>
      </c>
      <c r="G23" s="216">
        <f>600000+15000</f>
        <v>615000</v>
      </c>
      <c r="H23" s="217">
        <f>110000+24000+26000</f>
        <v>160000</v>
      </c>
      <c r="I23" s="216">
        <f>3500</f>
        <v>3500</v>
      </c>
      <c r="J23" s="217">
        <f>19300</f>
        <v>19300</v>
      </c>
      <c r="K23" s="216">
        <f>4000</f>
        <v>4000</v>
      </c>
      <c r="L23" s="217">
        <f>65500+112000+4000</f>
        <v>181500</v>
      </c>
      <c r="M23" s="254">
        <f t="shared" si="0"/>
        <v>1783300</v>
      </c>
      <c r="N23" s="255">
        <f>1718300+39000</f>
        <v>1757300</v>
      </c>
      <c r="O23" s="232">
        <f t="shared" si="1"/>
        <v>-26000</v>
      </c>
      <c r="S23" s="124"/>
      <c r="T23" s="123"/>
      <c r="U23" s="123"/>
      <c r="V23" s="123"/>
      <c r="W23" s="123"/>
      <c r="X23" s="68"/>
      <c r="Y23" s="67"/>
      <c r="AB23" s="78"/>
    </row>
    <row r="24" spans="2:28" x14ac:dyDescent="0.25">
      <c r="B24" s="15">
        <v>46191</v>
      </c>
      <c r="C24" s="218">
        <f>300000+1450000</f>
        <v>1750000</v>
      </c>
      <c r="D24" s="217"/>
      <c r="E24" s="216"/>
      <c r="F24" s="217">
        <f>1785000</f>
        <v>1785000</v>
      </c>
      <c r="G24" s="218">
        <f>16000</f>
        <v>16000</v>
      </c>
      <c r="H24" s="217">
        <f>1363000+63000+274000+20500+12000</f>
        <v>1732500</v>
      </c>
      <c r="I24" s="218"/>
      <c r="J24" s="217"/>
      <c r="K24" s="218"/>
      <c r="L24" s="217">
        <f>23600+8000</f>
        <v>31600</v>
      </c>
      <c r="M24" s="254">
        <f t="shared" si="0"/>
        <v>5315100</v>
      </c>
      <c r="N24" s="255">
        <f>5266600+36500</f>
        <v>5303100</v>
      </c>
      <c r="O24" s="232">
        <f t="shared" si="1"/>
        <v>-12000</v>
      </c>
      <c r="P24" s="101"/>
      <c r="Q24" s="67"/>
      <c r="R24" s="123"/>
      <c r="S24" s="123"/>
      <c r="T24" s="123"/>
      <c r="U24" s="123"/>
      <c r="V24" s="123"/>
      <c r="W24" s="123"/>
      <c r="X24" s="68"/>
      <c r="AA24" s="78"/>
      <c r="AB24" s="68"/>
    </row>
    <row r="25" spans="2:28" x14ac:dyDescent="0.25">
      <c r="B25" s="15">
        <v>46192</v>
      </c>
      <c r="C25" s="216"/>
      <c r="D25" s="217"/>
      <c r="E25" s="216"/>
      <c r="F25" s="217">
        <f>30000</f>
        <v>30000</v>
      </c>
      <c r="G25" s="216">
        <f>3000</f>
        <v>3000</v>
      </c>
      <c r="H25" s="217">
        <f>12600+710000+36500+64000</f>
        <v>823100</v>
      </c>
      <c r="I25" s="216"/>
      <c r="J25" s="217">
        <f>47835.6+14400+56000+4000</f>
        <v>122235.6</v>
      </c>
      <c r="K25" s="216">
        <f>42300</f>
        <v>42300</v>
      </c>
      <c r="L25" s="217">
        <f>42100</f>
        <v>42100</v>
      </c>
      <c r="M25" s="254">
        <f t="shared" si="0"/>
        <v>1062735.6000000001</v>
      </c>
      <c r="N25" s="255">
        <f>959235.6+39500</f>
        <v>998735.6</v>
      </c>
      <c r="O25" s="232">
        <f t="shared" si="1"/>
        <v>-64000.000000000116</v>
      </c>
      <c r="P25" s="101"/>
      <c r="Q25" s="127"/>
      <c r="R25" s="109"/>
      <c r="S25" s="123"/>
      <c r="T25" s="131"/>
      <c r="U25" s="67"/>
      <c r="V25" s="123"/>
      <c r="W25" s="123"/>
      <c r="X25" s="68"/>
      <c r="AA25" s="78"/>
      <c r="AB25" s="68"/>
    </row>
    <row r="26" spans="2:28" x14ac:dyDescent="0.25">
      <c r="B26" s="15">
        <v>46193</v>
      </c>
      <c r="C26" s="238"/>
      <c r="D26" s="239"/>
      <c r="E26" s="238">
        <f>85000</f>
        <v>85000</v>
      </c>
      <c r="F26" s="239"/>
      <c r="G26" s="238">
        <f>70000+400000+676500+400000</f>
        <v>1546500</v>
      </c>
      <c r="H26" s="239">
        <f>105000+300000+4500+2000</f>
        <v>411500</v>
      </c>
      <c r="I26" s="238">
        <f>3000</f>
        <v>3000</v>
      </c>
      <c r="J26" s="239"/>
      <c r="K26" s="238">
        <f>13600</f>
        <v>13600</v>
      </c>
      <c r="L26" s="239">
        <f>45500</f>
        <v>45500</v>
      </c>
      <c r="M26" s="254">
        <f t="shared" si="0"/>
        <v>2105100</v>
      </c>
      <c r="N26" s="255">
        <f>2098600+4500</f>
        <v>2103100</v>
      </c>
      <c r="O26" s="232">
        <f t="shared" si="1"/>
        <v>-2000</v>
      </c>
      <c r="Q26" s="109"/>
      <c r="R26" s="124"/>
      <c r="S26" s="67"/>
      <c r="T26" s="123"/>
      <c r="U26" s="67"/>
      <c r="V26" s="123"/>
      <c r="W26" s="78"/>
      <c r="X26" s="68"/>
      <c r="Z26" s="67"/>
      <c r="AA26" s="78"/>
      <c r="AB26" s="68"/>
    </row>
    <row r="27" spans="2:28" x14ac:dyDescent="0.25">
      <c r="B27" s="15">
        <v>46194</v>
      </c>
      <c r="C27" s="216"/>
      <c r="D27" s="217"/>
      <c r="E27" s="216"/>
      <c r="F27" s="217"/>
      <c r="G27" s="216">
        <f>435000</f>
        <v>435000</v>
      </c>
      <c r="H27" s="217">
        <f>205000+380000+750000+150000+4500+21500+20000</f>
        <v>1531000</v>
      </c>
      <c r="I27" s="216">
        <f>3000</f>
        <v>3000</v>
      </c>
      <c r="J27" s="243"/>
      <c r="K27" s="216"/>
      <c r="L27" s="217"/>
      <c r="M27" s="254">
        <f t="shared" si="0"/>
        <v>1969000</v>
      </c>
      <c r="N27" s="255">
        <f>1923000+4500+20000</f>
        <v>1947500</v>
      </c>
      <c r="O27" s="232">
        <f t="shared" si="1"/>
        <v>-21500</v>
      </c>
      <c r="Q27" s="123"/>
      <c r="T27" s="67"/>
      <c r="U27" s="67"/>
      <c r="V27" s="123"/>
      <c r="W27" s="123"/>
      <c r="X27" s="68"/>
      <c r="Y27" s="67"/>
      <c r="Z27" s="67"/>
      <c r="AA27" s="68"/>
      <c r="AB27" s="68"/>
    </row>
    <row r="28" spans="2:28" x14ac:dyDescent="0.25">
      <c r="B28" s="245">
        <v>46195</v>
      </c>
      <c r="C28" s="238">
        <f>500000</f>
        <v>500000</v>
      </c>
      <c r="D28" s="239">
        <f>20000</f>
        <v>20000</v>
      </c>
      <c r="E28" s="251"/>
      <c r="F28" s="252"/>
      <c r="G28" s="216">
        <f>230000+420000+8000</f>
        <v>658000</v>
      </c>
      <c r="H28" s="217">
        <f>640000+19500+5000+42000</f>
        <v>706500</v>
      </c>
      <c r="I28" s="216">
        <f>3050</f>
        <v>3050</v>
      </c>
      <c r="J28" s="253"/>
      <c r="K28" s="238">
        <f>5000+37800</f>
        <v>42800</v>
      </c>
      <c r="L28" s="239">
        <f>101000+21000</f>
        <v>122000</v>
      </c>
      <c r="M28" s="254">
        <f t="shared" si="0"/>
        <v>2052350</v>
      </c>
      <c r="N28" s="255">
        <f>1977850+32500</f>
        <v>2010350</v>
      </c>
      <c r="O28" s="232">
        <f t="shared" si="1"/>
        <v>-42000</v>
      </c>
      <c r="Q28" s="123"/>
      <c r="S28" s="123"/>
      <c r="T28" s="123"/>
      <c r="U28" s="123"/>
      <c r="V28" s="123"/>
      <c r="W28" s="123"/>
      <c r="X28" s="68"/>
      <c r="Y28" s="67"/>
      <c r="Z28" s="67"/>
      <c r="AA28" s="68"/>
      <c r="AB28" s="68"/>
    </row>
    <row r="29" spans="2:28" x14ac:dyDescent="0.25">
      <c r="B29" s="15">
        <v>46196</v>
      </c>
      <c r="C29" s="238"/>
      <c r="D29" s="239">
        <v>10000</v>
      </c>
      <c r="E29" s="238"/>
      <c r="F29" s="239">
        <f>1280000</f>
        <v>1280000</v>
      </c>
      <c r="G29" s="238">
        <f>600000+350000+610000</f>
        <v>1560000</v>
      </c>
      <c r="H29" s="239">
        <f>350000+36000+25000</f>
        <v>411000</v>
      </c>
      <c r="I29" s="238"/>
      <c r="J29" s="239">
        <f>4000+15000+4200</f>
        <v>23200</v>
      </c>
      <c r="K29" s="238"/>
      <c r="L29" s="239">
        <f>89000+42000</f>
        <v>131000</v>
      </c>
      <c r="M29" s="254">
        <f t="shared" si="0"/>
        <v>3415200</v>
      </c>
      <c r="N29" s="255">
        <f>3354200+36000</f>
        <v>3390200</v>
      </c>
      <c r="O29" s="232">
        <f t="shared" si="1"/>
        <v>-25000</v>
      </c>
      <c r="Q29" s="123"/>
      <c r="R29" s="127"/>
      <c r="S29" s="123"/>
      <c r="T29" s="123"/>
      <c r="U29" s="123"/>
      <c r="V29" s="67"/>
      <c r="W29" s="123"/>
      <c r="X29" s="68"/>
      <c r="Z29" s="67"/>
      <c r="AA29" s="78"/>
      <c r="AB29" s="68"/>
    </row>
    <row r="30" spans="2:28" x14ac:dyDescent="0.25">
      <c r="B30" s="15">
        <v>46197</v>
      </c>
      <c r="C30" s="216">
        <f>10000</f>
        <v>10000</v>
      </c>
      <c r="D30" s="217">
        <f>30000</f>
        <v>30000</v>
      </c>
      <c r="E30" s="216">
        <f>10000</f>
        <v>10000</v>
      </c>
      <c r="F30" s="217">
        <f>1180000</f>
        <v>1180000</v>
      </c>
      <c r="G30" s="216">
        <f>170000+3000</f>
        <v>173000</v>
      </c>
      <c r="H30" s="217">
        <f>3000+1290000+170000+3000+40000</f>
        <v>1506000</v>
      </c>
      <c r="I30" s="216"/>
      <c r="J30" s="217">
        <f>16700+20000</f>
        <v>36700</v>
      </c>
      <c r="K30" s="216">
        <f>2500</f>
        <v>2500</v>
      </c>
      <c r="L30" s="217">
        <f>113000</f>
        <v>113000</v>
      </c>
      <c r="M30" s="254">
        <f t="shared" si="0"/>
        <v>3061200</v>
      </c>
      <c r="N30" s="255">
        <f>3015200+6000</f>
        <v>3021200</v>
      </c>
      <c r="O30" s="232">
        <f t="shared" si="1"/>
        <v>-40000</v>
      </c>
      <c r="Q30" s="123"/>
      <c r="S30" s="124"/>
      <c r="T30" s="123"/>
      <c r="U30" s="123"/>
      <c r="V30" s="123"/>
      <c r="W30" s="123"/>
      <c r="X30" s="68"/>
      <c r="Z30" s="68"/>
      <c r="AA30" s="78"/>
      <c r="AB30" s="68"/>
    </row>
    <row r="31" spans="2:28" x14ac:dyDescent="0.25">
      <c r="B31" s="15">
        <v>46198</v>
      </c>
      <c r="C31" s="199">
        <f>1100000</f>
        <v>1100000</v>
      </c>
      <c r="D31" s="202"/>
      <c r="E31" s="192"/>
      <c r="F31" s="191"/>
      <c r="G31" s="192">
        <f>3000</f>
        <v>3000</v>
      </c>
      <c r="H31" s="191">
        <f>470000+600000+340000+15000+123000</f>
        <v>1548000</v>
      </c>
      <c r="I31" s="192"/>
      <c r="J31" s="191">
        <f>6500+6500</f>
        <v>13000</v>
      </c>
      <c r="K31" s="199"/>
      <c r="L31" s="198">
        <f>4000</f>
        <v>4000</v>
      </c>
      <c r="M31" s="254">
        <f t="shared" si="0"/>
        <v>2668000</v>
      </c>
      <c r="N31" s="255">
        <f>2527000+18000</f>
        <v>2545000</v>
      </c>
      <c r="O31" s="232">
        <f t="shared" si="1"/>
        <v>-123000</v>
      </c>
      <c r="Q31" s="123"/>
      <c r="R31" s="127"/>
      <c r="T31" s="123"/>
      <c r="U31" s="123"/>
      <c r="V31" s="123"/>
      <c r="W31" s="78"/>
      <c r="X31" s="68"/>
      <c r="Z31" s="68"/>
      <c r="AA31" s="78"/>
      <c r="AB31" s="67"/>
    </row>
    <row r="32" spans="2:28" x14ac:dyDescent="0.25">
      <c r="B32" s="15">
        <v>46199</v>
      </c>
      <c r="C32" s="187">
        <f>10000</f>
        <v>10000</v>
      </c>
      <c r="D32" s="190">
        <f>10000</f>
        <v>10000</v>
      </c>
      <c r="E32" s="189">
        <f>10000</f>
        <v>10000</v>
      </c>
      <c r="F32" s="190">
        <f>20000</f>
        <v>20000</v>
      </c>
      <c r="G32" s="187">
        <f>200000</f>
        <v>200000</v>
      </c>
      <c r="H32" s="190">
        <f>280000+500000+9500+1500+41500+49000</f>
        <v>881500</v>
      </c>
      <c r="I32" s="189"/>
      <c r="J32" s="190"/>
      <c r="K32" s="189"/>
      <c r="L32" s="190">
        <f>67900</f>
        <v>67900</v>
      </c>
      <c r="M32" s="254">
        <f t="shared" si="0"/>
        <v>1199400</v>
      </c>
      <c r="N32" s="255">
        <f>1108900+41500</f>
        <v>1150400</v>
      </c>
      <c r="O32" s="232">
        <f t="shared" si="1"/>
        <v>-49000</v>
      </c>
      <c r="Q32" s="123"/>
      <c r="S32" s="109"/>
      <c r="T32" s="123"/>
      <c r="U32" s="78"/>
      <c r="V32" s="109"/>
      <c r="X32" s="68"/>
      <c r="Z32" s="67"/>
      <c r="AA32" s="78"/>
      <c r="AB32" s="68"/>
    </row>
    <row r="33" spans="1:28" x14ac:dyDescent="0.25">
      <c r="B33" s="15">
        <v>46200</v>
      </c>
      <c r="C33" s="192"/>
      <c r="D33" s="191"/>
      <c r="E33" s="192"/>
      <c r="F33" s="191"/>
      <c r="G33" s="192">
        <f>330000+3000+670000+9000</f>
        <v>1012000</v>
      </c>
      <c r="H33" s="191">
        <f>6500+1500+41000+3000+105000+450000+32000+115500</f>
        <v>754500</v>
      </c>
      <c r="I33" s="199"/>
      <c r="J33" s="191">
        <f>4000+30000</f>
        <v>34000</v>
      </c>
      <c r="K33" s="192"/>
      <c r="L33" s="191">
        <f>26500</f>
        <v>26500</v>
      </c>
      <c r="M33" s="254">
        <f t="shared" si="0"/>
        <v>1827000</v>
      </c>
      <c r="N33" s="255">
        <f>1670500+41000</f>
        <v>1711500</v>
      </c>
      <c r="O33" s="232">
        <f t="shared" si="1"/>
        <v>-115500</v>
      </c>
      <c r="Q33" s="109"/>
      <c r="R33" s="111"/>
      <c r="S33" s="111"/>
      <c r="T33" s="109"/>
      <c r="U33" s="109"/>
      <c r="V33" s="109"/>
      <c r="X33" s="68"/>
      <c r="Z33" s="67"/>
      <c r="AA33" s="78"/>
      <c r="AB33" s="68"/>
    </row>
    <row r="34" spans="1:28" x14ac:dyDescent="0.25">
      <c r="B34" s="15">
        <v>46201</v>
      </c>
      <c r="C34" s="192"/>
      <c r="D34" s="191"/>
      <c r="E34" s="192"/>
      <c r="F34" s="191"/>
      <c r="G34" s="192">
        <f>6000</f>
        <v>6000</v>
      </c>
      <c r="H34" s="191">
        <f>500000+1050000+6000+69500</f>
        <v>1625500</v>
      </c>
      <c r="I34" s="192"/>
      <c r="J34" s="191">
        <f>6500+8000</f>
        <v>14500</v>
      </c>
      <c r="K34" s="192"/>
      <c r="L34" s="191"/>
      <c r="M34" s="254">
        <f t="shared" si="0"/>
        <v>1646000</v>
      </c>
      <c r="N34" s="255">
        <f>1564500+12000</f>
        <v>1576500</v>
      </c>
      <c r="O34" s="232">
        <f t="shared" si="1"/>
        <v>-69500</v>
      </c>
      <c r="R34" s="123"/>
      <c r="S34" s="123"/>
      <c r="V34" s="123"/>
      <c r="W34" s="123"/>
      <c r="X34" s="68"/>
      <c r="Y34" s="67"/>
      <c r="Z34" s="68"/>
      <c r="AA34" s="78"/>
      <c r="AB34" s="68"/>
    </row>
    <row r="35" spans="1:28" x14ac:dyDescent="0.25">
      <c r="B35" s="15">
        <v>46202</v>
      </c>
      <c r="C35" s="192">
        <f>10000</f>
        <v>10000</v>
      </c>
      <c r="D35" s="200">
        <f>30000</f>
        <v>30000</v>
      </c>
      <c r="E35" s="192"/>
      <c r="F35" s="191">
        <f>15000</f>
        <v>15000</v>
      </c>
      <c r="G35" s="199">
        <f>600000+355000+295000</f>
        <v>1250000</v>
      </c>
      <c r="H35" s="198">
        <f>640000+130000+10000+255000+400000+3000+68000</f>
        <v>1506000</v>
      </c>
      <c r="I35" s="199"/>
      <c r="J35" s="198">
        <f>4000+8000+14000+4000+60000+23000</f>
        <v>113000</v>
      </c>
      <c r="K35" s="199"/>
      <c r="L35" s="198">
        <f>71500</f>
        <v>71500</v>
      </c>
      <c r="M35" s="156">
        <f t="shared" si="0"/>
        <v>2995500</v>
      </c>
      <c r="N35" s="255">
        <f>2924500+3000</f>
        <v>2927500</v>
      </c>
      <c r="O35" s="232">
        <f t="shared" si="1"/>
        <v>-68000</v>
      </c>
      <c r="Q35" s="123"/>
      <c r="R35" s="109"/>
      <c r="T35" s="123"/>
      <c r="V35" s="123"/>
      <c r="X35" s="68"/>
      <c r="Y35" s="68"/>
      <c r="Z35" s="68"/>
      <c r="AA35" s="78"/>
      <c r="AB35" s="68"/>
    </row>
    <row r="36" spans="1:28" x14ac:dyDescent="0.25">
      <c r="B36" s="15">
        <v>46203</v>
      </c>
      <c r="C36" s="192">
        <f>1150000</f>
        <v>1150000</v>
      </c>
      <c r="D36" s="200"/>
      <c r="E36" s="192"/>
      <c r="F36" s="191"/>
      <c r="G36" s="192">
        <f>200000+430000+400000</f>
        <v>1030000</v>
      </c>
      <c r="H36" s="191">
        <f>400000+600000+605000+504000+25000</f>
        <v>2134000</v>
      </c>
      <c r="I36" s="192">
        <f>7900</f>
        <v>7900</v>
      </c>
      <c r="J36" s="191">
        <f>6500</f>
        <v>6500</v>
      </c>
      <c r="K36" s="192"/>
      <c r="L36" s="191">
        <f>12250</f>
        <v>12250</v>
      </c>
      <c r="M36" s="156">
        <f t="shared" si="0"/>
        <v>4340650</v>
      </c>
      <c r="N36" s="255">
        <f>4315650</f>
        <v>4315650</v>
      </c>
      <c r="O36" s="232">
        <f t="shared" si="1"/>
        <v>-25000</v>
      </c>
      <c r="Q36" s="123"/>
      <c r="R36" s="111"/>
      <c r="S36" s="106"/>
      <c r="T36" s="123"/>
      <c r="U36" s="123"/>
      <c r="V36" s="123"/>
      <c r="X36" s="68"/>
      <c r="Z36" s="68"/>
      <c r="AB36" s="68"/>
    </row>
    <row r="37" spans="1:28" x14ac:dyDescent="0.25">
      <c r="B37" s="15"/>
      <c r="C37" s="192"/>
      <c r="D37" s="200"/>
      <c r="E37" s="192"/>
      <c r="F37" s="191"/>
      <c r="G37" s="192"/>
      <c r="H37" s="191" t="s">
        <v>147</v>
      </c>
      <c r="I37" s="192"/>
      <c r="J37" s="191"/>
      <c r="K37" s="192"/>
      <c r="L37" s="191"/>
      <c r="M37" s="56"/>
      <c r="N37" s="208"/>
      <c r="O37" s="231"/>
      <c r="P37" s="109"/>
      <c r="Q37" s="123"/>
      <c r="R37" s="109"/>
      <c r="S37" s="109"/>
      <c r="T37" s="109"/>
      <c r="U37" s="109"/>
      <c r="V37" s="123"/>
      <c r="X37" s="68"/>
      <c r="Z37" s="68"/>
    </row>
    <row r="38" spans="1:28" ht="15.75" thickBot="1" x14ac:dyDescent="0.3">
      <c r="B38" s="36"/>
      <c r="C38" s="37"/>
      <c r="D38" s="17"/>
      <c r="E38" s="16"/>
      <c r="F38" s="38"/>
      <c r="G38" s="37"/>
      <c r="H38" s="17"/>
      <c r="I38" s="37"/>
      <c r="J38" s="17"/>
      <c r="K38" s="37"/>
      <c r="L38" s="17"/>
      <c r="M38" s="56"/>
      <c r="N38" s="40"/>
      <c r="O38" s="35"/>
      <c r="P38" s="106"/>
      <c r="Q38" s="109"/>
      <c r="R38" s="78"/>
      <c r="S38" s="106"/>
      <c r="T38" s="123"/>
      <c r="U38" s="123"/>
      <c r="V38" s="123"/>
      <c r="X38" s="68"/>
      <c r="Z38" s="68"/>
    </row>
    <row r="39" spans="1:28" ht="15.75" x14ac:dyDescent="0.25">
      <c r="B39" s="23" t="s">
        <v>3</v>
      </c>
      <c r="C39" s="24">
        <f>SUM(C7:C38)</f>
        <v>7246690</v>
      </c>
      <c r="D39" s="25">
        <f>SUM(D7:D38)</f>
        <v>2720000</v>
      </c>
      <c r="E39" s="24">
        <f t="shared" ref="E39:K39" si="3">SUM(E7:E38)</f>
        <v>3621000</v>
      </c>
      <c r="F39" s="59">
        <f t="shared" si="3"/>
        <v>8309000</v>
      </c>
      <c r="G39" s="24">
        <f t="shared" si="3"/>
        <v>19735500</v>
      </c>
      <c r="H39" s="25">
        <f>SUM(H7:H38)</f>
        <v>36188600</v>
      </c>
      <c r="I39" s="24">
        <f t="shared" si="3"/>
        <v>141670</v>
      </c>
      <c r="J39" s="25">
        <f>SUM(J7:J38)</f>
        <v>504266.89</v>
      </c>
      <c r="K39" s="24">
        <f t="shared" si="3"/>
        <v>560075</v>
      </c>
      <c r="L39" s="25">
        <f>SUM(L7:L38)</f>
        <v>2183480</v>
      </c>
      <c r="M39" s="28">
        <f>SUM(M7:M38)</f>
        <v>81210281.890000001</v>
      </c>
      <c r="N39" s="27">
        <f>SUM(N7:N38)</f>
        <v>79935281.890000001</v>
      </c>
      <c r="O39" s="26">
        <f>N39-M39</f>
        <v>-1275000</v>
      </c>
      <c r="P39" s="67"/>
      <c r="Q39" s="78"/>
      <c r="R39" s="78"/>
    </row>
    <row r="40" spans="1:28" ht="15.75" thickBot="1" x14ac:dyDescent="0.3">
      <c r="B40" s="30" t="s">
        <v>11</v>
      </c>
      <c r="C40" s="281">
        <f>SUM(C39:D39)</f>
        <v>9966690</v>
      </c>
      <c r="D40" s="282"/>
      <c r="E40" s="267">
        <f>SUM(E39:F39)</f>
        <v>11930000</v>
      </c>
      <c r="F40" s="268"/>
      <c r="G40" s="281">
        <f>SUM(G39:H39)</f>
        <v>55924100</v>
      </c>
      <c r="H40" s="282"/>
      <c r="I40" s="267">
        <f>SUM(I39:J39)</f>
        <v>645936.89</v>
      </c>
      <c r="J40" s="268"/>
      <c r="K40" s="281">
        <f>SUM(K39:L39)</f>
        <v>2743555</v>
      </c>
      <c r="L40" s="282"/>
      <c r="M40" s="29"/>
      <c r="N40" s="16"/>
      <c r="O40" s="17"/>
      <c r="P40" s="67"/>
    </row>
    <row r="41" spans="1:28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5"/>
      <c r="O41" s="5"/>
      <c r="P41" s="67"/>
    </row>
    <row r="42" spans="1:28" s="12" customFormat="1" ht="18.75" x14ac:dyDescent="0.3">
      <c r="B42" s="11" t="s">
        <v>10</v>
      </c>
      <c r="P42" s="82"/>
      <c r="Q42" s="82"/>
      <c r="R42" s="82"/>
      <c r="S42" s="82"/>
      <c r="T42" s="82"/>
      <c r="U42" s="82"/>
      <c r="V42" s="82"/>
      <c r="W42" s="82"/>
    </row>
    <row r="43" spans="1:28" x14ac:dyDescent="0.25">
      <c r="C43" s="270" t="s">
        <v>24</v>
      </c>
      <c r="D43" s="271"/>
      <c r="E43" s="270" t="s">
        <v>25</v>
      </c>
      <c r="F43" s="271"/>
      <c r="G43" s="270" t="s">
        <v>26</v>
      </c>
      <c r="H43" s="271"/>
      <c r="I43" s="270" t="s">
        <v>27</v>
      </c>
      <c r="J43" s="271"/>
      <c r="K43" s="270" t="s">
        <v>34</v>
      </c>
      <c r="L43" s="271"/>
    </row>
    <row r="44" spans="1:28" s="9" customFormat="1" ht="45" x14ac:dyDescent="0.25">
      <c r="B44" s="10" t="s">
        <v>8</v>
      </c>
      <c r="C44" s="7" t="s">
        <v>2</v>
      </c>
      <c r="D44" s="13" t="s">
        <v>1</v>
      </c>
      <c r="E44" s="7" t="s">
        <v>2</v>
      </c>
      <c r="F44" s="13" t="s">
        <v>1</v>
      </c>
      <c r="G44" s="7" t="s">
        <v>2</v>
      </c>
      <c r="H44" s="13" t="s">
        <v>1</v>
      </c>
      <c r="I44" s="7" t="s">
        <v>2</v>
      </c>
      <c r="J44" s="13" t="s">
        <v>1</v>
      </c>
      <c r="K44" s="7" t="s">
        <v>2</v>
      </c>
      <c r="L44" s="13" t="s">
        <v>1</v>
      </c>
      <c r="M44" s="7" t="s">
        <v>4</v>
      </c>
      <c r="N44" s="7" t="s">
        <v>7</v>
      </c>
      <c r="O44" s="7" t="s">
        <v>5</v>
      </c>
      <c r="P44" s="83" t="s">
        <v>9</v>
      </c>
      <c r="Q44" s="84"/>
      <c r="R44" s="84"/>
      <c r="S44" s="84"/>
      <c r="T44" s="84"/>
      <c r="U44" s="84"/>
      <c r="V44" s="84"/>
      <c r="W44" s="84"/>
    </row>
    <row r="45" spans="1:28" x14ac:dyDescent="0.25">
      <c r="A45" t="s">
        <v>15</v>
      </c>
      <c r="B45" s="2">
        <v>46173</v>
      </c>
      <c r="C45" s="203">
        <v>0</v>
      </c>
      <c r="D45" s="14"/>
      <c r="E45" s="203">
        <v>0</v>
      </c>
      <c r="F45" s="14"/>
      <c r="G45" s="203"/>
      <c r="H45" s="14">
        <v>1003250</v>
      </c>
      <c r="I45" s="203"/>
      <c r="J45" s="14">
        <v>0</v>
      </c>
      <c r="K45" s="134"/>
      <c r="L45" s="14">
        <v>0</v>
      </c>
      <c r="M45" s="203">
        <v>0</v>
      </c>
      <c r="N45" s="203">
        <f>F45+H45+J45+L45</f>
        <v>1003250</v>
      </c>
      <c r="O45" s="203">
        <f>N45-M45</f>
        <v>1003250</v>
      </c>
      <c r="P45" s="85">
        <v>46174</v>
      </c>
    </row>
    <row r="46" spans="1:28" x14ac:dyDescent="0.25">
      <c r="A46" t="s">
        <v>15</v>
      </c>
      <c r="B46" s="2"/>
      <c r="C46" s="203"/>
      <c r="D46" s="14"/>
      <c r="E46" s="203"/>
      <c r="F46" s="14"/>
      <c r="G46" s="203"/>
      <c r="H46" s="14"/>
      <c r="I46" s="203"/>
      <c r="J46" s="14"/>
      <c r="K46" s="134"/>
      <c r="L46" s="14"/>
      <c r="M46" s="203">
        <f>SUM(C46:L46)</f>
        <v>0</v>
      </c>
      <c r="N46" s="203"/>
      <c r="O46" s="203">
        <f>N46-M46</f>
        <v>0</v>
      </c>
      <c r="P46" s="85"/>
    </row>
    <row r="47" spans="1:28" x14ac:dyDescent="0.25">
      <c r="A47" t="s">
        <v>16</v>
      </c>
      <c r="B47" s="2"/>
      <c r="C47" s="203"/>
      <c r="D47" s="14"/>
      <c r="E47" s="203"/>
      <c r="F47" s="14"/>
      <c r="G47" s="203"/>
      <c r="H47" s="14"/>
      <c r="I47" s="203"/>
      <c r="J47" s="14"/>
      <c r="K47" s="134"/>
      <c r="L47" s="14"/>
      <c r="M47" s="203">
        <f>SUM(C47:L47)</f>
        <v>0</v>
      </c>
      <c r="N47" s="203"/>
      <c r="O47" s="203">
        <f>N47-M47</f>
        <v>0</v>
      </c>
      <c r="P47" s="85"/>
    </row>
    <row r="48" spans="1:28" x14ac:dyDescent="0.25">
      <c r="A48" t="s">
        <v>16</v>
      </c>
      <c r="B48" s="2">
        <v>46203</v>
      </c>
      <c r="C48" s="203">
        <v>0</v>
      </c>
      <c r="D48" s="14"/>
      <c r="E48" s="203">
        <v>0</v>
      </c>
      <c r="F48" s="14"/>
      <c r="G48" s="203">
        <v>0</v>
      </c>
      <c r="H48" s="14">
        <v>1722000</v>
      </c>
      <c r="I48" s="203">
        <v>0</v>
      </c>
      <c r="J48" s="14">
        <v>6500</v>
      </c>
      <c r="K48" s="134">
        <v>0</v>
      </c>
      <c r="L48" s="14">
        <v>12250</v>
      </c>
      <c r="M48" s="203"/>
      <c r="N48" s="203">
        <f>F48+H48+J48+L48+D48</f>
        <v>1740750</v>
      </c>
      <c r="O48" s="203">
        <f>N48-M48</f>
        <v>1740750</v>
      </c>
      <c r="P48" s="151">
        <v>46204</v>
      </c>
    </row>
    <row r="49" spans="2:28" x14ac:dyDescent="0.25">
      <c r="H49" s="14"/>
      <c r="J49" s="14"/>
      <c r="K49" s="135"/>
      <c r="L49" s="135"/>
    </row>
    <row r="50" spans="2:28" x14ac:dyDescent="0.25">
      <c r="B50" s="270" t="s">
        <v>5</v>
      </c>
      <c r="C50" s="271"/>
      <c r="D50" s="6">
        <f>D45+D46-D47-D48</f>
        <v>0</v>
      </c>
      <c r="E50" s="262">
        <f>F45+F46-F47-F48</f>
        <v>0</v>
      </c>
      <c r="F50" s="263"/>
      <c r="G50" s="262">
        <f>H45+H46-H47-H48</f>
        <v>-718750</v>
      </c>
      <c r="H50" s="263"/>
      <c r="I50" s="262">
        <f>J45+J46-J47-J48</f>
        <v>-6500</v>
      </c>
      <c r="J50" s="263"/>
      <c r="K50" s="262">
        <f>L45+L46-L47-L48</f>
        <v>-12250</v>
      </c>
      <c r="L50" s="263"/>
    </row>
    <row r="51" spans="2:28" x14ac:dyDescent="0.25">
      <c r="B51" s="294" t="s">
        <v>12</v>
      </c>
      <c r="C51" s="295"/>
      <c r="D51" s="212">
        <f>D39+D50</f>
        <v>2720000</v>
      </c>
      <c r="E51" s="289">
        <f>F39+E50</f>
        <v>8309000</v>
      </c>
      <c r="F51" s="290"/>
      <c r="G51" s="289">
        <f>H39+G50</f>
        <v>35469850</v>
      </c>
      <c r="H51" s="290"/>
      <c r="I51" s="291">
        <f>J39+I50</f>
        <v>497766.89</v>
      </c>
      <c r="J51" s="292"/>
      <c r="K51" s="289">
        <f>L39+K50</f>
        <v>2171230</v>
      </c>
      <c r="L51" s="290"/>
    </row>
    <row r="52" spans="2:28" s="42" customFormat="1" x14ac:dyDescent="0.25">
      <c r="B52" s="257" t="s">
        <v>17</v>
      </c>
      <c r="C52" s="257"/>
      <c r="D52" s="296">
        <f>SUM(D51:L51)</f>
        <v>49167846.890000001</v>
      </c>
      <c r="E52" s="296"/>
      <c r="F52" s="296"/>
      <c r="G52" s="296"/>
      <c r="H52" s="296"/>
      <c r="I52" s="244"/>
      <c r="J52" s="244"/>
      <c r="K52" s="244"/>
      <c r="L52" s="244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2:28" x14ac:dyDescent="0.25">
      <c r="S53" s="68" t="s">
        <v>127</v>
      </c>
      <c r="X53" s="68"/>
      <c r="Y53" s="68"/>
      <c r="Z53" s="68"/>
      <c r="AA53" s="68"/>
      <c r="AB53" s="68"/>
    </row>
    <row r="54" spans="2:28" x14ac:dyDescent="0.25">
      <c r="B54" s="73" t="s">
        <v>14</v>
      </c>
      <c r="C54" s="72" t="s">
        <v>2</v>
      </c>
      <c r="D54" s="72" t="s">
        <v>1</v>
      </c>
      <c r="E54" s="57"/>
      <c r="F54" s="60"/>
      <c r="G54" s="61"/>
      <c r="H54" s="62"/>
      <c r="I54" s="61" t="s">
        <v>21</v>
      </c>
      <c r="J54" s="62"/>
      <c r="K54" s="62"/>
      <c r="L54" s="62"/>
      <c r="M54" s="63" t="s">
        <v>24</v>
      </c>
      <c r="N54" s="64">
        <f>N59*S54/100</f>
        <v>15137.584550000001</v>
      </c>
      <c r="P54" s="87"/>
      <c r="S54">
        <v>5.5</v>
      </c>
      <c r="V54" s="87"/>
      <c r="X54" s="68"/>
      <c r="Y54" s="87"/>
      <c r="Z54" s="68"/>
      <c r="AA54" s="68"/>
      <c r="AB54" s="68"/>
    </row>
    <row r="55" spans="2:28" x14ac:dyDescent="0.25">
      <c r="B55" s="72" t="s">
        <v>13</v>
      </c>
      <c r="C55" s="149">
        <f>C39+G39+E39+I39+K39</f>
        <v>31304935</v>
      </c>
      <c r="D55" s="149">
        <f>D39+H39+F39+J39+L39</f>
        <v>49905346.890000001</v>
      </c>
      <c r="E55" s="58"/>
      <c r="F55" s="58"/>
      <c r="M55" s="63" t="s">
        <v>25</v>
      </c>
      <c r="N55" s="64">
        <f>N59*S55/100</f>
        <v>46513.668889999994</v>
      </c>
      <c r="P55" s="88"/>
      <c r="S55">
        <v>16.899999999999999</v>
      </c>
      <c r="V55" s="88"/>
      <c r="X55" s="68"/>
      <c r="Y55" s="78"/>
      <c r="Z55" s="68"/>
      <c r="AA55" s="68"/>
      <c r="AB55" s="68"/>
    </row>
    <row r="56" spans="2:28" x14ac:dyDescent="0.25">
      <c r="C56" s="284">
        <f>SUM(C55:D55)</f>
        <v>81210281.890000001</v>
      </c>
      <c r="D56" s="285"/>
      <c r="E56" s="57"/>
      <c r="F56" s="57"/>
      <c r="M56" s="63" t="s">
        <v>28</v>
      </c>
      <c r="N56" s="64">
        <f>N59*S56/100</f>
        <v>198715.20082000003</v>
      </c>
      <c r="R56" s="87"/>
      <c r="S56">
        <v>72.2</v>
      </c>
      <c r="T56" s="280"/>
      <c r="U56" s="280"/>
      <c r="X56" s="87"/>
      <c r="Y56" s="130"/>
      <c r="Z56" s="280"/>
      <c r="AA56" s="280"/>
      <c r="AB56" s="68"/>
    </row>
    <row r="57" spans="2:28" x14ac:dyDescent="0.25">
      <c r="C57" s="58"/>
      <c r="D57" s="57"/>
      <c r="E57" s="57"/>
      <c r="F57" s="57"/>
      <c r="M57" s="63" t="s">
        <v>29</v>
      </c>
      <c r="N57" s="64">
        <f>N59*S57/100</f>
        <v>2752.2880999999998</v>
      </c>
      <c r="S57">
        <v>1</v>
      </c>
      <c r="Y57" s="4"/>
      <c r="AA57" s="78"/>
      <c r="AB57" s="68"/>
    </row>
    <row r="58" spans="2:28" x14ac:dyDescent="0.25">
      <c r="C58" s="58"/>
      <c r="D58" s="57"/>
      <c r="E58" s="57"/>
      <c r="F58" s="57"/>
      <c r="M58" s="63" t="s">
        <v>34</v>
      </c>
      <c r="N58" s="64">
        <f>N59*S58/100</f>
        <v>12110.067640000001</v>
      </c>
      <c r="S58">
        <v>4.4000000000000004</v>
      </c>
      <c r="Y58" s="4"/>
      <c r="AA58" s="78"/>
      <c r="AB58" s="68"/>
    </row>
    <row r="59" spans="2:28" x14ac:dyDescent="0.25">
      <c r="J59" t="s">
        <v>3</v>
      </c>
      <c r="N59" s="64">
        <v>275228.81</v>
      </c>
      <c r="O59" s="211"/>
      <c r="S59" s="68">
        <f>SUM(S53:S58)</f>
        <v>100</v>
      </c>
      <c r="Y59" s="4"/>
      <c r="AA59" s="68"/>
      <c r="AB59" s="68"/>
    </row>
    <row r="60" spans="2:28" x14ac:dyDescent="0.25">
      <c r="B60" s="1" t="s">
        <v>19</v>
      </c>
      <c r="C60" s="284">
        <f>C39+D52+E39+G39+K39+I39</f>
        <v>80472781.890000001</v>
      </c>
      <c r="D60" s="285"/>
      <c r="E60" s="57"/>
      <c r="F60" s="57"/>
      <c r="AA60" s="78"/>
      <c r="AB60" s="68"/>
    </row>
    <row r="61" spans="2:28" x14ac:dyDescent="0.25">
      <c r="B61" s="1" t="s">
        <v>20</v>
      </c>
      <c r="AA61" s="143"/>
      <c r="AB61" s="68"/>
    </row>
    <row r="62" spans="2:28" x14ac:dyDescent="0.25">
      <c r="M62" s="68"/>
      <c r="AA62" s="78"/>
      <c r="AB62" s="68"/>
    </row>
    <row r="63" spans="2:28" x14ac:dyDescent="0.25">
      <c r="AA63" s="68"/>
      <c r="AB63" s="68"/>
    </row>
    <row r="64" spans="2:28" x14ac:dyDescent="0.25">
      <c r="AA64" s="78"/>
      <c r="AB64" s="68"/>
    </row>
    <row r="65" spans="27:28" x14ac:dyDescent="0.25">
      <c r="AA65" s="78"/>
      <c r="AB65" s="68"/>
    </row>
    <row r="66" spans="27:28" x14ac:dyDescent="0.25">
      <c r="AA66" s="78"/>
      <c r="AB66" s="68"/>
    </row>
    <row r="67" spans="27:28" x14ac:dyDescent="0.25">
      <c r="AA67" s="68"/>
      <c r="AB67" s="68"/>
    </row>
    <row r="68" spans="27:28" x14ac:dyDescent="0.25">
      <c r="AA68" s="78"/>
      <c r="AB68" s="68"/>
    </row>
    <row r="69" spans="27:28" x14ac:dyDescent="0.25">
      <c r="AA69" s="143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</sheetData>
  <mergeCells count="34">
    <mergeCell ref="B2:M2"/>
    <mergeCell ref="B3:C3"/>
    <mergeCell ref="D3:G3"/>
    <mergeCell ref="C5:D5"/>
    <mergeCell ref="E5:F5"/>
    <mergeCell ref="G5:H5"/>
    <mergeCell ref="I5:J5"/>
    <mergeCell ref="K5:L5"/>
    <mergeCell ref="C43:D43"/>
    <mergeCell ref="E43:F43"/>
    <mergeCell ref="G43:H43"/>
    <mergeCell ref="I43:J43"/>
    <mergeCell ref="K43:L43"/>
    <mergeCell ref="C40:D40"/>
    <mergeCell ref="E40:F40"/>
    <mergeCell ref="G40:H40"/>
    <mergeCell ref="I40:J40"/>
    <mergeCell ref="K40:L40"/>
    <mergeCell ref="K50:L50"/>
    <mergeCell ref="B51:C51"/>
    <mergeCell ref="E51:F51"/>
    <mergeCell ref="G51:H51"/>
    <mergeCell ref="I51:J51"/>
    <mergeCell ref="K51:L51"/>
    <mergeCell ref="C60:D60"/>
    <mergeCell ref="B50:C50"/>
    <mergeCell ref="E50:F50"/>
    <mergeCell ref="G50:H50"/>
    <mergeCell ref="I50:J50"/>
    <mergeCell ref="B52:C52"/>
    <mergeCell ref="D52:H52"/>
    <mergeCell ref="C56:D56"/>
    <mergeCell ref="T56:U56"/>
    <mergeCell ref="Z56:AA56"/>
  </mergeCells>
  <pageMargins left="0.11811023622047245" right="0" top="0.15748031496062992" bottom="0.15748031496062992" header="0.31496062992125984" footer="0"/>
  <pageSetup paperSize="9" scale="52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J61" sqref="J61"/>
    </sheetView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2CF9-E51C-4A26-8BCD-A2D94516EA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C28B-4B96-409E-8E2E-988FB611DC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29FB-B15C-4CF9-94A0-F746F0EF72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E013-A58B-4FDA-8018-8E0BEF0F74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J61" sqref="J6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52</vt:i4>
      </vt:variant>
    </vt:vector>
  </HeadingPairs>
  <TitlesOfParts>
    <vt:vector size="52" baseType="lpstr">
      <vt:lpstr>ОКТЯБРЬ 2022</vt:lpstr>
      <vt:lpstr>НОЯБРЬ 2022</vt:lpstr>
      <vt:lpstr>ДЕКАБРЬ 2022 по 19.12.22 вкл</vt:lpstr>
      <vt:lpstr>ДЕКАБРЬ 2022</vt:lpstr>
      <vt:lpstr>Январь 2023</vt:lpstr>
      <vt:lpstr>Февраль 2023</vt:lpstr>
      <vt:lpstr>Март 2023</vt:lpstr>
      <vt:lpstr>Март 2023 (2)</vt:lpstr>
      <vt:lpstr>Апрель 2023</vt:lpstr>
      <vt:lpstr>Май 2023</vt:lpstr>
      <vt:lpstr>Июнь 2023</vt:lpstr>
      <vt:lpstr>Июль 2023</vt:lpstr>
      <vt:lpstr>Август 2023</vt:lpstr>
      <vt:lpstr>Сентябрь 2023</vt:lpstr>
      <vt:lpstr>Октябрь 2023</vt:lpstr>
      <vt:lpstr>Ноябрь 2023</vt:lpstr>
      <vt:lpstr>Декабрь 2023</vt:lpstr>
      <vt:lpstr>Январь 2024</vt:lpstr>
      <vt:lpstr>Февраль 2024</vt:lpstr>
      <vt:lpstr>Март 2024 </vt:lpstr>
      <vt:lpstr>Апрель 2024 </vt:lpstr>
      <vt:lpstr>Май 2024</vt:lpstr>
      <vt:lpstr>Июнь 2024</vt:lpstr>
      <vt:lpstr>Июль 2024</vt:lpstr>
      <vt:lpstr>Август 2024</vt:lpstr>
      <vt:lpstr>Сентябрь 2024</vt:lpstr>
      <vt:lpstr>Октябрь 2024</vt:lpstr>
      <vt:lpstr>Ноябрь 2024</vt:lpstr>
      <vt:lpstr>Декабрь 2024</vt:lpstr>
      <vt:lpstr>Январь 2025 </vt:lpstr>
      <vt:lpstr>Февраль 2025</vt:lpstr>
      <vt:lpstr>Март 2025 </vt:lpstr>
      <vt:lpstr>Апрель 2025</vt:lpstr>
      <vt:lpstr>Май 2025</vt:lpstr>
      <vt:lpstr>Июнь 2025</vt:lpstr>
      <vt:lpstr>Июль 2025</vt:lpstr>
      <vt:lpstr>Сентябрь 2025 </vt:lpstr>
      <vt:lpstr>Октябрь 2025</vt:lpstr>
      <vt:lpstr>Ноябрь 2025</vt:lpstr>
      <vt:lpstr>Декабрь 2025</vt:lpstr>
      <vt:lpstr>Январь 2026 </vt:lpstr>
      <vt:lpstr>Февраль 2026</vt:lpstr>
      <vt:lpstr>Март 2026</vt:lpstr>
      <vt:lpstr>Апрель 2026</vt:lpstr>
      <vt:lpstr>Май 2026 </vt:lpstr>
      <vt:lpstr>Июнь 2026</vt:lpstr>
      <vt:lpstr>Лист2</vt:lpstr>
      <vt:lpstr>Лист1</vt:lpstr>
      <vt:lpstr>Лист4</vt:lpstr>
      <vt:lpstr>Лист5</vt:lpstr>
      <vt:lpstr>Лист6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Admin</cp:lastModifiedBy>
  <cp:lastPrinted>2026-07-07T08:30:22Z</cp:lastPrinted>
  <dcterms:created xsi:type="dcterms:W3CDTF">2019-10-04T11:24:18Z</dcterms:created>
  <dcterms:modified xsi:type="dcterms:W3CDTF">2026-07-07T09:56:17Z</dcterms:modified>
</cp:coreProperties>
</file>