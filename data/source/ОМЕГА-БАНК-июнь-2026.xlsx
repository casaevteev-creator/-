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ОТЧЕТ УЧРЕДИТЕЛЯМ\2026\ИЮНЬ\"/>
    </mc:Choice>
  </mc:AlternateContent>
  <xr:revisionPtr revIDLastSave="0" documentId="13_ncr:1_{58743C8F-CF53-4069-9466-FDEAAF00B824}" xr6:coauthVersionLast="45" xr6:coauthVersionMax="45" xr10:uidLastSave="{00000000-0000-0000-0000-000000000000}"/>
  <bookViews>
    <workbookView xWindow="-120" yWindow="-120" windowWidth="29040" windowHeight="15840" tabRatio="0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6" i="1" l="1"/>
  <c r="G75" i="1"/>
  <c r="E91" i="1" l="1"/>
  <c r="D91" i="1"/>
  <c r="F74" i="1" l="1"/>
  <c r="F77" i="1"/>
  <c r="D16" i="1"/>
  <c r="C87" i="1" l="1"/>
  <c r="D95" i="1" l="1"/>
  <c r="C95" i="1"/>
  <c r="F75" i="1"/>
  <c r="C10" i="1" l="1"/>
  <c r="D29" i="1" l="1"/>
  <c r="D104" i="1" l="1"/>
  <c r="E104" i="1"/>
  <c r="D17" i="1" l="1"/>
  <c r="C83" i="1"/>
  <c r="I99" i="1" l="1"/>
  <c r="E77" i="1"/>
  <c r="C77" i="1" l="1"/>
  <c r="H75" i="1"/>
  <c r="C94" i="1" l="1"/>
  <c r="C85" i="1"/>
  <c r="D85" i="1" l="1"/>
  <c r="E85" i="1"/>
  <c r="D75" i="1"/>
  <c r="E75" i="1"/>
  <c r="E74" i="1"/>
  <c r="C75" i="1" l="1"/>
  <c r="D88" i="1"/>
  <c r="D90" i="1" l="1"/>
  <c r="C78" i="1"/>
  <c r="D40" i="1" l="1"/>
  <c r="C29" i="1" l="1"/>
  <c r="C67" i="1" s="1"/>
  <c r="G79" i="1" l="1"/>
  <c r="F79" i="1"/>
  <c r="D60" i="1" l="1"/>
  <c r="D67" i="1" s="1"/>
  <c r="C97" i="1" l="1"/>
  <c r="C110" i="1" l="1"/>
  <c r="E110" i="1" s="1"/>
  <c r="D110" i="1" l="1"/>
  <c r="C68" i="1"/>
  <c r="C98" i="1" l="1"/>
  <c r="C99" i="1" s="1"/>
  <c r="E99" i="1" s="1"/>
  <c r="C91" i="1" l="1"/>
  <c r="D111" i="1" l="1"/>
  <c r="E84" i="1" l="1"/>
  <c r="D84" i="1" l="1"/>
  <c r="D94" i="1" l="1"/>
  <c r="E94" i="1"/>
  <c r="H79" i="1" l="1"/>
  <c r="J98" i="1" l="1"/>
  <c r="J101" i="1" s="1"/>
  <c r="J102" i="1" s="1"/>
  <c r="C76" i="1"/>
  <c r="D112" i="1"/>
  <c r="E112" i="1"/>
  <c r="D120" i="1" l="1"/>
  <c r="E120" i="1" l="1"/>
  <c r="D74" i="1" l="1"/>
  <c r="C96" i="1"/>
  <c r="C93" i="1"/>
  <c r="D79" i="1" l="1"/>
  <c r="C74" i="1"/>
  <c r="C79" i="1" s="1"/>
  <c r="D96" i="1"/>
  <c r="E96" i="1"/>
  <c r="E79" i="1" l="1"/>
  <c r="D113" i="1" l="1"/>
  <c r="E113" i="1"/>
  <c r="I98" i="1" l="1"/>
  <c r="I101" i="1" s="1"/>
  <c r="I102" i="1" s="1"/>
  <c r="C116" i="1" l="1"/>
  <c r="C89" i="1" l="1"/>
  <c r="E89" i="1" s="1"/>
  <c r="D89" i="1" l="1"/>
  <c r="E86" i="1"/>
  <c r="D86" i="1"/>
  <c r="D83" i="1" l="1"/>
  <c r="E88" i="1" l="1"/>
  <c r="E93" i="1"/>
  <c r="E87" i="1"/>
  <c r="C88" i="1" l="1"/>
  <c r="E111" i="1"/>
  <c r="E83" i="1"/>
  <c r="D93" i="1"/>
  <c r="D87" i="1"/>
  <c r="C73" i="1" l="1"/>
  <c r="E73" i="1" l="1"/>
  <c r="C40" i="1" l="1"/>
  <c r="D99" i="1"/>
  <c r="D97" i="1" s="1"/>
  <c r="D92" i="1" s="1"/>
  <c r="E97" i="1"/>
  <c r="D101" i="1" l="1"/>
  <c r="D106" i="1" s="1"/>
  <c r="D109" i="1" s="1"/>
  <c r="E92" i="1"/>
  <c r="C92" i="1" s="1"/>
  <c r="C101" i="1" s="1"/>
  <c r="C106" i="1" s="1"/>
  <c r="D114" i="1" l="1"/>
  <c r="D122" i="1" s="1"/>
  <c r="E101" i="1"/>
  <c r="E106" i="1" s="1"/>
  <c r="E109" i="1" s="1"/>
  <c r="E114" i="1" s="1"/>
  <c r="C109" i="1"/>
  <c r="E122" i="1" l="1"/>
  <c r="C114" i="1"/>
  <c r="C1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0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Сумма без вычета эквайринга из отчета по 1С Управление касса
</t>
        </r>
      </text>
    </comment>
    <comment ref="D65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91счет
</t>
        </r>
      </text>
    </comment>
    <comment ref="D85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-7800 - 1/2 от 15600 за Коротеева (Погосян)+45593,50
 1/2 Корнейчик
</t>
        </r>
      </text>
    </comment>
    <comment ref="E85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+7800 вторая половина от 15600 Коротеев-45594 корнейчик
</t>
        </r>
      </text>
    </comment>
    <comment ref="D91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Доп.расходы 
1. 6124/2=3062
 половину вычли уже в постащиках общих
минус половина расходов ДА 12741
ИП Кудря минус половина (расход Погосяна ДА)132500/2=66250
</t>
        </r>
      </text>
    </comment>
    <comment ref="E91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Доп.расходы
1. Доп.расход по данным  гл.медсестры 25482/2 =12741, т.к. половина уже в поставщиках
ИП Кудря 66250 (132500/2) за июнь
минус половина расходов Маланичева М.Ю.
3062
</t>
        </r>
      </text>
    </comment>
    <comment ref="C128" authorId="0" shapeId="0" xr:uid="{C8474522-128B-4E99-B0CE-12A8502A37DC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16.06.26 7000000
19.06.26  3000000
Отправлены 2 платежа наООО " Квалитет"
строит-монтажные работы
01.07.26 1185761 ООО ВИЗОР оборудование для вентиляции и кондиционирования
01.07.26 1356195 50% за работы по установке системы вентиляции ИП Громова Н.Ю. </t>
        </r>
      </text>
    </comment>
  </commentList>
</comments>
</file>

<file path=xl/sharedStrings.xml><?xml version="1.0" encoding="utf-8"?>
<sst xmlns="http://schemas.openxmlformats.org/spreadsheetml/2006/main" count="161" uniqueCount="115">
  <si>
    <t>БУ (данные бухгалтерского учета)</t>
  </si>
  <si>
    <t>Кор. Счет</t>
  </si>
  <si>
    <t>Дебет</t>
  </si>
  <si>
    <t>Кредит</t>
  </si>
  <si>
    <t>Начальное сальдо</t>
  </si>
  <si>
    <t>60</t>
  </si>
  <si>
    <t>69</t>
  </si>
  <si>
    <t>70</t>
  </si>
  <si>
    <t>91</t>
  </si>
  <si>
    <t>Оборот</t>
  </si>
  <si>
    <t>Конечное сальдо</t>
  </si>
  <si>
    <t>хирургия</t>
  </si>
  <si>
    <t>косметология</t>
  </si>
  <si>
    <t>общее</t>
  </si>
  <si>
    <t>аренда</t>
  </si>
  <si>
    <t>поставщики</t>
  </si>
  <si>
    <t>услуги банка</t>
  </si>
  <si>
    <t>банк</t>
  </si>
  <si>
    <t>касса</t>
  </si>
  <si>
    <t>ИТОГО РАСХОДЫ</t>
  </si>
  <si>
    <t>зарплата по банку</t>
  </si>
  <si>
    <t>налоги ЗП   (68.01 + 69)</t>
  </si>
  <si>
    <t>волосы</t>
  </si>
  <si>
    <r>
      <t>оплата от пациентов сайт iBolit</t>
    </r>
    <r>
      <rPr>
        <sz val="8"/>
        <rFont val="Arial"/>
        <family val="2"/>
        <charset val="204"/>
      </rPr>
      <t xml:space="preserve"> (НЬЮ МЕД СОЛЮШНС)</t>
    </r>
  </si>
  <si>
    <t>Возврат займа</t>
  </si>
  <si>
    <t>дивиденты</t>
  </si>
  <si>
    <t>налоги ЗП   (фонды)</t>
  </si>
  <si>
    <t>ООО "ОМЕГА"</t>
  </si>
  <si>
    <t>Банк - оплата картами</t>
  </si>
  <si>
    <t>Маланичев</t>
  </si>
  <si>
    <t>Погосян</t>
  </si>
  <si>
    <t>Выручка</t>
  </si>
  <si>
    <t>Расходы (оплаченные)</t>
  </si>
  <si>
    <t>Поставщики банк</t>
  </si>
  <si>
    <t>ИТОГО ВЫРУЧКА</t>
  </si>
  <si>
    <t>Поставщики касса (чеки)</t>
  </si>
  <si>
    <t xml:space="preserve"> (оплаченные)</t>
  </si>
  <si>
    <t>Выручка - Расходы</t>
  </si>
  <si>
    <t>Др.хирурги</t>
  </si>
  <si>
    <t>Прочие</t>
  </si>
  <si>
    <t>Прочее</t>
  </si>
  <si>
    <t>Оплата через Банк за пациента - физ.лицо</t>
  </si>
  <si>
    <t>Оплата на р/с - физ.лицо</t>
  </si>
  <si>
    <t>Поставщики</t>
  </si>
  <si>
    <t>услуги банка (общие)</t>
  </si>
  <si>
    <t xml:space="preserve"> (за месяц)</t>
  </si>
  <si>
    <t>в т.ч. :             операцион.</t>
  </si>
  <si>
    <t>общие</t>
  </si>
  <si>
    <t>операцион.+общие+1/2 др.хирурги</t>
  </si>
  <si>
    <t>Выручка по Др.хирурги 1/2</t>
  </si>
  <si>
    <t>обслуживание р/с, сдача выручки в банк</t>
  </si>
  <si>
    <t>ИТОГО за месяц  (ДОХОД)</t>
  </si>
  <si>
    <t xml:space="preserve">ИТОГО к выплате  </t>
  </si>
  <si>
    <t>алименты</t>
  </si>
  <si>
    <t xml:space="preserve">с учетом остатка </t>
  </si>
  <si>
    <t>с пред.месяца</t>
  </si>
  <si>
    <t>Остаток с предыд. месяца</t>
  </si>
  <si>
    <t>алименты Заведягин (удерживаются из ЗП)</t>
  </si>
  <si>
    <t>68.90</t>
  </si>
  <si>
    <t>Халва</t>
  </si>
  <si>
    <t>Возврат через банк пациенту</t>
  </si>
  <si>
    <t>ИП хирурги</t>
  </si>
  <si>
    <t xml:space="preserve">Аренда </t>
  </si>
  <si>
    <t>Остаток с удерж. на аренду</t>
  </si>
  <si>
    <t>было отложено</t>
  </si>
  <si>
    <t>Косметология</t>
  </si>
  <si>
    <t>Общее</t>
  </si>
  <si>
    <t>Выручка по Космет 1/2</t>
  </si>
  <si>
    <t>в т.ч. :             Аренда коммун.</t>
  </si>
  <si>
    <t xml:space="preserve">Другие хирурги </t>
  </si>
  <si>
    <t>ИП перечислено</t>
  </si>
  <si>
    <t>Расходы операционные</t>
  </si>
  <si>
    <t>ИТОГО остаток</t>
  </si>
  <si>
    <t>1/2 на каждого</t>
  </si>
  <si>
    <t>55.03</t>
  </si>
  <si>
    <t>57.01</t>
  </si>
  <si>
    <t>57.03</t>
  </si>
  <si>
    <t>Корпоративная карта</t>
  </si>
  <si>
    <t>91.01 % по депозитам</t>
  </si>
  <si>
    <t>сдано в Банк инкассация</t>
  </si>
  <si>
    <t>Выплата дивидендов</t>
  </si>
  <si>
    <t xml:space="preserve">Маланичев </t>
  </si>
  <si>
    <t>75 Выплата дивидендов</t>
  </si>
  <si>
    <t>68.01</t>
  </si>
  <si>
    <t>68.01 НДФЛ с дивидендов</t>
  </si>
  <si>
    <t>Выплата по исполнит листу</t>
  </si>
  <si>
    <t>Выручка прочее</t>
  </si>
  <si>
    <t>76.41 Выплата по ИЛ</t>
  </si>
  <si>
    <t>эквайринг</t>
  </si>
  <si>
    <t>Оплата от пациента , возврат</t>
  </si>
  <si>
    <t>Доп.расходы</t>
  </si>
  <si>
    <t>Командировочные, суточные, подотчет</t>
  </si>
  <si>
    <t>услуги банка (эквайринг)</t>
  </si>
  <si>
    <t>Оборот денежных средств по  ДЕПOЗИТАМ</t>
  </si>
  <si>
    <t>Раходы по кассе</t>
  </si>
  <si>
    <t>Коммунальные услуги</t>
  </si>
  <si>
    <t>возврат пациенту ч/з банк и кассу</t>
  </si>
  <si>
    <t>аренда Самокатная 1 стр.1</t>
  </si>
  <si>
    <t>ЗП с НДФЛ+страх.взносы</t>
  </si>
  <si>
    <t>Дивиденды на ИП</t>
  </si>
  <si>
    <t>Самокатная 1 стр.12</t>
  </si>
  <si>
    <t>% по депозитам за 04.26</t>
  </si>
  <si>
    <t>налоги ЗП    (НДФЛ+страховые взносы)</t>
  </si>
  <si>
    <t>Депозит  ВТБ</t>
  </si>
  <si>
    <t>Аренда</t>
  </si>
  <si>
    <t>Отложено на аренду на период с 15.07.26 до 14.03.27 всего на депозит</t>
  </si>
  <si>
    <r>
      <t xml:space="preserve">Анализ счета 51 </t>
    </r>
    <r>
      <rPr>
        <b/>
        <u/>
        <sz val="12"/>
        <rFont val="Arial"/>
        <family val="2"/>
        <charset val="204"/>
      </rPr>
      <t>за июнь 2026 г.</t>
    </r>
    <r>
      <rPr>
        <b/>
        <sz val="12"/>
        <rFont val="Arial"/>
        <family val="2"/>
        <charset val="204"/>
      </rPr>
      <t xml:space="preserve"> (расчетный счет)</t>
    </r>
  </si>
  <si>
    <t>91.01 % по кредиту</t>
  </si>
  <si>
    <t>За счет кредита</t>
  </si>
  <si>
    <t>Ремонт Самокатная 1 стр12</t>
  </si>
  <si>
    <t>Прочее посупление/возврат</t>
  </si>
  <si>
    <t>67 Кредит</t>
  </si>
  <si>
    <t>из них в июне</t>
  </si>
  <si>
    <t>Остаток в кассе на 30.06.26</t>
  </si>
  <si>
    <t>Справочно. Долг по кредитной линии на 07.07.26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</si>
</sst>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8"/>
      <name val="Arial"/>
      <family val="2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indexed="24"/>
      <name val="Arial"/>
      <family val="2"/>
      <charset val="204"/>
    </font>
    <font>
      <sz val="9"/>
      <name val="Arial"/>
      <family val="2"/>
      <charset val="204"/>
    </font>
    <font>
      <b/>
      <sz val="10"/>
      <color indexed="24"/>
      <name val="Arial"/>
      <family val="2"/>
      <charset val="204"/>
    </font>
    <font>
      <b/>
      <u/>
      <sz val="9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</font>
    <font>
      <b/>
      <u/>
      <sz val="8"/>
      <name val="Arial"/>
      <family val="2"/>
      <charset val="204"/>
    </font>
    <font>
      <b/>
      <u/>
      <sz val="10"/>
      <name val="Arial"/>
      <family val="2"/>
      <charset val="204"/>
    </font>
    <font>
      <b/>
      <sz val="8"/>
      <name val="Arial"/>
      <family val="2"/>
      <charset val="204"/>
    </font>
    <font>
      <u/>
      <sz val="9"/>
      <name val="Arial"/>
      <family val="2"/>
      <charset val="204"/>
    </font>
    <font>
      <u/>
      <sz val="8"/>
      <name val="Arial"/>
      <family val="2"/>
      <charset val="204"/>
    </font>
    <font>
      <b/>
      <u/>
      <sz val="12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9"/>
      </left>
      <right/>
      <top style="thin">
        <color indexed="29"/>
      </top>
      <bottom style="thin">
        <color indexed="29"/>
      </bottom>
      <diagonal/>
    </border>
    <border>
      <left style="thin">
        <color indexed="64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64"/>
      </left>
      <right style="thin">
        <color indexed="29"/>
      </right>
      <top style="thin">
        <color indexed="26"/>
      </top>
      <bottom style="thin">
        <color indexed="29"/>
      </bottom>
      <diagonal/>
    </border>
    <border>
      <left style="thin">
        <color indexed="64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theme="0" tint="-0.14999847407452621"/>
      </bottom>
      <diagonal/>
    </border>
    <border>
      <left style="thin">
        <color indexed="29"/>
      </left>
      <right style="thin">
        <color indexed="29"/>
      </right>
      <top/>
      <bottom style="thin">
        <color indexed="29"/>
      </bottom>
      <diagonal/>
    </border>
    <border>
      <left style="thin">
        <color indexed="29"/>
      </left>
      <right/>
      <top/>
      <bottom/>
      <diagonal/>
    </border>
    <border>
      <left style="thin">
        <color indexed="64"/>
      </left>
      <right style="thin">
        <color indexed="29"/>
      </right>
      <top/>
      <bottom style="thin">
        <color indexed="29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0" xfId="0" applyFill="1"/>
    <xf numFmtId="49" fontId="0" fillId="0" borderId="0" xfId="0" applyNumberFormat="1" applyFill="1"/>
    <xf numFmtId="0" fontId="5" fillId="0" borderId="2" xfId="0" applyNumberFormat="1" applyFont="1" applyFill="1" applyBorder="1" applyAlignment="1">
      <alignment vertical="top" wrapText="1" indent="1"/>
    </xf>
    <xf numFmtId="0" fontId="5" fillId="0" borderId="3" xfId="0" applyNumberFormat="1" applyFont="1" applyFill="1" applyBorder="1" applyAlignment="1">
      <alignment vertical="top"/>
    </xf>
    <xf numFmtId="0" fontId="5" fillId="0" borderId="2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horizontal="left" vertical="top" wrapText="1" indent="1"/>
    </xf>
    <xf numFmtId="0" fontId="7" fillId="0" borderId="0" xfId="0" applyFont="1" applyFill="1" applyAlignment="1">
      <alignment horizontal="right"/>
    </xf>
    <xf numFmtId="0" fontId="5" fillId="0" borderId="0" xfId="0" applyFont="1" applyFill="1"/>
    <xf numFmtId="4" fontId="5" fillId="0" borderId="0" xfId="0" applyNumberFormat="1" applyFont="1" applyFill="1"/>
    <xf numFmtId="4" fontId="8" fillId="0" borderId="0" xfId="0" applyNumberFormat="1" applyFont="1" applyFill="1"/>
    <xf numFmtId="0" fontId="8" fillId="0" borderId="0" xfId="0" applyFont="1" applyFill="1"/>
    <xf numFmtId="4" fontId="5" fillId="0" borderId="0" xfId="0" applyNumberFormat="1" applyFont="1" applyFill="1" applyAlignment="1">
      <alignment horizontal="right"/>
    </xf>
    <xf numFmtId="4" fontId="8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5" fillId="0" borderId="6" xfId="0" applyNumberFormat="1" applyFont="1" applyFill="1" applyBorder="1" applyAlignment="1">
      <alignment vertical="top"/>
    </xf>
    <xf numFmtId="4" fontId="0" fillId="0" borderId="0" xfId="0" applyNumberFormat="1" applyFill="1"/>
    <xf numFmtId="0" fontId="6" fillId="0" borderId="2" xfId="0" applyNumberFormat="1" applyFont="1" applyFill="1" applyBorder="1" applyAlignment="1">
      <alignment vertical="top" wrapText="1"/>
    </xf>
    <xf numFmtId="0" fontId="4" fillId="0" borderId="4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/>
    </xf>
    <xf numFmtId="0" fontId="4" fillId="0" borderId="5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vertical="top" wrapText="1"/>
    </xf>
    <xf numFmtId="0" fontId="6" fillId="0" borderId="6" xfId="0" applyNumberFormat="1" applyFont="1" applyFill="1" applyBorder="1" applyAlignment="1">
      <alignment vertical="top"/>
    </xf>
    <xf numFmtId="0" fontId="9" fillId="0" borderId="0" xfId="0" applyFont="1" applyFill="1"/>
    <xf numFmtId="0" fontId="0" fillId="0" borderId="0" xfId="0" applyFont="1" applyFill="1"/>
    <xf numFmtId="0" fontId="7" fillId="0" borderId="0" xfId="0" applyFont="1" applyFill="1" applyAlignment="1">
      <alignment horizontal="center"/>
    </xf>
    <xf numFmtId="4" fontId="7" fillId="0" borderId="0" xfId="0" applyNumberFormat="1" applyFont="1" applyFill="1"/>
    <xf numFmtId="0" fontId="11" fillId="0" borderId="0" xfId="0" applyFont="1" applyFill="1" applyAlignment="1">
      <alignment horizontal="right"/>
    </xf>
    <xf numFmtId="4" fontId="7" fillId="0" borderId="0" xfId="0" applyNumberFormat="1" applyFont="1" applyFill="1" applyAlignment="1">
      <alignment horizontal="right"/>
    </xf>
    <xf numFmtId="4" fontId="0" fillId="0" borderId="0" xfId="0" applyNumberFormat="1"/>
    <xf numFmtId="0" fontId="10" fillId="0" borderId="0" xfId="0" applyFont="1" applyAlignment="1">
      <alignment horizontal="center"/>
    </xf>
    <xf numFmtId="0" fontId="10" fillId="0" borderId="0" xfId="0" applyFont="1" applyFill="1" applyAlignment="1">
      <alignment horizontal="right"/>
    </xf>
    <xf numFmtId="4" fontId="12" fillId="0" borderId="0" xfId="0" applyNumberFormat="1" applyFont="1" applyFill="1" applyAlignment="1">
      <alignment horizontal="right"/>
    </xf>
    <xf numFmtId="4" fontId="9" fillId="0" borderId="0" xfId="0" applyNumberFormat="1" applyFont="1"/>
    <xf numFmtId="0" fontId="8" fillId="0" borderId="0" xfId="0" applyFont="1"/>
    <xf numFmtId="4" fontId="8" fillId="0" borderId="0" xfId="0" applyNumberFormat="1" applyFont="1"/>
    <xf numFmtId="0" fontId="13" fillId="0" borderId="0" xfId="0" applyFont="1" applyFill="1" applyAlignment="1">
      <alignment horizontal="right"/>
    </xf>
    <xf numFmtId="0" fontId="14" fillId="0" borderId="0" xfId="0" applyFont="1" applyFill="1" applyAlignment="1">
      <alignment horizontal="right"/>
    </xf>
    <xf numFmtId="4" fontId="13" fillId="0" borderId="0" xfId="0" applyNumberFormat="1" applyFont="1" applyAlignment="1">
      <alignment horizontal="right"/>
    </xf>
    <xf numFmtId="4" fontId="7" fillId="0" borderId="0" xfId="0" applyNumberFormat="1" applyFont="1"/>
    <xf numFmtId="0" fontId="12" fillId="0" borderId="0" xfId="0" applyFont="1"/>
    <xf numFmtId="0" fontId="5" fillId="0" borderId="0" xfId="0" applyFont="1" applyFill="1" applyAlignment="1">
      <alignment horizontal="right"/>
    </xf>
    <xf numFmtId="0" fontId="10" fillId="0" borderId="0" xfId="0" applyFont="1" applyFill="1"/>
    <xf numFmtId="0" fontId="12" fillId="0" borderId="0" xfId="0" applyFont="1" applyFill="1"/>
    <xf numFmtId="0" fontId="7" fillId="2" borderId="0" xfId="0" applyFont="1" applyFill="1" applyAlignment="1">
      <alignment horizontal="right"/>
    </xf>
    <xf numFmtId="4" fontId="7" fillId="2" borderId="0" xfId="0" applyNumberFormat="1" applyFont="1" applyFill="1"/>
    <xf numFmtId="0" fontId="7" fillId="3" borderId="0" xfId="0" applyFont="1" applyFill="1" applyAlignment="1">
      <alignment horizontal="right"/>
    </xf>
    <xf numFmtId="4" fontId="8" fillId="3" borderId="0" xfId="0" applyNumberFormat="1" applyFont="1" applyFill="1" applyAlignment="1">
      <alignment horizontal="right"/>
    </xf>
    <xf numFmtId="4" fontId="7" fillId="3" borderId="0" xfId="0" applyNumberFormat="1" applyFont="1" applyFill="1"/>
    <xf numFmtId="0" fontId="7" fillId="0" borderId="0" xfId="0" applyFont="1" applyFill="1" applyAlignment="1">
      <alignment horizontal="right"/>
    </xf>
    <xf numFmtId="4" fontId="13" fillId="0" borderId="0" xfId="0" applyNumberFormat="1" applyFont="1" applyFill="1" applyAlignment="1">
      <alignment horizontal="right"/>
    </xf>
    <xf numFmtId="0" fontId="0" fillId="3" borderId="0" xfId="0" applyFill="1"/>
    <xf numFmtId="0" fontId="11" fillId="2" borderId="0" xfId="0" applyFont="1" applyFill="1" applyAlignment="1">
      <alignment horizontal="right"/>
    </xf>
    <xf numFmtId="4" fontId="11" fillId="2" borderId="0" xfId="0" applyNumberFormat="1" applyFont="1" applyFill="1"/>
    <xf numFmtId="4" fontId="0" fillId="2" borderId="0" xfId="0" applyNumberFormat="1" applyFill="1"/>
    <xf numFmtId="0" fontId="0" fillId="2" borderId="0" xfId="0" applyFill="1"/>
    <xf numFmtId="4" fontId="8" fillId="3" borderId="0" xfId="0" applyNumberFormat="1" applyFont="1" applyFill="1"/>
    <xf numFmtId="0" fontId="8" fillId="3" borderId="0" xfId="0" applyFont="1" applyFill="1"/>
    <xf numFmtId="4" fontId="1" fillId="0" borderId="0" xfId="0" applyNumberFormat="1" applyFont="1" applyFill="1"/>
    <xf numFmtId="0" fontId="7" fillId="0" borderId="0" xfId="0" applyFont="1" applyFill="1" applyAlignment="1">
      <alignment horizontal="right"/>
    </xf>
    <xf numFmtId="0" fontId="10" fillId="0" borderId="0" xfId="0" applyFont="1" applyFill="1" applyAlignment="1">
      <alignment horizontal="center"/>
    </xf>
    <xf numFmtId="4" fontId="7" fillId="0" borderId="0" xfId="0" applyNumberFormat="1" applyFont="1" applyFill="1" applyAlignment="1">
      <alignment horizontal="right"/>
    </xf>
    <xf numFmtId="4" fontId="0" fillId="0" borderId="0" xfId="0" applyNumberFormat="1" applyFill="1" applyAlignment="1">
      <alignment horizontal="right"/>
    </xf>
    <xf numFmtId="0" fontId="7" fillId="0" borderId="0" xfId="0" applyFont="1" applyFill="1" applyAlignment="1">
      <alignment horizontal="right"/>
    </xf>
    <xf numFmtId="4" fontId="9" fillId="0" borderId="0" xfId="0" applyNumberFormat="1" applyFont="1" applyFill="1"/>
    <xf numFmtId="4" fontId="0" fillId="0" borderId="0" xfId="0" applyNumberFormat="1" applyFont="1" applyFill="1"/>
    <xf numFmtId="4" fontId="3" fillId="0" borderId="0" xfId="0" applyNumberFormat="1" applyFont="1" applyFill="1" applyAlignment="1">
      <alignment horizontal="right"/>
    </xf>
    <xf numFmtId="4" fontId="3" fillId="0" borderId="0" xfId="0" applyNumberFormat="1" applyFont="1" applyFill="1"/>
    <xf numFmtId="4" fontId="7" fillId="0" borderId="0" xfId="0" applyNumberFormat="1" applyFont="1" applyFill="1" applyAlignment="1">
      <alignment horizontal="right"/>
    </xf>
    <xf numFmtId="4" fontId="7" fillId="4" borderId="0" xfId="0" applyNumberFormat="1" applyFont="1" applyFill="1"/>
    <xf numFmtId="4" fontId="12" fillId="0" borderId="0" xfId="0" applyNumberFormat="1" applyFont="1" applyFill="1"/>
    <xf numFmtId="0" fontId="4" fillId="0" borderId="10" xfId="0" applyNumberFormat="1" applyFont="1" applyFill="1" applyBorder="1" applyAlignment="1">
      <alignment vertical="top" wrapText="1"/>
    </xf>
    <xf numFmtId="4" fontId="5" fillId="5" borderId="0" xfId="0" applyNumberFormat="1" applyFont="1" applyFill="1"/>
    <xf numFmtId="0" fontId="0" fillId="5" borderId="0" xfId="0" applyFill="1"/>
    <xf numFmtId="4" fontId="5" fillId="5" borderId="2" xfId="0" applyNumberFormat="1" applyFont="1" applyFill="1" applyBorder="1" applyAlignment="1">
      <alignment horizontal="right" vertical="top" wrapText="1"/>
    </xf>
    <xf numFmtId="0" fontId="5" fillId="0" borderId="3" xfId="0" applyNumberFormat="1" applyFont="1" applyFill="1" applyBorder="1" applyAlignment="1">
      <alignment horizontal="left" vertical="top"/>
    </xf>
    <xf numFmtId="4" fontId="6" fillId="5" borderId="2" xfId="0" applyNumberFormat="1" applyFont="1" applyFill="1" applyBorder="1" applyAlignment="1">
      <alignment horizontal="right" vertical="top" wrapText="1"/>
    </xf>
    <xf numFmtId="0" fontId="4" fillId="5" borderId="2" xfId="0" applyNumberFormat="1" applyFont="1" applyFill="1" applyBorder="1" applyAlignment="1">
      <alignment horizontal="right" vertical="top" wrapText="1"/>
    </xf>
    <xf numFmtId="0" fontId="5" fillId="5" borderId="2" xfId="0" applyNumberFormat="1" applyFont="1" applyFill="1" applyBorder="1" applyAlignment="1">
      <alignment horizontal="right" vertical="top" wrapText="1"/>
    </xf>
    <xf numFmtId="49" fontId="0" fillId="5" borderId="0" xfId="0" applyNumberFormat="1" applyFill="1"/>
    <xf numFmtId="4" fontId="5" fillId="5" borderId="7" xfId="0" applyNumberFormat="1" applyFont="1" applyFill="1" applyBorder="1" applyAlignment="1">
      <alignment horizontal="right" vertical="top" wrapText="1"/>
    </xf>
    <xf numFmtId="4" fontId="5" fillId="5" borderId="8" xfId="0" applyNumberFormat="1" applyFont="1" applyFill="1" applyBorder="1" applyAlignment="1">
      <alignment horizontal="right" vertical="top" wrapText="1"/>
    </xf>
    <xf numFmtId="0" fontId="5" fillId="5" borderId="3" xfId="0" applyNumberFormat="1" applyFont="1" applyFill="1" applyBorder="1" applyAlignment="1">
      <alignment horizontal="right" vertical="top" wrapText="1"/>
    </xf>
    <xf numFmtId="4" fontId="0" fillId="5" borderId="0" xfId="0" applyNumberFormat="1" applyFill="1" applyBorder="1"/>
    <xf numFmtId="4" fontId="6" fillId="5" borderId="8" xfId="0" applyNumberFormat="1" applyFont="1" applyFill="1" applyBorder="1" applyAlignment="1">
      <alignment horizontal="right" vertical="top" wrapText="1"/>
    </xf>
    <xf numFmtId="4" fontId="8" fillId="5" borderId="2" xfId="0" applyNumberFormat="1" applyFont="1" applyFill="1" applyBorder="1" applyAlignment="1">
      <alignment horizontal="right" vertical="top" wrapText="1"/>
    </xf>
    <xf numFmtId="4" fontId="8" fillId="5" borderId="11" xfId="0" applyNumberFormat="1" applyFont="1" applyFill="1" applyBorder="1" applyAlignment="1">
      <alignment horizontal="right" vertical="top" wrapText="1"/>
    </xf>
    <xf numFmtId="4" fontId="0" fillId="5" borderId="0" xfId="0" applyNumberFormat="1" applyFill="1"/>
    <xf numFmtId="4" fontId="3" fillId="5" borderId="0" xfId="0" applyNumberFormat="1" applyFont="1" applyFill="1"/>
    <xf numFmtId="4" fontId="18" fillId="0" borderId="0" xfId="0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 applyFill="1" applyAlignment="1">
      <alignment horizontal="right"/>
    </xf>
    <xf numFmtId="0" fontId="8" fillId="0" borderId="0" xfId="0" applyFont="1" applyFill="1" applyAlignment="1">
      <alignment horizontal="right" wrapText="1"/>
    </xf>
    <xf numFmtId="4" fontId="19" fillId="0" borderId="12" xfId="0" applyNumberFormat="1" applyFont="1" applyFill="1" applyBorder="1" applyAlignment="1">
      <alignment horizontal="right"/>
    </xf>
    <xf numFmtId="4" fontId="8" fillId="5" borderId="2" xfId="0" applyNumberFormat="1" applyFont="1" applyFill="1" applyBorder="1" applyAlignment="1">
      <alignment horizontal="right" wrapText="1"/>
    </xf>
    <xf numFmtId="4" fontId="0" fillId="0" borderId="0" xfId="0" applyNumberFormat="1" applyFill="1" applyAlignment="1">
      <alignment horizontal="right" wrapText="1"/>
    </xf>
    <xf numFmtId="4" fontId="7" fillId="0" borderId="0" xfId="0" applyNumberFormat="1" applyFont="1" applyFill="1" applyAlignment="1">
      <alignment horizontal="right"/>
    </xf>
    <xf numFmtId="0" fontId="8" fillId="0" borderId="13" xfId="0" applyFont="1" applyFill="1" applyBorder="1"/>
    <xf numFmtId="0" fontId="20" fillId="0" borderId="0" xfId="0" applyFont="1" applyFill="1" applyBorder="1" applyAlignment="1">
      <alignment horizontal="right" wrapText="1"/>
    </xf>
    <xf numFmtId="4" fontId="19" fillId="0" borderId="0" xfId="0" applyNumberFormat="1" applyFont="1" applyFill="1" applyBorder="1"/>
    <xf numFmtId="4" fontId="0" fillId="0" borderId="0" xfId="0" applyNumberFormat="1" applyFont="1" applyFill="1" applyBorder="1"/>
    <xf numFmtId="0" fontId="20" fillId="0" borderId="0" xfId="0" applyFont="1" applyFill="1" applyBorder="1" applyAlignment="1">
      <alignment horizontal="right"/>
    </xf>
    <xf numFmtId="4" fontId="19" fillId="0" borderId="0" xfId="0" applyNumberFormat="1" applyFont="1" applyFill="1" applyBorder="1" applyAlignment="1">
      <alignment horizontal="right"/>
    </xf>
    <xf numFmtId="4" fontId="19" fillId="0" borderId="14" xfId="0" applyNumberFormat="1" applyFont="1" applyFill="1" applyBorder="1"/>
    <xf numFmtId="4" fontId="20" fillId="0" borderId="0" xfId="0" applyNumberFormat="1" applyFont="1" applyBorder="1"/>
    <xf numFmtId="4" fontId="20" fillId="0" borderId="14" xfId="0" applyNumberFormat="1" applyFont="1" applyBorder="1"/>
    <xf numFmtId="3" fontId="0" fillId="0" borderId="12" xfId="0" applyNumberFormat="1" applyFont="1" applyFill="1" applyBorder="1" applyAlignment="1">
      <alignment horizontal="center"/>
    </xf>
    <xf numFmtId="0" fontId="19" fillId="0" borderId="0" xfId="0" applyFont="1" applyFill="1" applyBorder="1" applyAlignment="1">
      <alignment horizontal="right" wrapText="1"/>
    </xf>
    <xf numFmtId="4" fontId="0" fillId="0" borderId="0" xfId="0" applyNumberFormat="1" applyFont="1" applyFill="1" applyBorder="1" applyAlignment="1">
      <alignment horizontal="right"/>
    </xf>
    <xf numFmtId="4" fontId="19" fillId="0" borderId="0" xfId="0" applyNumberFormat="1" applyFont="1" applyBorder="1"/>
    <xf numFmtId="2" fontId="8" fillId="5" borderId="2" xfId="0" applyNumberFormat="1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right" wrapText="1"/>
    </xf>
    <xf numFmtId="0" fontId="3" fillId="0" borderId="3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wrapText="1"/>
    </xf>
    <xf numFmtId="0" fontId="10" fillId="0" borderId="0" xfId="0" applyFont="1" applyFill="1" applyBorder="1"/>
    <xf numFmtId="4" fontId="10" fillId="0" borderId="0" xfId="0" applyNumberFormat="1" applyFont="1" applyFill="1" applyBorder="1"/>
    <xf numFmtId="4" fontId="0" fillId="0" borderId="0" xfId="0" applyNumberFormat="1" applyFill="1" applyBorder="1"/>
    <xf numFmtId="0" fontId="12" fillId="0" borderId="0" xfId="0" applyFont="1" applyFill="1" applyBorder="1"/>
    <xf numFmtId="4" fontId="8" fillId="0" borderId="0" xfId="0" applyNumberFormat="1" applyFont="1" applyFill="1" applyBorder="1" applyAlignment="1">
      <alignment wrapText="1"/>
    </xf>
    <xf numFmtId="4" fontId="8" fillId="0" borderId="0" xfId="0" applyNumberFormat="1" applyFont="1" applyFill="1" applyBorder="1"/>
    <xf numFmtId="0" fontId="0" fillId="0" borderId="0" xfId="0" applyFill="1" applyBorder="1"/>
    <xf numFmtId="0" fontId="12" fillId="0" borderId="0" xfId="0" applyFont="1" applyBorder="1" applyAlignment="1">
      <alignment wrapText="1"/>
    </xf>
    <xf numFmtId="2" fontId="8" fillId="0" borderId="0" xfId="0" applyNumberFormat="1" applyFont="1" applyBorder="1"/>
    <xf numFmtId="9" fontId="12" fillId="0" borderId="0" xfId="0" applyNumberFormat="1" applyFont="1" applyBorder="1"/>
    <xf numFmtId="4" fontId="12" fillId="0" borderId="0" xfId="0" applyNumberFormat="1" applyFont="1" applyBorder="1"/>
    <xf numFmtId="0" fontId="5" fillId="0" borderId="0" xfId="0" applyFont="1" applyFill="1" applyAlignment="1">
      <alignment horizontal="right" wrapText="1"/>
    </xf>
    <xf numFmtId="0" fontId="0" fillId="0" borderId="0" xfId="0" applyFont="1" applyFill="1" applyBorder="1"/>
    <xf numFmtId="0" fontId="0" fillId="0" borderId="0" xfId="0" applyBorder="1"/>
    <xf numFmtId="2" fontId="0" fillId="0" borderId="0" xfId="0" applyNumberFormat="1" applyFill="1"/>
    <xf numFmtId="0" fontId="12" fillId="4" borderId="0" xfId="0" applyFont="1" applyFill="1" applyAlignment="1">
      <alignment horizontal="right"/>
    </xf>
    <xf numFmtId="0" fontId="12" fillId="0" borderId="0" xfId="0" applyFont="1" applyFill="1" applyAlignment="1">
      <alignment horizontal="right"/>
    </xf>
    <xf numFmtId="2" fontId="12" fillId="0" borderId="0" xfId="0" applyNumberFormat="1" applyFont="1" applyFill="1"/>
    <xf numFmtId="0" fontId="0" fillId="0" borderId="0" xfId="0" applyFill="1" applyAlignment="1">
      <alignment wrapText="1"/>
    </xf>
    <xf numFmtId="4" fontId="3" fillId="5" borderId="2" xfId="0" applyNumberFormat="1" applyFont="1" applyFill="1" applyBorder="1" applyAlignment="1">
      <alignment horizontal="right" wrapText="1"/>
    </xf>
    <xf numFmtId="14" fontId="0" fillId="0" borderId="12" xfId="0" applyNumberFormat="1" applyFont="1" applyFill="1" applyBorder="1" applyAlignment="1">
      <alignment horizontal="center" wrapText="1"/>
    </xf>
    <xf numFmtId="2" fontId="5" fillId="0" borderId="0" xfId="0" applyNumberFormat="1" applyFont="1" applyFill="1"/>
    <xf numFmtId="0" fontId="12" fillId="0" borderId="0" xfId="0" applyFont="1" applyAlignment="1">
      <alignment wrapText="1"/>
    </xf>
    <xf numFmtId="0" fontId="0" fillId="0" borderId="0" xfId="0" applyFill="1" applyAlignment="1">
      <alignment horizontal="right"/>
    </xf>
    <xf numFmtId="4" fontId="5" fillId="0" borderId="0" xfId="0" applyNumberFormat="1" applyFont="1" applyBorder="1" applyAlignment="1">
      <alignment horizontal="right" vertical="center" wrapText="1"/>
    </xf>
    <xf numFmtId="4" fontId="21" fillId="0" borderId="0" xfId="0" applyNumberFormat="1" applyFont="1" applyBorder="1" applyAlignment="1">
      <alignment horizontal="right" wrapText="1"/>
    </xf>
    <xf numFmtId="0" fontId="5" fillId="0" borderId="0" xfId="0" applyFont="1" applyFill="1" applyAlignment="1">
      <alignment horizontal="left"/>
    </xf>
    <xf numFmtId="4" fontId="7" fillId="0" borderId="0" xfId="0" applyNumberFormat="1" applyFont="1" applyFill="1" applyAlignment="1">
      <alignment horizontal="right"/>
    </xf>
    <xf numFmtId="0" fontId="9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0" xfId="0" applyFill="1" applyBorder="1" applyAlignment="1">
      <alignment horizontal="right"/>
    </xf>
    <xf numFmtId="0" fontId="3" fillId="0" borderId="0" xfId="0" applyNumberFormat="1" applyFont="1" applyFill="1" applyAlignment="1">
      <alignment vertical="top" wrapText="1"/>
    </xf>
    <xf numFmtId="0" fontId="1" fillId="0" borderId="0" xfId="0" applyNumberFormat="1" applyFont="1" applyFill="1" applyAlignment="1">
      <alignment horizontal="left" wrapText="1"/>
    </xf>
    <xf numFmtId="0" fontId="2" fillId="0" borderId="0" xfId="0" applyNumberFormat="1" applyFont="1" applyFill="1" applyAlignment="1">
      <alignment horizontal="left" wrapText="1"/>
    </xf>
    <xf numFmtId="14" fontId="0" fillId="0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 applyAlignment="1">
      <alignment horizontal="center"/>
    </xf>
    <xf numFmtId="4" fontId="3" fillId="5" borderId="0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3F2F"/>
      <rgbColor rgb="00993366"/>
      <rgbColor rgb="00A0A0A0"/>
      <rgbColor rgb="00CCFFFF"/>
      <rgbColor rgb="00D6E5CB"/>
      <rgbColor rgb="00ACC8BD"/>
      <rgbColor rgb="00E4F0DD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P143"/>
  <sheetViews>
    <sheetView tabSelected="1" topLeftCell="A95" zoomScaleNormal="100" workbookViewId="0">
      <selection activeCell="E109" sqref="E109"/>
    </sheetView>
  </sheetViews>
  <sheetFormatPr defaultColWidth="10.6640625" defaultRowHeight="11.25" outlineLevelRow="3" x14ac:dyDescent="0.2"/>
  <cols>
    <col min="1" max="1" width="3.1640625" customWidth="1"/>
    <col min="2" max="2" width="27.1640625" customWidth="1"/>
    <col min="3" max="3" width="19.33203125" customWidth="1"/>
    <col min="4" max="5" width="17.83203125" customWidth="1"/>
    <col min="6" max="6" width="20.1640625" customWidth="1"/>
    <col min="7" max="7" width="16.83203125" customWidth="1"/>
    <col min="8" max="8" width="18.83203125" customWidth="1"/>
    <col min="9" max="9" width="21.6640625" customWidth="1"/>
    <col min="10" max="10" width="21.83203125" customWidth="1"/>
    <col min="11" max="11" width="19.1640625" customWidth="1"/>
    <col min="12" max="12" width="12.6640625" bestFit="1" customWidth="1"/>
    <col min="13" max="13" width="16" customWidth="1"/>
    <col min="15" max="15" width="17.6640625" customWidth="1"/>
  </cols>
  <sheetData>
    <row r="1" spans="1:11" ht="12.75" customHeight="1" x14ac:dyDescent="0.2">
      <c r="A1" s="147" t="s">
        <v>27</v>
      </c>
      <c r="B1" s="147"/>
      <c r="C1" s="147"/>
      <c r="D1" s="147"/>
      <c r="E1" s="147"/>
      <c r="F1" s="1"/>
      <c r="G1" s="1"/>
      <c r="H1" s="1"/>
      <c r="I1" s="1"/>
    </row>
    <row r="2" spans="1:11" ht="15.75" customHeight="1" x14ac:dyDescent="0.25">
      <c r="A2" s="148" t="s">
        <v>106</v>
      </c>
      <c r="B2" s="148"/>
      <c r="C2" s="148"/>
      <c r="D2" s="148"/>
      <c r="E2" s="148"/>
      <c r="F2" s="148"/>
      <c r="G2" s="1"/>
      <c r="H2" s="1"/>
      <c r="I2" s="1"/>
    </row>
    <row r="3" spans="1:11" ht="2.1" customHeight="1" x14ac:dyDescent="0.2">
      <c r="A3" s="1"/>
      <c r="B3" s="1"/>
      <c r="C3" s="1"/>
      <c r="D3" s="1"/>
      <c r="E3" s="1"/>
      <c r="F3" s="1"/>
      <c r="G3" s="1"/>
      <c r="H3" s="1"/>
      <c r="I3" s="1"/>
    </row>
    <row r="4" spans="1:11" ht="11.25" customHeight="1" x14ac:dyDescent="0.2">
      <c r="A4" s="146" t="s">
        <v>0</v>
      </c>
      <c r="B4" s="146"/>
      <c r="C4" s="146"/>
      <c r="D4" s="146"/>
      <c r="E4" s="146"/>
      <c r="F4" s="1"/>
      <c r="G4" s="1"/>
      <c r="H4" s="1"/>
      <c r="I4" s="1"/>
    </row>
    <row r="5" spans="1:11" ht="2.1" customHeight="1" x14ac:dyDescent="0.2">
      <c r="A5" s="1"/>
      <c r="B5" s="1"/>
      <c r="C5" s="1"/>
      <c r="D5" s="1"/>
      <c r="E5" s="1"/>
      <c r="F5" s="1"/>
      <c r="G5" s="1"/>
      <c r="H5" s="1"/>
      <c r="I5" s="1"/>
    </row>
    <row r="6" spans="1:11" ht="12.75" customHeight="1" x14ac:dyDescent="0.2">
      <c r="A6" s="18"/>
      <c r="B6" s="19" t="s">
        <v>1</v>
      </c>
      <c r="C6" s="19" t="s">
        <v>2</v>
      </c>
      <c r="D6" s="19" t="s">
        <v>3</v>
      </c>
      <c r="E6" s="1"/>
      <c r="F6" s="1"/>
      <c r="G6" s="1"/>
      <c r="H6" s="1"/>
      <c r="I6" s="1"/>
    </row>
    <row r="7" spans="1:11" ht="12.75" customHeight="1" x14ac:dyDescent="0.2">
      <c r="A7" s="20"/>
      <c r="B7" s="21" t="s">
        <v>4</v>
      </c>
      <c r="C7" s="76">
        <v>4521163.07</v>
      </c>
      <c r="D7" s="77"/>
      <c r="E7" s="73"/>
      <c r="F7" s="73"/>
      <c r="G7" s="1"/>
      <c r="H7" s="1"/>
      <c r="I7" s="1"/>
    </row>
    <row r="8" spans="1:11" ht="12.75" customHeight="1" x14ac:dyDescent="0.2">
      <c r="A8" s="71"/>
      <c r="B8" s="6" t="s">
        <v>74</v>
      </c>
      <c r="C8" s="85">
        <v>468122496</v>
      </c>
      <c r="D8" s="85">
        <v>434550496</v>
      </c>
      <c r="E8" s="73" t="s">
        <v>93</v>
      </c>
      <c r="F8" s="73"/>
      <c r="G8" s="1"/>
      <c r="H8" s="1"/>
      <c r="I8" s="1"/>
    </row>
    <row r="9" spans="1:11" s="1" customFormat="1" ht="12" customHeight="1" outlineLevel="1" x14ac:dyDescent="0.2">
      <c r="A9" s="15"/>
      <c r="B9" s="6" t="s">
        <v>75</v>
      </c>
      <c r="C9" s="85">
        <v>28975000</v>
      </c>
      <c r="D9" s="78"/>
      <c r="E9" s="73" t="s">
        <v>79</v>
      </c>
    </row>
    <row r="10" spans="1:11" s="1" customFormat="1" ht="12" customHeight="1" outlineLevel="1" x14ac:dyDescent="0.2">
      <c r="A10" s="15"/>
      <c r="B10" s="6" t="s">
        <v>76</v>
      </c>
      <c r="C10" s="85">
        <f>SUM(C11:C15)</f>
        <v>49167846.890000001</v>
      </c>
      <c r="D10" s="78"/>
      <c r="E10" s="73" t="s">
        <v>28</v>
      </c>
      <c r="K10" s="16"/>
    </row>
    <row r="11" spans="1:11" s="1" customFormat="1" ht="12" customHeight="1" outlineLevel="1" x14ac:dyDescent="0.2">
      <c r="A11" s="15"/>
      <c r="B11" s="4" t="s">
        <v>29</v>
      </c>
      <c r="C11" s="74">
        <v>2720000</v>
      </c>
      <c r="D11" s="74"/>
      <c r="E11" s="73"/>
    </row>
    <row r="12" spans="1:11" s="1" customFormat="1" ht="12" customHeight="1" outlineLevel="1" x14ac:dyDescent="0.2">
      <c r="A12" s="15"/>
      <c r="B12" s="4" t="s">
        <v>30</v>
      </c>
      <c r="C12" s="74">
        <v>8309000</v>
      </c>
      <c r="D12" s="74"/>
      <c r="E12" s="73"/>
    </row>
    <row r="13" spans="1:11" s="1" customFormat="1" ht="12" customHeight="1" outlineLevel="1" x14ac:dyDescent="0.2">
      <c r="A13" s="15"/>
      <c r="B13" s="4" t="s">
        <v>38</v>
      </c>
      <c r="C13" s="74">
        <v>35469850</v>
      </c>
      <c r="D13" s="74"/>
      <c r="E13" s="73"/>
    </row>
    <row r="14" spans="1:11" s="1" customFormat="1" ht="12" customHeight="1" outlineLevel="1" x14ac:dyDescent="0.2">
      <c r="A14" s="15"/>
      <c r="B14" s="4" t="s">
        <v>39</v>
      </c>
      <c r="C14" s="74">
        <v>497766.89</v>
      </c>
      <c r="D14" s="78"/>
      <c r="E14" s="73"/>
    </row>
    <row r="15" spans="1:11" s="1" customFormat="1" ht="12" customHeight="1" outlineLevel="1" x14ac:dyDescent="0.2">
      <c r="A15" s="15"/>
      <c r="B15" s="4" t="s">
        <v>65</v>
      </c>
      <c r="C15" s="74">
        <v>2171230</v>
      </c>
      <c r="D15" s="78"/>
      <c r="E15" s="73"/>
    </row>
    <row r="16" spans="1:11" s="1" customFormat="1" ht="12" customHeight="1" outlineLevel="1" x14ac:dyDescent="0.2">
      <c r="A16" s="15"/>
      <c r="B16" s="3" t="s">
        <v>5</v>
      </c>
      <c r="C16" s="74"/>
      <c r="D16" s="74">
        <f>52751064.96</f>
        <v>52751064.960000001</v>
      </c>
      <c r="E16" s="73" t="s">
        <v>15</v>
      </c>
      <c r="I16" s="16"/>
      <c r="K16" s="16"/>
    </row>
    <row r="17" spans="1:11" s="1" customFormat="1" ht="14.25" customHeight="1" outlineLevel="2" x14ac:dyDescent="0.2">
      <c r="A17" s="15"/>
      <c r="B17" s="4" t="s">
        <v>11</v>
      </c>
      <c r="C17" s="74"/>
      <c r="D17" s="74">
        <f>D16-D22-D23-D28-D27</f>
        <v>21458463.399999999</v>
      </c>
      <c r="E17" s="79"/>
      <c r="F17" s="24"/>
      <c r="K17" s="16"/>
    </row>
    <row r="18" spans="1:11" s="1" customFormat="1" ht="12" hidden="1" customHeight="1" outlineLevel="2" x14ac:dyDescent="0.2">
      <c r="A18" s="15"/>
      <c r="B18" s="4" t="s">
        <v>22</v>
      </c>
      <c r="C18" s="74"/>
      <c r="D18" s="74"/>
      <c r="E18" s="79"/>
    </row>
    <row r="19" spans="1:11" s="1" customFormat="1" ht="12" hidden="1" customHeight="1" outlineLevel="2" x14ac:dyDescent="0.2">
      <c r="A19" s="15"/>
      <c r="B19" s="4" t="s">
        <v>12</v>
      </c>
      <c r="C19" s="74"/>
      <c r="D19" s="74"/>
      <c r="E19" s="79"/>
    </row>
    <row r="20" spans="1:11" s="1" customFormat="1" ht="12" hidden="1" customHeight="1" outlineLevel="2" x14ac:dyDescent="0.2">
      <c r="A20" s="15"/>
      <c r="B20" s="5" t="s">
        <v>13</v>
      </c>
      <c r="C20" s="78"/>
      <c r="D20" s="74"/>
      <c r="E20" s="73"/>
    </row>
    <row r="21" spans="1:11" s="1" customFormat="1" ht="21" customHeight="1" outlineLevel="2" x14ac:dyDescent="0.2">
      <c r="A21" s="15"/>
      <c r="B21" s="5" t="s">
        <v>108</v>
      </c>
      <c r="C21" s="78"/>
      <c r="D21" s="86">
        <v>10000000</v>
      </c>
      <c r="E21" s="73" t="s">
        <v>109</v>
      </c>
    </row>
    <row r="22" spans="1:11" s="1" customFormat="1" ht="12" customHeight="1" outlineLevel="2" x14ac:dyDescent="0.2">
      <c r="A22" s="15"/>
      <c r="B22" s="5" t="s">
        <v>14</v>
      </c>
      <c r="C22" s="82"/>
      <c r="D22" s="138">
        <v>164992.56</v>
      </c>
      <c r="E22" s="73" t="s">
        <v>95</v>
      </c>
    </row>
    <row r="23" spans="1:11" s="1" customFormat="1" ht="11.25" customHeight="1" outlineLevel="2" x14ac:dyDescent="0.2">
      <c r="A23" s="15"/>
      <c r="B23" s="5" t="s">
        <v>14</v>
      </c>
      <c r="C23" s="82"/>
      <c r="D23" s="139">
        <v>2808750</v>
      </c>
      <c r="E23" s="73" t="s">
        <v>97</v>
      </c>
    </row>
    <row r="24" spans="1:11" s="1" customFormat="1" ht="15" customHeight="1" outlineLevel="2" x14ac:dyDescent="0.2">
      <c r="A24" s="15"/>
      <c r="B24" s="4" t="s">
        <v>62</v>
      </c>
      <c r="C24" s="78"/>
      <c r="D24" s="81"/>
      <c r="E24" s="73" t="s">
        <v>100</v>
      </c>
      <c r="G24" s="137"/>
    </row>
    <row r="25" spans="1:11" s="1" customFormat="1" ht="12" customHeight="1" outlineLevel="2" x14ac:dyDescent="0.2">
      <c r="A25" s="15"/>
      <c r="B25" s="4" t="s">
        <v>99</v>
      </c>
      <c r="C25" s="78"/>
      <c r="D25" s="74"/>
      <c r="E25" s="73" t="s">
        <v>30</v>
      </c>
    </row>
    <row r="26" spans="1:11" s="1" customFormat="1" ht="12" customHeight="1" outlineLevel="2" x14ac:dyDescent="0.2">
      <c r="A26" s="15"/>
      <c r="B26" s="4" t="s">
        <v>59</v>
      </c>
      <c r="C26" s="78"/>
      <c r="D26" s="74"/>
      <c r="E26" s="73" t="s">
        <v>29</v>
      </c>
    </row>
    <row r="27" spans="1:11" s="1" customFormat="1" ht="12" customHeight="1" outlineLevel="2" x14ac:dyDescent="0.2">
      <c r="A27" s="15"/>
      <c r="B27" s="4" t="s">
        <v>59</v>
      </c>
      <c r="C27" s="78"/>
      <c r="D27" s="78"/>
      <c r="E27" s="73" t="s">
        <v>38</v>
      </c>
    </row>
    <row r="28" spans="1:11" s="1" customFormat="1" ht="12" customHeight="1" outlineLevel="2" x14ac:dyDescent="0.2">
      <c r="A28" s="15"/>
      <c r="B28" s="4" t="s">
        <v>61</v>
      </c>
      <c r="C28" s="78"/>
      <c r="D28" s="74">
        <v>28318859</v>
      </c>
      <c r="E28" s="73"/>
    </row>
    <row r="29" spans="1:11" s="1" customFormat="1" ht="12" customHeight="1" outlineLevel="2" x14ac:dyDescent="0.2">
      <c r="A29" s="15"/>
      <c r="B29" s="6">
        <v>62</v>
      </c>
      <c r="C29" s="85">
        <f>SUM(C30:C37)</f>
        <v>3980000</v>
      </c>
      <c r="D29" s="85">
        <f>SUM(D30:D35)</f>
        <v>495000</v>
      </c>
      <c r="E29" s="73"/>
    </row>
    <row r="30" spans="1:11" s="1" customFormat="1" ht="12" customHeight="1" outlineLevel="2" x14ac:dyDescent="0.2">
      <c r="A30" s="15"/>
      <c r="B30" s="5" t="s">
        <v>38</v>
      </c>
      <c r="C30" s="74"/>
      <c r="D30" s="74">
        <v>0</v>
      </c>
      <c r="E30" s="73" t="s">
        <v>41</v>
      </c>
    </row>
    <row r="31" spans="1:11" s="1" customFormat="1" ht="12" customHeight="1" outlineLevel="2" x14ac:dyDescent="0.2">
      <c r="A31" s="15"/>
      <c r="B31" s="5" t="s">
        <v>29</v>
      </c>
      <c r="C31" s="74"/>
      <c r="D31" s="74"/>
      <c r="E31" s="73" t="s">
        <v>60</v>
      </c>
      <c r="K31" s="16"/>
    </row>
    <row r="32" spans="1:11" s="1" customFormat="1" ht="12" customHeight="1" outlineLevel="2" x14ac:dyDescent="0.2">
      <c r="A32" s="15"/>
      <c r="B32" s="5" t="s">
        <v>30</v>
      </c>
      <c r="C32" s="74">
        <v>2530000</v>
      </c>
      <c r="D32" s="74">
        <v>305000</v>
      </c>
      <c r="E32" s="73" t="s">
        <v>89</v>
      </c>
      <c r="K32" s="16"/>
    </row>
    <row r="33" spans="1:15" s="1" customFormat="1" ht="12" customHeight="1" outlineLevel="2" x14ac:dyDescent="0.2">
      <c r="A33" s="15"/>
      <c r="B33" s="5" t="s">
        <v>39</v>
      </c>
      <c r="C33" s="74"/>
      <c r="D33" s="74">
        <v>90000</v>
      </c>
      <c r="E33" s="73"/>
      <c r="K33" s="16"/>
    </row>
    <row r="34" spans="1:15" s="1" customFormat="1" ht="12" customHeight="1" outlineLevel="2" x14ac:dyDescent="0.2">
      <c r="A34" s="15"/>
      <c r="B34" s="5" t="s">
        <v>38</v>
      </c>
      <c r="C34" s="74">
        <v>1400000</v>
      </c>
      <c r="D34" s="74"/>
      <c r="E34" s="73" t="s">
        <v>60</v>
      </c>
      <c r="K34" s="16"/>
    </row>
    <row r="35" spans="1:15" s="1" customFormat="1" ht="12" customHeight="1" outlineLevel="2" x14ac:dyDescent="0.2">
      <c r="A35" s="15"/>
      <c r="B35" s="112" t="s">
        <v>110</v>
      </c>
      <c r="C35" s="74">
        <v>50000</v>
      </c>
      <c r="D35" s="74">
        <v>100000</v>
      </c>
      <c r="E35" s="73"/>
      <c r="K35" s="16"/>
    </row>
    <row r="36" spans="1:15" s="1" customFormat="1" ht="12" customHeight="1" outlineLevel="2" x14ac:dyDescent="0.2">
      <c r="A36" s="15"/>
      <c r="B36" s="4" t="s">
        <v>77</v>
      </c>
      <c r="C36" s="74"/>
      <c r="D36" s="74"/>
      <c r="E36" s="73"/>
      <c r="K36" s="16"/>
    </row>
    <row r="37" spans="1:15" s="1" customFormat="1" ht="12" customHeight="1" outlineLevel="2" x14ac:dyDescent="0.2">
      <c r="A37" s="15"/>
      <c r="B37" s="4" t="s">
        <v>39</v>
      </c>
      <c r="C37" s="74"/>
      <c r="D37" s="74"/>
      <c r="E37" s="73" t="s">
        <v>91</v>
      </c>
      <c r="K37" s="16"/>
    </row>
    <row r="38" spans="1:15" s="1" customFormat="1" ht="12" customHeight="1" outlineLevel="2" x14ac:dyDescent="0.2">
      <c r="A38" s="15"/>
      <c r="B38" s="75" t="s">
        <v>111</v>
      </c>
      <c r="C38" s="85">
        <v>10000000</v>
      </c>
      <c r="D38" s="74"/>
      <c r="E38" s="73"/>
      <c r="K38" s="16"/>
    </row>
    <row r="39" spans="1:15" s="1" customFormat="1" ht="12" customHeight="1" outlineLevel="2" x14ac:dyDescent="0.2">
      <c r="A39" s="15"/>
      <c r="B39" s="4" t="s">
        <v>81</v>
      </c>
      <c r="C39" s="74"/>
      <c r="D39" s="85">
        <v>0</v>
      </c>
      <c r="E39" s="73" t="s">
        <v>24</v>
      </c>
      <c r="K39" s="16"/>
    </row>
    <row r="40" spans="1:15" s="1" customFormat="1" ht="26.25" customHeight="1" outlineLevel="2" x14ac:dyDescent="0.2">
      <c r="A40" s="15"/>
      <c r="B40" s="6" t="s">
        <v>82</v>
      </c>
      <c r="C40" s="74">
        <f>C41</f>
        <v>0</v>
      </c>
      <c r="D40" s="94">
        <f>D41+D42</f>
        <v>0</v>
      </c>
      <c r="E40" s="73" t="s">
        <v>80</v>
      </c>
      <c r="K40" s="16"/>
    </row>
    <row r="41" spans="1:15" s="1" customFormat="1" ht="12" customHeight="1" outlineLevel="2" x14ac:dyDescent="0.2">
      <c r="A41" s="15"/>
      <c r="B41" s="5" t="s">
        <v>29</v>
      </c>
      <c r="C41" s="74"/>
      <c r="D41" s="74"/>
      <c r="E41" s="73" t="s">
        <v>80</v>
      </c>
      <c r="K41" s="16"/>
    </row>
    <row r="42" spans="1:15" s="1" customFormat="1" ht="12" customHeight="1" outlineLevel="2" x14ac:dyDescent="0.2">
      <c r="A42" s="15"/>
      <c r="B42" s="5" t="s">
        <v>30</v>
      </c>
      <c r="C42" s="74"/>
      <c r="D42" s="74"/>
      <c r="E42" s="73" t="s">
        <v>80</v>
      </c>
      <c r="K42" s="16"/>
    </row>
    <row r="43" spans="1:15" s="1" customFormat="1" ht="12" customHeight="1" outlineLevel="2" x14ac:dyDescent="0.2">
      <c r="A43" s="15"/>
      <c r="B43" s="3" t="s">
        <v>83</v>
      </c>
      <c r="C43" s="74"/>
      <c r="D43" s="74"/>
      <c r="E43" s="73"/>
      <c r="K43" s="16"/>
    </row>
    <row r="44" spans="1:15" s="1" customFormat="1" ht="23.25" customHeight="1" outlineLevel="2" x14ac:dyDescent="0.2">
      <c r="A44" s="15"/>
      <c r="B44" s="3" t="s">
        <v>84</v>
      </c>
      <c r="C44" s="80"/>
      <c r="D44" s="74"/>
      <c r="E44" s="73"/>
      <c r="K44" s="16"/>
      <c r="L44" s="16"/>
      <c r="M44" s="16"/>
      <c r="O44" s="16"/>
    </row>
    <row r="45" spans="1:15" s="1" customFormat="1" ht="12" customHeight="1" outlineLevel="2" x14ac:dyDescent="0.2">
      <c r="A45" s="15"/>
      <c r="B45" s="5" t="s">
        <v>11</v>
      </c>
      <c r="C45" s="81"/>
      <c r="D45" s="74"/>
      <c r="E45" s="73"/>
      <c r="K45" s="16"/>
      <c r="L45" s="16"/>
      <c r="M45" s="16"/>
    </row>
    <row r="46" spans="1:15" s="1" customFormat="1" ht="10.5" customHeight="1" outlineLevel="2" x14ac:dyDescent="0.2">
      <c r="A46" s="15"/>
      <c r="B46" s="4" t="s">
        <v>12</v>
      </c>
      <c r="C46" s="74"/>
      <c r="D46" s="74"/>
      <c r="E46" s="73"/>
      <c r="K46" s="16"/>
      <c r="L46" s="16"/>
      <c r="M46" s="16"/>
    </row>
    <row r="47" spans="1:15" s="1" customFormat="1" ht="10.5" customHeight="1" outlineLevel="1" x14ac:dyDescent="0.2">
      <c r="A47" s="15"/>
      <c r="B47" s="3" t="s">
        <v>58</v>
      </c>
      <c r="C47" s="78"/>
      <c r="D47" s="74">
        <v>6071233.2000000002</v>
      </c>
      <c r="E47" s="73" t="s">
        <v>102</v>
      </c>
      <c r="K47" s="16"/>
    </row>
    <row r="48" spans="1:15" s="1" customFormat="1" ht="12" hidden="1" customHeight="1" outlineLevel="1" x14ac:dyDescent="0.2">
      <c r="A48" s="15"/>
      <c r="B48" s="4" t="s">
        <v>11</v>
      </c>
      <c r="C48" s="78"/>
      <c r="D48" s="74"/>
      <c r="E48" s="73"/>
    </row>
    <row r="49" spans="1:5" s="1" customFormat="1" ht="2.25" hidden="1" customHeight="1" outlineLevel="1" x14ac:dyDescent="0.2">
      <c r="A49" s="15"/>
      <c r="B49" s="4" t="s">
        <v>12</v>
      </c>
      <c r="C49" s="78"/>
      <c r="D49" s="74"/>
      <c r="E49" s="73"/>
    </row>
    <row r="50" spans="1:5" s="1" customFormat="1" ht="1.1499999999999999" hidden="1" customHeight="1" outlineLevel="2" x14ac:dyDescent="0.2">
      <c r="A50" s="15"/>
      <c r="B50" s="5" t="s">
        <v>13</v>
      </c>
      <c r="C50" s="78"/>
      <c r="D50" s="74"/>
      <c r="E50" s="73"/>
    </row>
    <row r="51" spans="1:5" s="1" customFormat="1" ht="12" customHeight="1" outlineLevel="1" collapsed="1" x14ac:dyDescent="0.2">
      <c r="A51" s="15"/>
      <c r="B51" s="3" t="s">
        <v>6</v>
      </c>
      <c r="C51" s="78"/>
      <c r="D51" s="74">
        <v>28477.93</v>
      </c>
      <c r="E51" s="73" t="s">
        <v>26</v>
      </c>
    </row>
    <row r="52" spans="1:5" s="1" customFormat="1" ht="20.25" hidden="1" customHeight="1" outlineLevel="2" x14ac:dyDescent="0.2">
      <c r="A52" s="15"/>
      <c r="B52" s="4" t="s">
        <v>11</v>
      </c>
      <c r="C52" s="78"/>
      <c r="D52" s="74"/>
      <c r="E52" s="73"/>
    </row>
    <row r="53" spans="1:5" s="1" customFormat="1" ht="20.25" hidden="1" customHeight="1" outlineLevel="2" x14ac:dyDescent="0.2">
      <c r="A53" s="15"/>
      <c r="B53" s="4" t="s">
        <v>12</v>
      </c>
      <c r="C53" s="78"/>
      <c r="D53" s="74"/>
      <c r="E53" s="73"/>
    </row>
    <row r="54" spans="1:5" s="1" customFormat="1" ht="20.25" hidden="1" customHeight="1" outlineLevel="3" x14ac:dyDescent="0.2">
      <c r="A54" s="15"/>
      <c r="B54" s="5" t="s">
        <v>13</v>
      </c>
      <c r="C54" s="78"/>
      <c r="D54" s="74"/>
      <c r="E54" s="73"/>
    </row>
    <row r="55" spans="1:5" s="1" customFormat="1" ht="12" customHeight="1" outlineLevel="1" x14ac:dyDescent="0.2">
      <c r="A55" s="15"/>
      <c r="B55" s="3" t="s">
        <v>7</v>
      </c>
      <c r="C55" s="78"/>
      <c r="D55" s="74">
        <v>12824189.199999999</v>
      </c>
      <c r="E55" s="73" t="s">
        <v>20</v>
      </c>
    </row>
    <row r="56" spans="1:5" s="1" customFormat="1" ht="12" hidden="1" customHeight="1" outlineLevel="1" x14ac:dyDescent="0.2">
      <c r="A56" s="15"/>
      <c r="B56" s="6">
        <v>75</v>
      </c>
      <c r="C56" s="78"/>
      <c r="D56" s="74"/>
      <c r="E56" s="73" t="s">
        <v>25</v>
      </c>
    </row>
    <row r="57" spans="1:5" s="1" customFormat="1" ht="12" customHeight="1" outlineLevel="1" x14ac:dyDescent="0.2">
      <c r="A57" s="15"/>
      <c r="B57" s="6" t="s">
        <v>87</v>
      </c>
      <c r="C57" s="78"/>
      <c r="D57" s="74">
        <v>55440.88</v>
      </c>
      <c r="E57" s="73" t="s">
        <v>57</v>
      </c>
    </row>
    <row r="58" spans="1:5" s="1" customFormat="1" ht="12" customHeight="1" outlineLevel="1" x14ac:dyDescent="0.2">
      <c r="A58" s="15"/>
      <c r="B58" s="6" t="s">
        <v>78</v>
      </c>
      <c r="C58" s="78">
        <v>472991.6</v>
      </c>
      <c r="D58" s="74"/>
      <c r="E58" s="73"/>
    </row>
    <row r="59" spans="1:5" s="1" customFormat="1" ht="12" customHeight="1" outlineLevel="1" x14ac:dyDescent="0.2">
      <c r="A59" s="15"/>
      <c r="B59" s="6" t="s">
        <v>107</v>
      </c>
      <c r="C59" s="110"/>
      <c r="D59" s="74">
        <v>14383.56</v>
      </c>
      <c r="E59" s="73"/>
    </row>
    <row r="60" spans="1:5" s="1" customFormat="1" ht="12" customHeight="1" outlineLevel="1" x14ac:dyDescent="0.2">
      <c r="A60" s="15"/>
      <c r="B60" s="3" t="s">
        <v>8</v>
      </c>
      <c r="C60" s="78"/>
      <c r="D60" s="86">
        <f>SUM(D61:D66)</f>
        <v>403320.07</v>
      </c>
      <c r="E60" s="73" t="s">
        <v>16</v>
      </c>
    </row>
    <row r="61" spans="1:5" s="1" customFormat="1" ht="12" customHeight="1" outlineLevel="1" x14ac:dyDescent="0.2">
      <c r="A61" s="15"/>
      <c r="B61" s="4" t="s">
        <v>29</v>
      </c>
      <c r="C61" s="82"/>
      <c r="D61" s="83">
        <v>15137.58</v>
      </c>
      <c r="E61" s="73" t="s">
        <v>88</v>
      </c>
    </row>
    <row r="62" spans="1:5" s="1" customFormat="1" ht="12" customHeight="1" outlineLevel="1" x14ac:dyDescent="0.2">
      <c r="A62" s="15"/>
      <c r="B62" s="4" t="s">
        <v>30</v>
      </c>
      <c r="C62" s="82"/>
      <c r="D62" s="83">
        <v>46513.67</v>
      </c>
      <c r="E62" s="73" t="s">
        <v>88</v>
      </c>
    </row>
    <row r="63" spans="1:5" s="1" customFormat="1" ht="12" customHeight="1" outlineLevel="1" x14ac:dyDescent="0.2">
      <c r="A63" s="15"/>
      <c r="B63" s="4" t="s">
        <v>38</v>
      </c>
      <c r="C63" s="82"/>
      <c r="D63" s="83">
        <v>198715.2</v>
      </c>
      <c r="E63" s="73" t="s">
        <v>88</v>
      </c>
    </row>
    <row r="64" spans="1:5" s="1" customFormat="1" ht="12" customHeight="1" outlineLevel="1" x14ac:dyDescent="0.2">
      <c r="A64" s="15"/>
      <c r="B64" s="4" t="s">
        <v>39</v>
      </c>
      <c r="C64" s="82"/>
      <c r="D64" s="83">
        <v>2752.29</v>
      </c>
      <c r="E64" s="73" t="s">
        <v>88</v>
      </c>
    </row>
    <row r="65" spans="1:12" s="1" customFormat="1" ht="12" customHeight="1" outlineLevel="1" x14ac:dyDescent="0.2">
      <c r="A65" s="15"/>
      <c r="B65" s="5" t="s">
        <v>66</v>
      </c>
      <c r="C65" s="82"/>
      <c r="D65" s="151">
        <v>128091.26</v>
      </c>
      <c r="E65" s="73" t="s">
        <v>50</v>
      </c>
    </row>
    <row r="66" spans="1:12" s="1" customFormat="1" ht="12" customHeight="1" outlineLevel="1" x14ac:dyDescent="0.2">
      <c r="A66" s="15"/>
      <c r="B66" s="4" t="s">
        <v>65</v>
      </c>
      <c r="C66" s="82"/>
      <c r="D66" s="83">
        <v>12110.07</v>
      </c>
      <c r="E66" s="73"/>
    </row>
    <row r="67" spans="1:12" ht="12.75" customHeight="1" x14ac:dyDescent="0.2">
      <c r="A67" s="22"/>
      <c r="B67" s="17" t="s">
        <v>9</v>
      </c>
      <c r="C67" s="76">
        <f>C9+C10+C29+C58+C8+C35+C38</f>
        <v>560768334.49000001</v>
      </c>
      <c r="D67" s="84">
        <f>D8+D16+D47+D51+D55+D44+D29+D40+D56+D57+D60+D39+D43+D36+D37+D38+D25+D24+D59+D21</f>
        <v>517193605.79999995</v>
      </c>
      <c r="E67" s="73"/>
      <c r="F67" s="89"/>
      <c r="G67" s="142"/>
      <c r="H67" s="142"/>
      <c r="I67" s="1"/>
    </row>
    <row r="68" spans="1:12" ht="27" customHeight="1" x14ac:dyDescent="0.2">
      <c r="A68" s="22"/>
      <c r="B68" s="17" t="s">
        <v>10</v>
      </c>
      <c r="C68" s="76">
        <f>C7+C67-D67</f>
        <v>48095891.76000011</v>
      </c>
      <c r="D68" s="144"/>
      <c r="E68" s="145"/>
      <c r="F68" s="93" t="s">
        <v>103</v>
      </c>
      <c r="G68" s="134">
        <v>46213</v>
      </c>
      <c r="H68" s="106">
        <v>23000000</v>
      </c>
      <c r="I68" s="1" t="s">
        <v>104</v>
      </c>
    </row>
    <row r="69" spans="1:12" ht="13.5" customHeight="1" x14ac:dyDescent="0.2">
      <c r="A69" s="1"/>
      <c r="B69" s="1"/>
      <c r="C69" s="1"/>
      <c r="D69" s="1"/>
      <c r="E69" s="1"/>
      <c r="F69" s="102"/>
      <c r="G69" s="149"/>
      <c r="H69" s="150"/>
      <c r="I69" s="1"/>
    </row>
    <row r="70" spans="1:12" ht="13.5" customHeight="1" x14ac:dyDescent="0.2">
      <c r="A70" s="1"/>
      <c r="B70" s="1"/>
      <c r="C70" s="1"/>
      <c r="D70" s="1"/>
      <c r="E70" s="1"/>
      <c r="F70" s="102"/>
      <c r="G70" s="149"/>
      <c r="H70" s="150"/>
      <c r="I70" s="1"/>
    </row>
    <row r="71" spans="1:12" ht="13.5" customHeight="1" x14ac:dyDescent="0.2">
      <c r="A71" s="1"/>
      <c r="B71" s="1"/>
      <c r="C71" s="1"/>
      <c r="D71" s="1"/>
      <c r="E71" s="1"/>
      <c r="F71" s="102"/>
      <c r="G71" s="149"/>
      <c r="H71" s="150"/>
      <c r="I71" s="1"/>
    </row>
    <row r="72" spans="1:12" ht="16.5" customHeight="1" x14ac:dyDescent="0.2">
      <c r="A72" s="1"/>
      <c r="B72" s="7"/>
      <c r="C72" s="25" t="s">
        <v>31</v>
      </c>
      <c r="D72" s="30" t="s">
        <v>29</v>
      </c>
      <c r="E72" s="30" t="s">
        <v>30</v>
      </c>
      <c r="F72" s="30" t="s">
        <v>38</v>
      </c>
      <c r="G72" s="30" t="s">
        <v>40</v>
      </c>
      <c r="H72" s="30" t="s">
        <v>65</v>
      </c>
      <c r="I72" s="1"/>
    </row>
    <row r="73" spans="1:12" s="1" customFormat="1" ht="28.5" hidden="1" customHeight="1" x14ac:dyDescent="0.2">
      <c r="B73" s="12"/>
      <c r="C73" s="9">
        <f>C33</f>
        <v>0</v>
      </c>
      <c r="D73" s="29">
        <v>0</v>
      </c>
      <c r="E73" s="29">
        <f>C35</f>
        <v>50000</v>
      </c>
      <c r="F73" s="29"/>
      <c r="G73" s="29"/>
      <c r="H73"/>
      <c r="I73" s="140" t="s">
        <v>23</v>
      </c>
      <c r="J73" s="140"/>
      <c r="K73" s="140"/>
    </row>
    <row r="74" spans="1:12" s="1" customFormat="1" ht="12.75" customHeight="1" x14ac:dyDescent="0.2">
      <c r="B74" s="23" t="s">
        <v>42</v>
      </c>
      <c r="C74" s="12">
        <f>SUM(D74:H74)</f>
        <v>3930000</v>
      </c>
      <c r="D74" s="16">
        <f>C31</f>
        <v>0</v>
      </c>
      <c r="E74" s="16">
        <f>C32</f>
        <v>2530000</v>
      </c>
      <c r="F74" s="16">
        <f>C34</f>
        <v>1400000</v>
      </c>
      <c r="G74" s="16"/>
      <c r="H74" s="1">
        <v>0</v>
      </c>
      <c r="I74" s="23"/>
      <c r="J74" s="135"/>
      <c r="K74" s="8"/>
    </row>
    <row r="75" spans="1:12" s="1" customFormat="1" ht="12" x14ac:dyDescent="0.2">
      <c r="B75" s="14" t="s">
        <v>17</v>
      </c>
      <c r="C75" s="9">
        <f>SUM(D75:H75)</f>
        <v>49167846.890000001</v>
      </c>
      <c r="D75" s="16">
        <f>C11</f>
        <v>2720000</v>
      </c>
      <c r="E75" s="16">
        <f>C12</f>
        <v>8309000</v>
      </c>
      <c r="F75" s="16">
        <f>C13+C33</f>
        <v>35469850</v>
      </c>
      <c r="G75" s="16">
        <f>C14</f>
        <v>497766.89</v>
      </c>
      <c r="H75" s="16">
        <f>C15</f>
        <v>2171230</v>
      </c>
      <c r="L75" s="16"/>
    </row>
    <row r="76" spans="1:12" s="1" customFormat="1" ht="12" x14ac:dyDescent="0.2">
      <c r="B76" s="14" t="s">
        <v>18</v>
      </c>
      <c r="C76" s="9">
        <f>SUM(D76:H76)</f>
        <v>31354935</v>
      </c>
      <c r="D76" s="16">
        <v>7246690</v>
      </c>
      <c r="E76" s="16">
        <v>3621000</v>
      </c>
      <c r="F76" s="16">
        <v>19735500</v>
      </c>
      <c r="G76" s="16">
        <f>141670+C35</f>
        <v>191670</v>
      </c>
      <c r="H76" s="16">
        <v>560075</v>
      </c>
      <c r="K76" s="16"/>
    </row>
    <row r="77" spans="1:12" s="1" customFormat="1" ht="24" x14ac:dyDescent="0.2">
      <c r="B77" s="125" t="s">
        <v>96</v>
      </c>
      <c r="C77" s="9">
        <f>SUM(D77:H77)</f>
        <v>395000</v>
      </c>
      <c r="D77" s="16"/>
      <c r="E77" s="16">
        <f>D32</f>
        <v>305000</v>
      </c>
      <c r="F77" s="16">
        <f>D33</f>
        <v>90000</v>
      </c>
      <c r="G77" s="16"/>
      <c r="H77" s="16">
        <v>0</v>
      </c>
      <c r="K77" s="16"/>
    </row>
    <row r="78" spans="1:12" s="1" customFormat="1" ht="24.75" customHeight="1" x14ac:dyDescent="0.2">
      <c r="B78" s="113"/>
      <c r="C78" s="9">
        <f>F78</f>
        <v>0</v>
      </c>
      <c r="D78" s="16"/>
      <c r="E78" s="16"/>
      <c r="F78" s="16"/>
      <c r="G78" s="16">
        <v>0</v>
      </c>
    </row>
    <row r="79" spans="1:12" s="1" customFormat="1" ht="12" x14ac:dyDescent="0.2">
      <c r="A79" s="51"/>
      <c r="B79" s="46" t="s">
        <v>34</v>
      </c>
      <c r="C79" s="48">
        <f>C74+C75+C76-C77-C78</f>
        <v>84057781.890000001</v>
      </c>
      <c r="D79" s="56">
        <f>SUM(D73:D76)-D77+D78</f>
        <v>9966690</v>
      </c>
      <c r="E79" s="56">
        <f>SUM(E74:E76)-E77</f>
        <v>14155000</v>
      </c>
      <c r="F79" s="56">
        <f>SUM(F73:F76)-F77-F78</f>
        <v>56515350</v>
      </c>
      <c r="G79" s="56">
        <f>SUM(G73:G78)-G77</f>
        <v>689436.89</v>
      </c>
      <c r="H79" s="56">
        <f>SUM(H74:H77)</f>
        <v>2731305</v>
      </c>
    </row>
    <row r="80" spans="1:12" s="1" customFormat="1" ht="25.5" customHeight="1" x14ac:dyDescent="0.2">
      <c r="B80" s="92"/>
      <c r="C80" s="10"/>
      <c r="D80" s="70"/>
      <c r="E80" s="70"/>
      <c r="F80" s="16"/>
      <c r="G80" s="16"/>
    </row>
    <row r="81" spans="2:8" s="1" customFormat="1" ht="8.25" customHeight="1" x14ac:dyDescent="0.2">
      <c r="B81" s="13"/>
      <c r="C81" s="10"/>
      <c r="D81" s="29"/>
      <c r="E81" s="29"/>
      <c r="F81" s="29"/>
      <c r="G81" s="29"/>
      <c r="H81"/>
    </row>
    <row r="82" spans="2:8" s="1" customFormat="1" ht="12" x14ac:dyDescent="0.2">
      <c r="B82" s="141" t="s">
        <v>32</v>
      </c>
      <c r="C82" s="141"/>
      <c r="D82" s="30" t="s">
        <v>29</v>
      </c>
      <c r="E82" s="30" t="s">
        <v>30</v>
      </c>
      <c r="F82" s="30" t="s">
        <v>38</v>
      </c>
      <c r="G82" s="29"/>
      <c r="H82"/>
    </row>
    <row r="83" spans="2:8" s="1" customFormat="1" ht="12" x14ac:dyDescent="0.2">
      <c r="B83" s="36" t="s">
        <v>21</v>
      </c>
      <c r="C83" s="9">
        <f>D47+D51</f>
        <v>6099711.1299999999</v>
      </c>
      <c r="D83" s="16">
        <f>C83/2</f>
        <v>3049855.5649999999</v>
      </c>
      <c r="E83" s="16">
        <f>C83/2</f>
        <v>3049855.5649999999</v>
      </c>
      <c r="F83" s="16"/>
      <c r="G83" s="60"/>
      <c r="H83" s="60"/>
    </row>
    <row r="84" spans="2:8" s="1" customFormat="1" ht="12" x14ac:dyDescent="0.2">
      <c r="B84" s="37" t="s">
        <v>85</v>
      </c>
      <c r="C84" s="9"/>
      <c r="D84" s="16">
        <f>C84/2</f>
        <v>0</v>
      </c>
      <c r="E84" s="16">
        <f>C84/2</f>
        <v>0</v>
      </c>
      <c r="F84" s="62"/>
      <c r="G84" s="16"/>
      <c r="H84" s="16"/>
    </row>
    <row r="85" spans="2:8" s="1" customFormat="1" ht="12" x14ac:dyDescent="0.2">
      <c r="B85" s="36" t="s">
        <v>20</v>
      </c>
      <c r="C85" s="9">
        <f>D55</f>
        <v>12824189.199999999</v>
      </c>
      <c r="D85" s="16">
        <f>C85/2-7800+45594</f>
        <v>6449888.5999999996</v>
      </c>
      <c r="E85" s="16">
        <f>C85/2-45594+7800</f>
        <v>6374300.5999999996</v>
      </c>
      <c r="F85" s="16"/>
      <c r="G85" s="16"/>
    </row>
    <row r="86" spans="2:8" s="1" customFormat="1" ht="12" x14ac:dyDescent="0.2">
      <c r="B86" s="36" t="s">
        <v>94</v>
      </c>
      <c r="C86" s="72">
        <v>1500</v>
      </c>
      <c r="D86" s="16">
        <f>C86/2</f>
        <v>750</v>
      </c>
      <c r="E86" s="16">
        <f>C86/2</f>
        <v>750</v>
      </c>
      <c r="F86" s="16"/>
      <c r="G86" s="16"/>
    </row>
    <row r="87" spans="2:8" s="1" customFormat="1" ht="12" x14ac:dyDescent="0.2">
      <c r="B87" s="38" t="s">
        <v>44</v>
      </c>
      <c r="C87" s="9">
        <f>D64+D66+D65+D63+D59</f>
        <v>356052.38</v>
      </c>
      <c r="D87" s="16">
        <f>C87/2</f>
        <v>178026.19</v>
      </c>
      <c r="E87" s="16">
        <f>C87/2</f>
        <v>178026.19</v>
      </c>
      <c r="F87" s="16"/>
      <c r="G87" s="16"/>
    </row>
    <row r="88" spans="2:8" s="1" customFormat="1" ht="12" x14ac:dyDescent="0.2">
      <c r="B88" s="36" t="s">
        <v>92</v>
      </c>
      <c r="C88" s="9">
        <f>SUM(D88:E88)</f>
        <v>61651.25</v>
      </c>
      <c r="D88" s="16">
        <f>D61</f>
        <v>15137.58</v>
      </c>
      <c r="E88" s="16">
        <f>D62</f>
        <v>46513.67</v>
      </c>
      <c r="F88" s="16"/>
      <c r="G88" s="16"/>
    </row>
    <row r="89" spans="2:8" s="1" customFormat="1" ht="12" x14ac:dyDescent="0.2">
      <c r="B89" s="36" t="s">
        <v>53</v>
      </c>
      <c r="C89" s="9">
        <f>D57</f>
        <v>55440.88</v>
      </c>
      <c r="D89" s="16">
        <f>C89/2</f>
        <v>27720.44</v>
      </c>
      <c r="E89" s="16">
        <f>C89/2</f>
        <v>27720.44</v>
      </c>
      <c r="F89" s="16"/>
      <c r="G89" s="16"/>
    </row>
    <row r="90" spans="2:8" s="1" customFormat="1" ht="12" x14ac:dyDescent="0.2">
      <c r="B90" s="36"/>
      <c r="C90" s="9"/>
      <c r="D90" s="16">
        <f>C90/2</f>
        <v>0</v>
      </c>
      <c r="E90" s="16"/>
      <c r="F90" s="16"/>
      <c r="G90" s="16"/>
    </row>
    <row r="91" spans="2:8" s="1" customFormat="1" ht="12" x14ac:dyDescent="0.2">
      <c r="B91" s="14" t="s">
        <v>90</v>
      </c>
      <c r="C91" s="9">
        <f>SUM(D91:E91)</f>
        <v>0</v>
      </c>
      <c r="D91" s="16">
        <f>3062-12741-66250</f>
        <v>-75929</v>
      </c>
      <c r="E91" s="16">
        <f>12741-3062+66250</f>
        <v>75929</v>
      </c>
      <c r="F91" s="16"/>
      <c r="G91" s="16"/>
    </row>
    <row r="92" spans="2:8" s="1" customFormat="1" ht="12" x14ac:dyDescent="0.2">
      <c r="B92" s="36" t="s">
        <v>33</v>
      </c>
      <c r="C92" s="9">
        <f>D92+E92</f>
        <v>52780464.959999993</v>
      </c>
      <c r="D92" s="16">
        <f>SUM(D93:D97)</f>
        <v>25906936.949999999</v>
      </c>
      <c r="E92" s="16">
        <f>SUM(E93:E97)</f>
        <v>26873528.009999998</v>
      </c>
      <c r="F92" s="16"/>
      <c r="G92" s="16"/>
    </row>
    <row r="93" spans="2:8" s="1" customFormat="1" ht="12" x14ac:dyDescent="0.2">
      <c r="B93" s="14" t="s">
        <v>68</v>
      </c>
      <c r="C93" s="72">
        <f>D22</f>
        <v>164992.56</v>
      </c>
      <c r="D93" s="87">
        <f>C93/2</f>
        <v>82496.28</v>
      </c>
      <c r="E93" s="87">
        <f>C93/2</f>
        <v>82496.28</v>
      </c>
      <c r="F93" s="16"/>
      <c r="G93" s="16"/>
    </row>
    <row r="94" spans="2:8" s="1" customFormat="1" ht="12" x14ac:dyDescent="0.2">
      <c r="B94" s="41" t="s">
        <v>62</v>
      </c>
      <c r="C94" s="72">
        <f>D23</f>
        <v>2808750</v>
      </c>
      <c r="D94" s="87">
        <f>C94/2</f>
        <v>1404375</v>
      </c>
      <c r="E94" s="87">
        <f>C94/2</f>
        <v>1404375</v>
      </c>
      <c r="F94" s="95"/>
      <c r="G94" s="16"/>
      <c r="H94" s="16"/>
    </row>
    <row r="95" spans="2:8" s="1" customFormat="1" ht="12" x14ac:dyDescent="0.2">
      <c r="B95" s="41" t="s">
        <v>59</v>
      </c>
      <c r="C95" s="72">
        <f>D27</f>
        <v>0</v>
      </c>
      <c r="D95" s="87">
        <f>D26+D27/2</f>
        <v>0</v>
      </c>
      <c r="E95" s="87">
        <v>29400</v>
      </c>
      <c r="F95" s="16"/>
      <c r="G95" s="16"/>
    </row>
    <row r="96" spans="2:8" s="1" customFormat="1" ht="12" x14ac:dyDescent="0.2">
      <c r="B96" s="41" t="s">
        <v>61</v>
      </c>
      <c r="C96" s="72">
        <f>D28</f>
        <v>28318859</v>
      </c>
      <c r="D96" s="87">
        <f>C96/2</f>
        <v>14159429.5</v>
      </c>
      <c r="E96" s="87">
        <f>C96/2</f>
        <v>14159429.5</v>
      </c>
      <c r="F96" s="16"/>
      <c r="G96" s="16"/>
    </row>
    <row r="97" spans="1:12" s="1" customFormat="1" ht="12" x14ac:dyDescent="0.2">
      <c r="B97" s="41" t="s">
        <v>43</v>
      </c>
      <c r="C97" s="72">
        <f>D17</f>
        <v>21458463.399999999</v>
      </c>
      <c r="D97" s="88">
        <f>D98+D99</f>
        <v>10260636.17</v>
      </c>
      <c r="E97" s="88">
        <f>E98+E99</f>
        <v>11197827.23</v>
      </c>
      <c r="F97" s="16" t="s">
        <v>48</v>
      </c>
      <c r="G97" s="16"/>
      <c r="I97" s="129" t="s">
        <v>69</v>
      </c>
      <c r="J97" s="130" t="s">
        <v>65</v>
      </c>
    </row>
    <row r="98" spans="1:12" s="1" customFormat="1" ht="12" x14ac:dyDescent="0.2">
      <c r="B98" s="41" t="s">
        <v>46</v>
      </c>
      <c r="C98" s="9">
        <f>D98+E98</f>
        <v>2883722.26</v>
      </c>
      <c r="D98" s="67">
        <v>973265.6</v>
      </c>
      <c r="E98" s="67">
        <v>1910456.66</v>
      </c>
      <c r="F98" s="29"/>
      <c r="G98" s="16"/>
      <c r="H98" s="1" t="s">
        <v>31</v>
      </c>
      <c r="I98" s="16">
        <f>F79</f>
        <v>56515350</v>
      </c>
      <c r="J98" s="16">
        <f>H79</f>
        <v>2731305</v>
      </c>
    </row>
    <row r="99" spans="1:12" s="1" customFormat="1" ht="33.75" x14ac:dyDescent="0.2">
      <c r="B99" s="41" t="s">
        <v>47</v>
      </c>
      <c r="C99" s="9">
        <f>C97-C98</f>
        <v>18574741.140000001</v>
      </c>
      <c r="D99" s="67">
        <f>C99/2</f>
        <v>9287370.5700000003</v>
      </c>
      <c r="E99" s="67">
        <f>C99/2</f>
        <v>9287370.5700000003</v>
      </c>
      <c r="F99" s="29"/>
      <c r="G99" s="16"/>
      <c r="H99" s="1" t="s">
        <v>70</v>
      </c>
      <c r="I99" s="133">
        <f>D28</f>
        <v>28318859</v>
      </c>
      <c r="J99" s="128">
        <v>977816</v>
      </c>
      <c r="K99" s="132" t="s">
        <v>98</v>
      </c>
    </row>
    <row r="100" spans="1:12" s="1" customFormat="1" ht="12" x14ac:dyDescent="0.2">
      <c r="B100" s="90"/>
      <c r="C100" s="9"/>
      <c r="D100" s="16"/>
      <c r="E100" s="16"/>
      <c r="F100" s="16"/>
      <c r="G100" s="16"/>
      <c r="H100" s="1" t="s">
        <v>71</v>
      </c>
      <c r="I100" s="16">
        <v>6470068.2999999998</v>
      </c>
      <c r="J100" s="1">
        <v>395670</v>
      </c>
      <c r="L100" s="16"/>
    </row>
    <row r="101" spans="1:12" s="1" customFormat="1" ht="12" x14ac:dyDescent="0.2">
      <c r="B101" s="31" t="s">
        <v>19</v>
      </c>
      <c r="C101" s="26">
        <f>C83+C84+C85+C87+C88+C92+C86+C89+C100+C91+C90</f>
        <v>72179009.799999982</v>
      </c>
      <c r="D101" s="10">
        <f>D83+D84+D85+D87+D88+D92+D86+D89+D91+D100+D90</f>
        <v>35552386.324999996</v>
      </c>
      <c r="E101" s="10">
        <f>E83+E84+E85+E87+E88+E92+E86+E89+E91+E100+E90</f>
        <v>36626623.474999994</v>
      </c>
      <c r="F101" s="16"/>
      <c r="G101" s="16"/>
      <c r="H101" s="43" t="s">
        <v>72</v>
      </c>
      <c r="I101" s="70">
        <f>I98-I99-I100</f>
        <v>21726422.699999999</v>
      </c>
      <c r="J101" s="70">
        <f>J98-J99-J100</f>
        <v>1357819</v>
      </c>
    </row>
    <row r="102" spans="1:12" s="1" customFormat="1" ht="12" customHeight="1" x14ac:dyDescent="0.2">
      <c r="B102" s="32" t="s">
        <v>36</v>
      </c>
      <c r="C102" s="9"/>
      <c r="D102" s="16"/>
      <c r="E102" s="16"/>
      <c r="F102" s="16"/>
      <c r="G102" s="16"/>
      <c r="H102" s="1" t="s">
        <v>73</v>
      </c>
      <c r="I102" s="70">
        <f>I101/2</f>
        <v>10863211.35</v>
      </c>
      <c r="J102" s="131">
        <f>J101/2</f>
        <v>678909.5</v>
      </c>
    </row>
    <row r="103" spans="1:12" s="1" customFormat="1" ht="18" hidden="1" customHeight="1" x14ac:dyDescent="0.2">
      <c r="B103" s="12"/>
      <c r="C103" s="9"/>
      <c r="D103" s="16"/>
      <c r="E103" s="16"/>
      <c r="F103" s="16"/>
      <c r="G103" s="16"/>
      <c r="I103" s="2"/>
    </row>
    <row r="104" spans="1:12" s="1" customFormat="1" ht="17.25" hidden="1" customHeight="1" x14ac:dyDescent="0.2">
      <c r="B104" s="14" t="s">
        <v>35</v>
      </c>
      <c r="C104" s="9"/>
      <c r="D104" s="16">
        <f>C104/2</f>
        <v>0</v>
      </c>
      <c r="E104" s="16">
        <f>C104/2</f>
        <v>0</v>
      </c>
      <c r="F104" s="16"/>
      <c r="G104" s="16"/>
      <c r="I104" s="2"/>
    </row>
    <row r="105" spans="1:12" s="1" customFormat="1" ht="8.25" customHeight="1" x14ac:dyDescent="0.2">
      <c r="B105" s="14"/>
      <c r="C105" s="9"/>
      <c r="D105" s="29"/>
      <c r="E105" s="29"/>
      <c r="F105" s="29"/>
      <c r="G105" s="29"/>
      <c r="I105" s="2"/>
    </row>
    <row r="106" spans="1:12" s="1" customFormat="1" ht="12" x14ac:dyDescent="0.2">
      <c r="A106" s="51"/>
      <c r="B106" s="46" t="s">
        <v>19</v>
      </c>
      <c r="C106" s="48">
        <f>C101+C104</f>
        <v>72179009.799999982</v>
      </c>
      <c r="D106" s="56">
        <f>D101+D104</f>
        <v>35552386.324999996</v>
      </c>
      <c r="E106" s="56">
        <f>E101+E104</f>
        <v>36626623.474999994</v>
      </c>
      <c r="F106" s="29"/>
      <c r="G106" s="29"/>
      <c r="H106"/>
      <c r="I106" s="2"/>
    </row>
    <row r="107" spans="1:12" s="1" customFormat="1" ht="12" x14ac:dyDescent="0.2">
      <c r="B107" s="13" t="s">
        <v>45</v>
      </c>
      <c r="C107" s="9"/>
      <c r="D107" s="29"/>
      <c r="E107" s="29"/>
      <c r="F107" s="29"/>
      <c r="G107" s="29"/>
      <c r="H107"/>
    </row>
    <row r="108" spans="1:12" s="1" customFormat="1" ht="0.75" customHeight="1" x14ac:dyDescent="0.2">
      <c r="B108" s="13"/>
      <c r="C108" s="10"/>
      <c r="D108" s="29"/>
      <c r="E108" s="29"/>
      <c r="F108" s="29"/>
      <c r="G108" s="29"/>
      <c r="H108"/>
    </row>
    <row r="109" spans="1:12" s="1" customFormat="1" ht="12" x14ac:dyDescent="0.2">
      <c r="B109" s="61" t="s">
        <v>37</v>
      </c>
      <c r="C109" s="13">
        <f>C79-C106+C80</f>
        <v>11878772.090000018</v>
      </c>
      <c r="D109" s="69">
        <f>D79-D106+D80</f>
        <v>-25585696.324999996</v>
      </c>
      <c r="E109" s="69">
        <f>E79-E106+E80</f>
        <v>-22471623.474999994</v>
      </c>
      <c r="F109" s="29"/>
      <c r="G109" s="29"/>
      <c r="H109"/>
    </row>
    <row r="110" spans="1:12" s="1" customFormat="1" ht="11.25" customHeight="1" x14ac:dyDescent="0.2">
      <c r="B110" s="96" t="s">
        <v>101</v>
      </c>
      <c r="C110" s="66">
        <f>C59</f>
        <v>0</v>
      </c>
      <c r="D110" s="29">
        <f>C110/2</f>
        <v>0</v>
      </c>
      <c r="E110" s="29">
        <f>C110/2</f>
        <v>0</v>
      </c>
      <c r="F110" s="29"/>
      <c r="G110" s="29"/>
      <c r="H110"/>
    </row>
    <row r="111" spans="1:12" ht="12" x14ac:dyDescent="0.2">
      <c r="B111" s="28" t="s">
        <v>49</v>
      </c>
      <c r="C111" s="1"/>
      <c r="D111" s="16">
        <f>F79/2</f>
        <v>28257675</v>
      </c>
      <c r="E111" s="16">
        <f>F79/2</f>
        <v>28257675</v>
      </c>
      <c r="F111" s="1"/>
      <c r="G111" s="1"/>
      <c r="H111" s="1"/>
    </row>
    <row r="112" spans="1:12" s="1" customFormat="1" ht="12" x14ac:dyDescent="0.2">
      <c r="B112" s="68" t="s">
        <v>67</v>
      </c>
      <c r="C112" s="13"/>
      <c r="D112" s="29">
        <f>H79/2</f>
        <v>1365652.5</v>
      </c>
      <c r="E112" s="29">
        <f>H79/2</f>
        <v>1365652.5</v>
      </c>
      <c r="F112" s="29"/>
      <c r="G112" s="29"/>
      <c r="H112"/>
    </row>
    <row r="113" spans="1:16" s="1" customFormat="1" ht="12" x14ac:dyDescent="0.2">
      <c r="B113" s="68" t="s">
        <v>86</v>
      </c>
      <c r="C113" s="13"/>
      <c r="D113" s="29">
        <f>G79/2</f>
        <v>344718.44500000001</v>
      </c>
      <c r="E113" s="29">
        <f>G79/2</f>
        <v>344718.44500000001</v>
      </c>
      <c r="F113" s="29"/>
      <c r="G113" s="29"/>
      <c r="H113"/>
    </row>
    <row r="114" spans="1:16" s="11" customFormat="1" ht="12" x14ac:dyDescent="0.2">
      <c r="A114" s="57"/>
      <c r="B114" s="46" t="s">
        <v>51</v>
      </c>
      <c r="C114" s="47">
        <f>D114+E114</f>
        <v>11878772.090000011</v>
      </c>
      <c r="D114" s="48">
        <f>D109+D111+D112+D113+D110</f>
        <v>4382349.6200000048</v>
      </c>
      <c r="E114" s="48">
        <f>E109+E111+E112+E113+E110</f>
        <v>7496422.4700000063</v>
      </c>
      <c r="F114" s="35"/>
      <c r="G114" s="33"/>
      <c r="H114" s="34"/>
    </row>
    <row r="115" spans="1:16" s="11" customFormat="1" ht="12" x14ac:dyDescent="0.2">
      <c r="B115" s="59"/>
      <c r="C115" s="13"/>
      <c r="D115" s="26"/>
      <c r="E115" s="26"/>
      <c r="F115" s="35"/>
      <c r="G115" s="33"/>
      <c r="H115" s="34"/>
    </row>
    <row r="116" spans="1:16" s="11" customFormat="1" ht="12.75" x14ac:dyDescent="0.2">
      <c r="A116" s="143" t="s">
        <v>56</v>
      </c>
      <c r="B116" s="143"/>
      <c r="C116" s="10">
        <f>SUM(D116:E116)</f>
        <v>48891834.32</v>
      </c>
      <c r="D116" s="70">
        <v>17187843.370000001</v>
      </c>
      <c r="E116" s="70">
        <v>31703990.949999999</v>
      </c>
      <c r="F116" s="10"/>
      <c r="G116" s="64"/>
      <c r="H116" s="34"/>
      <c r="L116" s="49"/>
      <c r="M116" s="58"/>
      <c r="N116" s="16"/>
      <c r="O116" s="16"/>
      <c r="P116" s="1"/>
    </row>
    <row r="117" spans="1:16" s="11" customFormat="1" ht="33.75" x14ac:dyDescent="0.2">
      <c r="A117" s="1"/>
      <c r="B117" s="136" t="s">
        <v>105</v>
      </c>
      <c r="C117" s="10">
        <v>23000000</v>
      </c>
      <c r="D117" s="16"/>
      <c r="E117" s="16"/>
      <c r="F117" s="16"/>
      <c r="G117" s="16"/>
      <c r="H117"/>
      <c r="I117" s="1"/>
      <c r="L117" s="49"/>
      <c r="M117" s="58"/>
      <c r="N117" s="16"/>
      <c r="O117" s="16"/>
      <c r="P117" s="1"/>
    </row>
    <row r="118" spans="1:16" s="11" customFormat="1" ht="12.75" x14ac:dyDescent="0.2">
      <c r="B118" s="136" t="s">
        <v>112</v>
      </c>
      <c r="C118" s="10">
        <v>11000000</v>
      </c>
      <c r="D118" s="16">
        <v>5500000</v>
      </c>
      <c r="E118" s="16">
        <v>5500000</v>
      </c>
      <c r="F118" s="10"/>
      <c r="G118" s="64"/>
      <c r="H118" s="34"/>
      <c r="L118" s="49"/>
      <c r="M118" s="58"/>
      <c r="N118" s="16"/>
      <c r="O118" s="16"/>
      <c r="P118" s="1"/>
    </row>
    <row r="119" spans="1:16" s="11" customFormat="1" ht="12.75" x14ac:dyDescent="0.2">
      <c r="B119" s="50"/>
      <c r="C119" s="10"/>
      <c r="D119" s="10"/>
      <c r="E119" s="10"/>
      <c r="F119" s="10"/>
      <c r="G119" s="64"/>
      <c r="H119" s="34"/>
      <c r="L119" s="91"/>
      <c r="M119" s="58"/>
      <c r="N119" s="16"/>
      <c r="O119" s="16"/>
      <c r="P119" s="1"/>
    </row>
    <row r="120" spans="1:16" s="11" customFormat="1" ht="23.25" hidden="1" customHeight="1" x14ac:dyDescent="0.2">
      <c r="A120" s="97"/>
      <c r="B120" s="101" t="s">
        <v>63</v>
      </c>
      <c r="C120" s="102"/>
      <c r="D120" s="99">
        <f>F120-G94</f>
        <v>0</v>
      </c>
      <c r="E120" s="103">
        <f>F120-H94</f>
        <v>0</v>
      </c>
      <c r="F120" s="67">
        <v>0</v>
      </c>
      <c r="G120" s="65" t="s">
        <v>64</v>
      </c>
      <c r="H120" s="34"/>
      <c r="L120" s="59"/>
      <c r="M120" s="10"/>
      <c r="N120" s="16"/>
      <c r="O120" s="16"/>
      <c r="P120" s="1"/>
    </row>
    <row r="121" spans="1:16" s="11" customFormat="1" ht="12.75" hidden="1" customHeight="1" x14ac:dyDescent="0.2">
      <c r="A121" s="97"/>
      <c r="B121" s="101"/>
      <c r="C121" s="102"/>
      <c r="D121" s="104"/>
      <c r="E121" s="105"/>
      <c r="F121" s="35"/>
      <c r="G121" s="33"/>
      <c r="H121" s="34"/>
      <c r="L121" s="49"/>
      <c r="M121" s="10"/>
      <c r="N121" s="16"/>
      <c r="O121" s="16"/>
      <c r="P121" s="1"/>
    </row>
    <row r="122" spans="1:16" s="1" customFormat="1" ht="12" customHeight="1" x14ac:dyDescent="0.2">
      <c r="A122" s="55"/>
      <c r="B122" s="52" t="s">
        <v>52</v>
      </c>
      <c r="C122" s="53">
        <f>SUM(D122:E122)</f>
        <v>49770606.410000011</v>
      </c>
      <c r="D122" s="45">
        <f>D114+D116+D120-D117-D118</f>
        <v>16070192.990000006</v>
      </c>
      <c r="E122" s="45">
        <f>E114+E116+E120-E118</f>
        <v>33700413.420000002</v>
      </c>
      <c r="G122" s="39"/>
      <c r="M122" s="39"/>
    </row>
    <row r="123" spans="1:16" s="1" customFormat="1" ht="12" customHeight="1" x14ac:dyDescent="0.2">
      <c r="A123" s="55"/>
      <c r="B123" s="44" t="s">
        <v>54</v>
      </c>
      <c r="C123" s="53"/>
      <c r="D123" s="54"/>
      <c r="E123" s="54"/>
    </row>
    <row r="124" spans="1:16" ht="11.25" customHeight="1" x14ac:dyDescent="0.2">
      <c r="A124" s="55"/>
      <c r="B124" s="44" t="s">
        <v>55</v>
      </c>
      <c r="C124" s="55"/>
      <c r="D124" s="55"/>
      <c r="E124" s="55"/>
      <c r="G124" s="40"/>
      <c r="M124" s="40"/>
    </row>
    <row r="125" spans="1:16" ht="6.75" hidden="1" customHeight="1" x14ac:dyDescent="0.2">
      <c r="C125" s="35"/>
    </row>
    <row r="126" spans="1:16" ht="23.25" customHeight="1" x14ac:dyDescent="0.2">
      <c r="C126" s="35"/>
    </row>
    <row r="127" spans="1:16" ht="8.25" hidden="1" customHeight="1" x14ac:dyDescent="0.2">
      <c r="C127" s="35"/>
    </row>
    <row r="128" spans="1:16" ht="39.75" customHeight="1" x14ac:dyDescent="0.2">
      <c r="B128" s="136" t="s">
        <v>114</v>
      </c>
      <c r="C128" s="35">
        <v>12541957</v>
      </c>
    </row>
    <row r="129" spans="1:9" ht="24" customHeight="1" x14ac:dyDescent="0.2">
      <c r="B129" s="63" t="s">
        <v>113</v>
      </c>
      <c r="C129" s="10">
        <v>3535526.17</v>
      </c>
    </row>
    <row r="130" spans="1:9" ht="8.25" customHeight="1" x14ac:dyDescent="0.2">
      <c r="B130" s="31"/>
      <c r="C130" s="16"/>
    </row>
    <row r="131" spans="1:9" s="1" customFormat="1" ht="12.75" x14ac:dyDescent="0.2">
      <c r="B131" s="27"/>
      <c r="C131" s="16"/>
    </row>
    <row r="132" spans="1:9" s="1" customFormat="1" x14ac:dyDescent="0.2">
      <c r="B132" s="107"/>
      <c r="C132" s="99"/>
      <c r="I132" s="43"/>
    </row>
    <row r="133" spans="1:9" s="1" customFormat="1" x14ac:dyDescent="0.2">
      <c r="B133" s="98"/>
      <c r="C133" s="100"/>
    </row>
    <row r="134" spans="1:9" s="1" customFormat="1" x14ac:dyDescent="0.2">
      <c r="A134" s="120"/>
      <c r="B134" s="111"/>
      <c r="C134" s="108"/>
      <c r="D134" s="99"/>
      <c r="E134" s="99"/>
      <c r="F134" s="120"/>
    </row>
    <row r="135" spans="1:9" s="1" customFormat="1" x14ac:dyDescent="0.2">
      <c r="A135" s="120"/>
      <c r="B135" s="107"/>
      <c r="C135" s="102"/>
      <c r="D135" s="100"/>
      <c r="E135" s="100"/>
      <c r="F135" s="120"/>
    </row>
    <row r="136" spans="1:9" s="1" customFormat="1" ht="30" customHeight="1" x14ac:dyDescent="0.2">
      <c r="A136" s="120"/>
      <c r="B136" s="114"/>
      <c r="C136" s="115"/>
      <c r="D136" s="100"/>
      <c r="E136" s="100"/>
      <c r="F136" s="126"/>
    </row>
    <row r="137" spans="1:9" s="1" customFormat="1" ht="36" customHeight="1" x14ac:dyDescent="0.2">
      <c r="A137" s="120"/>
      <c r="B137" s="117"/>
      <c r="C137" s="117"/>
      <c r="D137" s="109"/>
      <c r="E137" s="109"/>
      <c r="F137" s="126"/>
    </row>
    <row r="138" spans="1:9" s="42" customFormat="1" ht="12" x14ac:dyDescent="0.2">
      <c r="A138" s="114"/>
      <c r="B138" s="118"/>
      <c r="C138" s="119"/>
      <c r="D138" s="116"/>
      <c r="E138" s="116"/>
      <c r="F138" s="120"/>
    </row>
    <row r="139" spans="1:9" s="1" customFormat="1" ht="12" x14ac:dyDescent="0.2">
      <c r="A139" s="120"/>
      <c r="B139" s="121"/>
      <c r="C139" s="122"/>
      <c r="D139" s="115"/>
      <c r="E139" s="115"/>
      <c r="F139" s="114"/>
    </row>
    <row r="140" spans="1:9" s="1" customFormat="1" x14ac:dyDescent="0.2">
      <c r="A140" s="120"/>
      <c r="B140" s="123"/>
      <c r="C140" s="124"/>
      <c r="D140" s="120"/>
      <c r="E140" s="120"/>
      <c r="F140" s="120"/>
      <c r="G140" s="43"/>
    </row>
    <row r="141" spans="1:9" x14ac:dyDescent="0.2">
      <c r="A141" s="127"/>
      <c r="B141" s="127"/>
      <c r="C141" s="127"/>
      <c r="D141" s="120"/>
      <c r="E141" s="120"/>
      <c r="F141" s="117"/>
    </row>
    <row r="142" spans="1:9" ht="18" customHeight="1" x14ac:dyDescent="0.2">
      <c r="A142" s="127"/>
      <c r="D142" s="120"/>
      <c r="E142" s="120"/>
      <c r="F142" s="127"/>
    </row>
    <row r="143" spans="1:9" x14ac:dyDescent="0.2">
      <c r="A143" s="127"/>
      <c r="D143" s="127"/>
      <c r="E143" s="127"/>
      <c r="F143" s="127"/>
    </row>
  </sheetData>
  <mergeCells count="8">
    <mergeCell ref="A4:E4"/>
    <mergeCell ref="A1:E1"/>
    <mergeCell ref="A2:F2"/>
    <mergeCell ref="I73:K73"/>
    <mergeCell ref="B82:C82"/>
    <mergeCell ref="G67:H67"/>
    <mergeCell ref="A116:B116"/>
    <mergeCell ref="D68:E68"/>
  </mergeCells>
  <pageMargins left="0" right="0.19685039370078741" top="0" bottom="0.19685039370078741" header="0" footer="0"/>
  <pageSetup paperSize="9" scale="59" fitToWidth="0" pageOrder="overThenDown" orientation="portrait" r:id="rId1"/>
  <headerFooter alignWithMargins="0"/>
  <ignoredErrors>
    <ignoredError sqref="E88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</dc:creator>
  <cp:lastModifiedBy>Admin</cp:lastModifiedBy>
  <cp:revision>1</cp:revision>
  <cp:lastPrinted>2026-05-07T12:40:49Z</cp:lastPrinted>
  <dcterms:created xsi:type="dcterms:W3CDTF">2019-12-02T13:34:07Z</dcterms:created>
  <dcterms:modified xsi:type="dcterms:W3CDTF">2026-07-07T14:07:54Z</dcterms:modified>
</cp:coreProperties>
</file>