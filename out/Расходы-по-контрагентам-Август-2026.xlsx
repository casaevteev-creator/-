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трагенты" sheetId="1" state="visible" r:id="rId1"/>
    <sheet name="Списки" sheetId="2" state="hidden" r:id="rId2"/>
    <sheet name="Свод" sheetId="3" state="visible" r:id="rId3"/>
    <sheet name="Стать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-#,##0.00;—"/>
    <numFmt numFmtId="165" formatCode="0.0%"/>
  </numFmts>
  <fonts count="15">
    <font>
      <name val="Calibri"/>
      <family val="2"/>
      <color theme="1"/>
      <sz val="11"/>
      <scheme val="minor"/>
    </font>
    <font>
      <b val="1"/>
      <color rgb="001A1613"/>
      <sz val="14"/>
    </font>
    <font>
      <color rgb="00807A70"/>
      <sz val="9"/>
    </font>
    <font>
      <b val="1"/>
      <color rgb="001A1613"/>
      <sz val="10"/>
    </font>
    <font>
      <color rgb="001A1613"/>
      <sz val="10"/>
    </font>
    <font>
      <color rgb="008A6A3C"/>
      <sz val="10"/>
    </font>
    <font>
      <color rgb="009B2C2C"/>
      <sz val="10"/>
    </font>
    <font>
      <b val="1"/>
      <color rgb="001A1613"/>
      <sz val="11"/>
    </font>
    <font>
      <color rgb="00EFEAE2"/>
      <sz val="9"/>
    </font>
    <font>
      <color rgb="00807A70"/>
      <sz val="10"/>
    </font>
    <font>
      <b val="1"/>
      <color rgb="008A6A3C"/>
      <sz val="10"/>
    </font>
    <font>
      <b val="1"/>
      <color rgb="008A6A3C"/>
      <sz val="9"/>
    </font>
    <font>
      <b val="1"/>
      <color rgb="008A6A3C"/>
      <sz val="12"/>
    </font>
    <font>
      <b val="1"/>
      <color rgb="001A1613"/>
      <sz val="12"/>
    </font>
    <font>
      <color rgb="00EFEAE2"/>
      <sz val="8"/>
    </font>
  </fonts>
  <fills count="5">
    <fill>
      <patternFill/>
    </fill>
    <fill>
      <patternFill patternType="gray125"/>
    </fill>
    <fill>
      <patternFill patternType="solid">
        <fgColor rgb="00EFEAE2"/>
      </patternFill>
    </fill>
    <fill>
      <patternFill patternType="solid">
        <fgColor rgb="00F6F1E8"/>
      </patternFill>
    </fill>
    <fill>
      <patternFill patternType="solid">
        <fgColor rgb="00FFF6E6"/>
      </patternFill>
    </fill>
  </fills>
  <borders count="3">
    <border>
      <left/>
      <right/>
      <top/>
      <bottom/>
      <diagonal/>
    </border>
    <border>
      <bottom style="thin">
        <color rgb="00D9D2C6"/>
      </bottom>
    </border>
    <border>
      <bottom style="medium">
        <color rgb="008A6A3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center" wrapText="1"/>
    </xf>
    <xf numFmtId="0" fontId="8" fillId="0" borderId="0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3" borderId="0" pivotButton="0" quotePrefix="0" xfId="0"/>
    <xf numFmtId="164" fontId="7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2" fillId="4" borderId="2" pivotButton="0" quotePrefix="0" xfId="0"/>
    <xf numFmtId="0" fontId="9" fillId="0" borderId="0" pivotButton="0" quotePrefix="0" xfId="0"/>
    <xf numFmtId="164" fontId="13" fillId="0" borderId="0" pivotButton="0" quotePrefix="0" xfId="0"/>
    <xf numFmtId="0" fontId="13" fillId="0" borderId="0" pivotButton="0" quotePrefix="0" xfId="0"/>
    <xf numFmtId="0" fontId="9" fillId="0" borderId="1" pivotButton="0" quotePrefix="0" xfId="0"/>
    <xf numFmtId="0" fontId="3" fillId="3" borderId="0" pivotButton="0" quotePrefix="0" xfId="0"/>
    <xf numFmtId="164" fontId="3" fillId="3" borderId="0" pivotButton="0" quotePrefix="0" xfId="0"/>
    <xf numFmtId="0" fontId="2" fillId="3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13" fillId="3" borderId="0" pivotButton="0" quotePrefix="0" xfId="0"/>
    <xf numFmtId="164" fontId="12" fillId="3" borderId="0" pivotButton="0" quotePrefix="0" xfId="0"/>
    <xf numFmtId="164" fontId="9" fillId="0" borderId="0" pivotButton="0" quotePrefix="0" xfId="0"/>
    <xf numFmtId="164" fontId="14" fillId="0" borderId="0" pivotButton="0" quotePrefix="0" xfId="0"/>
    <xf numFmtId="0" fontId="10" fillId="4" borderId="0" pivotButton="0" quotePrefix="0" xfId="0"/>
    <xf numFmtId="0" fontId="10" fillId="0" borderId="0" pivotButton="0" quotePrefix="0" xfId="0"/>
    <xf numFmtId="0" fontId="4" fillId="0" borderId="1" applyAlignment="1" pivotButton="0" quotePrefix="0" xfId="0">
      <alignment indent="1"/>
    </xf>
    <xf numFmtId="165" fontId="2" fillId="0" borderId="1" pivotButton="0" quotePrefix="0" xfId="0"/>
    <xf numFmtId="165" fontId="11" fillId="3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3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40" customWidth="1" min="4" max="4"/>
    <col width="20" customWidth="1" min="5" max="5"/>
    <col width="13" customWidth="1" min="7" max="7"/>
  </cols>
  <sheetData>
    <row r="2">
      <c r="B2" s="1" t="inlineStr">
        <is>
          <t>Расходы по контрагентам, счёт 60</t>
        </is>
      </c>
    </row>
    <row r="3">
      <c r="B3" s="2" t="inlineStr">
        <is>
          <t>Данные из файла бухгалтерии. Меняете статью или блок — суммы на листах «Статьи» и «Свод» пересчитываются сами.</t>
        </is>
      </c>
    </row>
    <row r="4">
      <c r="G4" s="3" t="inlineStr">
        <is>
          <t>№ в выборке →</t>
        </is>
      </c>
    </row>
    <row r="5" ht="26" customHeight="1">
      <c r="B5" s="4" t="inlineStr">
        <is>
          <t>Контрагент</t>
        </is>
      </c>
      <c r="C5" s="4" t="inlineStr">
        <is>
          <t>Оплачено</t>
        </is>
      </c>
      <c r="D5" s="4" t="inlineStr">
        <is>
          <t>Статья</t>
        </is>
      </c>
      <c r="E5" s="4" t="inlineStr">
        <is>
          <t>Блок</t>
        </is>
      </c>
      <c r="G5" s="5" t="n">
        <v>0</v>
      </c>
    </row>
    <row r="6">
      <c r="B6" s="6" t="inlineStr">
        <is>
          <t>Маркарян Максим Рачьянович ИП</t>
        </is>
      </c>
      <c r="C6" s="7" t="n">
        <v>10966274</v>
      </c>
      <c r="D6" s="6" t="inlineStr">
        <is>
          <t>Гонорары ИП хирургов</t>
        </is>
      </c>
      <c r="E6" s="8" t="inlineStr">
        <is>
          <t>медицинские</t>
        </is>
      </c>
      <c r="G6" s="3">
        <f>IF(OR($D6=Свод!$C$5,$E6=Свод!$C$5),MAX($G$5:$G5)+1,"")</f>
        <v/>
      </c>
    </row>
    <row r="7">
      <c r="B7" s="6" t="inlineStr">
        <is>
          <t>БУРДИНА Е.С. ИП</t>
        </is>
      </c>
      <c r="C7" s="7" t="n">
        <v>5382764</v>
      </c>
      <c r="D7" s="6" t="inlineStr">
        <is>
          <t>Гонорары ИП хирургов</t>
        </is>
      </c>
      <c r="E7" s="8" t="inlineStr">
        <is>
          <t>медицинские</t>
        </is>
      </c>
      <c r="G7" s="3">
        <f>IF(OR($D7=Свод!$C$5,$E7=Свод!$C$5),MAX($G$5:$G6)+1,"")</f>
        <v/>
      </c>
    </row>
    <row r="8">
      <c r="B8" s="6" t="inlineStr">
        <is>
          <t>Сехина Виктория Дмитриевна</t>
        </is>
      </c>
      <c r="C8" s="7" t="n">
        <v>4692500</v>
      </c>
      <c r="D8" s="6" t="inlineStr">
        <is>
          <t>Урегулирование досудебного спора</t>
        </is>
      </c>
      <c r="E8" s="8" t="inlineStr">
        <is>
          <t>управленческие</t>
        </is>
      </c>
      <c r="G8" s="3">
        <f>IF(OR($D8=Свод!$C$5,$E8=Свод!$C$5),MAX($G$5:$G7)+1,"")</f>
        <v/>
      </c>
    </row>
    <row r="9">
      <c r="B9" s="6" t="inlineStr">
        <is>
          <t>Ужахов Тимур Магомедович ИП</t>
        </is>
      </c>
      <c r="C9" s="7" t="n">
        <v>4518074</v>
      </c>
      <c r="D9" s="6" t="inlineStr">
        <is>
          <t>Гонорары ИП хирургов</t>
        </is>
      </c>
      <c r="E9" s="8" t="inlineStr">
        <is>
          <t>медицинские</t>
        </is>
      </c>
      <c r="G9" s="3">
        <f>IF(OR($D9=Свод!$C$5,$E9=Свод!$C$5),MAX($G$5:$G8)+1,"")</f>
        <v/>
      </c>
    </row>
    <row r="10">
      <c r="B10" s="6" t="inlineStr">
        <is>
          <t>КЛОВЕРМЕД ООО</t>
        </is>
      </c>
      <c r="C10" s="7" t="n">
        <v>4196900</v>
      </c>
      <c r="D10" s="6" t="inlineStr">
        <is>
          <t>Импланты</t>
        </is>
      </c>
      <c r="E10" s="8" t="inlineStr">
        <is>
          <t>медицинские</t>
        </is>
      </c>
      <c r="G10" s="3">
        <f>IF(OR($D10=Свод!$C$5,$E10=Свод!$C$5),MAX($G$5:$G9)+1,"")</f>
        <v/>
      </c>
    </row>
    <row r="11">
      <c r="B11" s="6" t="inlineStr">
        <is>
          <t>Завиркин Антон Владимирович ИП</t>
        </is>
      </c>
      <c r="C11" s="7" t="n">
        <v>2887658</v>
      </c>
      <c r="D11" s="6" t="inlineStr">
        <is>
          <t>ИП Завиркин А.В.</t>
        </is>
      </c>
      <c r="E11" s="8" t="inlineStr">
        <is>
          <t>медицинские</t>
        </is>
      </c>
      <c r="G11" s="3">
        <f>IF(OR($D11=Свод!$C$5,$E11=Свод!$C$5),MAX($G$5:$G10)+1,"")</f>
        <v/>
      </c>
    </row>
    <row r="12">
      <c r="B12" s="6" t="inlineStr">
        <is>
          <t>Маржохов Астемир Ануарович ИП</t>
        </is>
      </c>
      <c r="C12" s="7" t="n">
        <v>2811745</v>
      </c>
      <c r="D12" s="6" t="inlineStr">
        <is>
          <t>Гонорары ИП хирургов</t>
        </is>
      </c>
      <c r="E12" s="8" t="inlineStr">
        <is>
          <t>медицинские</t>
        </is>
      </c>
      <c r="G12" s="3">
        <f>IF(OR($D12=Свод!$C$5,$E12=Свод!$C$5),MAX($G$5:$G11)+1,"")</f>
        <v/>
      </c>
    </row>
    <row r="13">
      <c r="B13" s="6" t="inlineStr">
        <is>
          <t>Габеев Алан Ирбекович ИП</t>
        </is>
      </c>
      <c r="C13" s="7" t="n">
        <v>2631347</v>
      </c>
      <c r="D13" s="6" t="inlineStr">
        <is>
          <t>Гонорары ИП хирургов</t>
        </is>
      </c>
      <c r="E13" s="8" t="inlineStr">
        <is>
          <t>медицинские</t>
        </is>
      </c>
      <c r="G13" s="3">
        <f>IF(OR($D13=Свод!$C$5,$E13=Свод!$C$5),MAX($G$5:$G12)+1,"")</f>
        <v/>
      </c>
    </row>
    <row r="14">
      <c r="B14" s="6" t="inlineStr">
        <is>
          <t>Ласукова Екатерина Борисовна</t>
        </is>
      </c>
      <c r="C14" s="7" t="n">
        <v>2505800</v>
      </c>
      <c r="D14" s="6" t="inlineStr">
        <is>
          <t>Маркетинговые услуги</t>
        </is>
      </c>
      <c r="E14" s="8" t="inlineStr">
        <is>
          <t>управленческие</t>
        </is>
      </c>
      <c r="G14" s="3">
        <f>IF(OR($D14=Свод!$C$5,$E14=Свод!$C$5),MAX($G$5:$G13)+1,"")</f>
        <v/>
      </c>
    </row>
    <row r="15">
      <c r="B15" s="6" t="inlineStr">
        <is>
          <t>Пономарёва Елена Юрьевна ИП</t>
        </is>
      </c>
      <c r="C15" s="7" t="n">
        <v>2272677</v>
      </c>
      <c r="D15" s="6" t="inlineStr">
        <is>
          <t>Гонорары ИП хирургов</t>
        </is>
      </c>
      <c r="E15" s="8" t="inlineStr">
        <is>
          <t>медицинские</t>
        </is>
      </c>
      <c r="G15" s="3">
        <f>IF(OR($D15=Свод!$C$5,$E15=Свод!$C$5),MAX($G$5:$G14)+1,"")</f>
        <v/>
      </c>
    </row>
    <row r="16">
      <c r="B16" s="6" t="inlineStr">
        <is>
          <t>БУРДИН С. А. ИП</t>
        </is>
      </c>
      <c r="C16" s="7" t="n">
        <v>2227217</v>
      </c>
      <c r="D16" s="6" t="inlineStr">
        <is>
          <t>Гонорары ИП хирургов</t>
        </is>
      </c>
      <c r="E16" s="8" t="inlineStr">
        <is>
          <t>медицинские</t>
        </is>
      </c>
      <c r="G16" s="3">
        <f>IF(OR($D16=Свод!$C$5,$E16=Свод!$C$5),MAX($G$5:$G15)+1,"")</f>
        <v/>
      </c>
    </row>
    <row r="17">
      <c r="B17" s="6" t="inlineStr">
        <is>
          <t>Ханукаев Александр Ильич</t>
        </is>
      </c>
      <c r="C17" s="7" t="n">
        <v>2210015</v>
      </c>
      <c r="D17" s="6" t="inlineStr">
        <is>
          <t>Гонорары ИП хирургов</t>
        </is>
      </c>
      <c r="E17" s="8" t="inlineStr">
        <is>
          <t>медицинские</t>
        </is>
      </c>
      <c r="G17" s="3">
        <f>IF(OR($D17=Свод!$C$5,$E17=Свод!$C$5),MAX($G$5:$G16)+1,"")</f>
        <v/>
      </c>
    </row>
    <row r="18">
      <c r="B18" s="6" t="inlineStr">
        <is>
          <t>СистеМед ООО</t>
        </is>
      </c>
      <c r="C18" s="7" t="n">
        <v>1857678.61</v>
      </c>
      <c r="D18" s="6" t="inlineStr">
        <is>
          <t>Медицинские материалы</t>
        </is>
      </c>
      <c r="E18" s="8" t="inlineStr">
        <is>
          <t>медицинские</t>
        </is>
      </c>
      <c r="G18" s="3">
        <f>IF(OR($D18=Свод!$C$5,$E18=Свод!$C$5),MAX($G$5:$G17)+1,"")</f>
        <v/>
      </c>
    </row>
    <row r="19">
      <c r="B19" s="6" t="inlineStr">
        <is>
          <t>ПОКАЛЕНЬЕВ Н. С. ИП</t>
        </is>
      </c>
      <c r="C19" s="7" t="n">
        <v>1740957</v>
      </c>
      <c r="D19" s="6" t="inlineStr">
        <is>
          <t>Гонорары ИП хирургов</t>
        </is>
      </c>
      <c r="E19" s="8" t="inlineStr">
        <is>
          <t>медицинские</t>
        </is>
      </c>
      <c r="G19" s="3">
        <f>IF(OR($D19=Свод!$C$5,$E19=Свод!$C$5),MAX($G$5:$G18)+1,"")</f>
        <v/>
      </c>
    </row>
    <row r="20">
      <c r="B20" s="6" t="inlineStr">
        <is>
          <t>СЛЕСАРЕВ ПАВЕЛ ИГОРЕВИЧ ИП</t>
        </is>
      </c>
      <c r="C20" s="7" t="n">
        <v>1337422</v>
      </c>
      <c r="D20" s="6" t="inlineStr">
        <is>
          <t>Гонорары ИП хирургов</t>
        </is>
      </c>
      <c r="E20" s="8" t="inlineStr">
        <is>
          <t>медицинские</t>
        </is>
      </c>
      <c r="G20" s="3">
        <f>IF(OR($D20=Свод!$C$5,$E20=Свод!$C$5),MAX($G$5:$G19)+1,"")</f>
        <v/>
      </c>
    </row>
    <row r="21">
      <c r="B21" s="6" t="inlineStr">
        <is>
          <t>ДельтаМед ООО</t>
        </is>
      </c>
      <c r="C21" s="7" t="n">
        <v>1157543.1</v>
      </c>
      <c r="D21" s="6" t="inlineStr">
        <is>
          <t>Расходка</t>
        </is>
      </c>
      <c r="E21" s="8" t="inlineStr">
        <is>
          <t>медицинские</t>
        </is>
      </c>
      <c r="G21" s="3">
        <f>IF(OR($D21=Свод!$C$5,$E21=Свод!$C$5),MAX($G$5:$G20)+1,"")</f>
        <v/>
      </c>
    </row>
    <row r="22">
      <c r="B22" s="6" t="inlineStr">
        <is>
          <t>Никифоров Сергей Арнольдович</t>
        </is>
      </c>
      <c r="C22" s="7" t="n">
        <v>1155000</v>
      </c>
      <c r="D22" s="6" t="inlineStr">
        <is>
          <t>Аренда Самокатная 1 стр1</t>
        </is>
      </c>
      <c r="E22" s="8" t="inlineStr">
        <is>
          <t>управленческие</t>
        </is>
      </c>
      <c r="G22" s="3">
        <f>IF(OR($D22=Свод!$C$5,$E22=Свод!$C$5),MAX($G$5:$G21)+1,"")</f>
        <v/>
      </c>
    </row>
    <row r="23">
      <c r="B23" s="6" t="inlineStr">
        <is>
          <t>Врачев Владислав Юрьевич ИП</t>
        </is>
      </c>
      <c r="C23" s="7" t="n">
        <v>927938</v>
      </c>
      <c r="D23" s="6" t="inlineStr">
        <is>
          <t>Гонорары ИП хирургов</t>
        </is>
      </c>
      <c r="E23" s="8" t="inlineStr">
        <is>
          <t>медицинские</t>
        </is>
      </c>
      <c r="G23" s="3">
        <f>IF(OR($D23=Свод!$C$5,$E23=Свод!$C$5),MAX($G$5:$G22)+1,"")</f>
        <v/>
      </c>
    </row>
    <row r="24">
      <c r="B24" s="6" t="inlineStr">
        <is>
          <t>Береснев Алексей Игоревич ИП</t>
        </is>
      </c>
      <c r="C24" s="7" t="n">
        <v>792876</v>
      </c>
      <c r="D24" s="6" t="inlineStr">
        <is>
          <t>Гонорары ИП хирургов</t>
        </is>
      </c>
      <c r="E24" s="8" t="inlineStr">
        <is>
          <t>медицинские</t>
        </is>
      </c>
      <c r="G24" s="3">
        <f>IF(OR($D24=Свод!$C$5,$E24=Свод!$C$5),MAX($G$5:$G23)+1,"")</f>
        <v/>
      </c>
    </row>
    <row r="25">
      <c r="B25" s="6" t="inlineStr">
        <is>
          <t>Макеенко Николай Владимирович ИП</t>
        </is>
      </c>
      <c r="C25" s="7" t="n">
        <v>703266</v>
      </c>
      <c r="D25" s="6" t="inlineStr">
        <is>
          <t>Гонорары ИП хирургов</t>
        </is>
      </c>
      <c r="E25" s="8" t="inlineStr">
        <is>
          <t>медицинские</t>
        </is>
      </c>
      <c r="G25" s="3">
        <f>IF(OR($D25=Свод!$C$5,$E25=Свод!$C$5),MAX($G$5:$G24)+1,"")</f>
        <v/>
      </c>
    </row>
    <row r="26">
      <c r="B26" s="6" t="inlineStr">
        <is>
          <t>ИП КАЧАЯН В.А. ИП</t>
        </is>
      </c>
      <c r="C26" s="7" t="n">
        <v>656611</v>
      </c>
      <c r="D26" s="6" t="inlineStr">
        <is>
          <t>Гонорары ИП хирургов</t>
        </is>
      </c>
      <c r="E26" s="8" t="inlineStr">
        <is>
          <t>медицинские</t>
        </is>
      </c>
      <c r="G26" s="3">
        <f>IF(OR($D26=Свод!$C$5,$E26=Свод!$C$5),MAX($G$5:$G25)+1,"")</f>
        <v/>
      </c>
    </row>
    <row r="27">
      <c r="B27" s="6" t="inlineStr">
        <is>
          <t>Чугуевская Ирина Сергеевна ИП</t>
        </is>
      </c>
      <c r="C27" s="7" t="n">
        <v>570005</v>
      </c>
      <c r="D27" s="6" t="inlineStr">
        <is>
          <t>ИП Чугуевская (ЗП Заведягин ОН)</t>
        </is>
      </c>
      <c r="E27" s="8" t="inlineStr">
        <is>
          <t>медицинские</t>
        </is>
      </c>
      <c r="G27" s="3">
        <f>IF(OR($D27=Свод!$C$5,$E27=Свод!$C$5),MAX($G$5:$G26)+1,"")</f>
        <v/>
      </c>
    </row>
    <row r="28">
      <c r="B28" s="6" t="inlineStr">
        <is>
          <t>СИРИУС ММ ООО</t>
        </is>
      </c>
      <c r="C28" s="7" t="n">
        <v>550653.36</v>
      </c>
      <c r="D28" s="6" t="inlineStr">
        <is>
          <t>Расходка</t>
        </is>
      </c>
      <c r="E28" s="8" t="inlineStr">
        <is>
          <t>медицинские</t>
        </is>
      </c>
      <c r="G28" s="3">
        <f>IF(OR($D28=Свод!$C$5,$E28=Свод!$C$5),MAX($G$5:$G27)+1,"")</f>
        <v/>
      </c>
    </row>
    <row r="29">
      <c r="B29" s="6" t="inlineStr">
        <is>
          <t>Громова Наталья Юрьевна ИП</t>
        </is>
      </c>
      <c r="C29" s="7" t="n">
        <v>516000</v>
      </c>
      <c r="D29" s="6" t="inlineStr">
        <is>
          <t>Ремонт</t>
        </is>
      </c>
      <c r="E29" s="8" t="inlineStr">
        <is>
          <t>управленческие</t>
        </is>
      </c>
      <c r="G29" s="3">
        <f>IF(OR($D29=Свод!$C$5,$E29=Свод!$C$5),MAX($G$5:$G28)+1,"")</f>
        <v/>
      </c>
    </row>
    <row r="30">
      <c r="B30" s="6" t="inlineStr">
        <is>
          <t>КИТ МЕД ООО</t>
        </is>
      </c>
      <c r="C30" s="7" t="n">
        <v>515528</v>
      </c>
      <c r="D30" s="6" t="inlineStr">
        <is>
          <t>Медоборудование 320588 и расходники 194940</t>
        </is>
      </c>
      <c r="E30" s="8" t="inlineStr">
        <is>
          <t>медицинские</t>
        </is>
      </c>
      <c r="G30" s="3">
        <f>IF(OR($D30=Свод!$C$5,$E30=Свод!$C$5),MAX($G$5:$G29)+1,"")</f>
        <v/>
      </c>
    </row>
    <row r="31">
      <c r="B31" s="6" t="inlineStr">
        <is>
          <t>ЦВ ПРОТЕК АО</t>
        </is>
      </c>
      <c r="C31" s="7" t="n">
        <v>477406.58</v>
      </c>
      <c r="D31" s="6" t="inlineStr">
        <is>
          <t>Лекарства</t>
        </is>
      </c>
      <c r="E31" s="8" t="inlineStr">
        <is>
          <t>медицинские</t>
        </is>
      </c>
      <c r="G31" s="3">
        <f>IF(OR($D31=Свод!$C$5,$E31=Свод!$C$5),MAX($G$5:$G30)+1,"")</f>
        <v/>
      </c>
    </row>
    <row r="32">
      <c r="B32" s="6" t="inlineStr">
        <is>
          <t>ИТ-ЭКСПЕРТ ООО</t>
        </is>
      </c>
      <c r="C32" s="7" t="n">
        <v>435435</v>
      </c>
      <c r="D32" s="6" t="inlineStr">
        <is>
          <t>Обслуживание 1СУправление</t>
        </is>
      </c>
      <c r="E32" s="8" t="inlineStr">
        <is>
          <t>управленческие</t>
        </is>
      </c>
      <c r="G32" s="3">
        <f>IF(OR($D32=Свод!$C$5,$E32=Свод!$C$5),MAX($G$5:$G31)+1,"")</f>
        <v/>
      </c>
    </row>
    <row r="33">
      <c r="B33" s="6" t="inlineStr">
        <is>
          <t>АЛЬДЖЕНСА ООО</t>
        </is>
      </c>
      <c r="C33" s="7" t="n">
        <v>376950</v>
      </c>
      <c r="D33" s="6" t="inlineStr">
        <is>
          <t>Питание</t>
        </is>
      </c>
      <c r="E33" s="8" t="inlineStr">
        <is>
          <t>медицинские</t>
        </is>
      </c>
      <c r="G33" s="3">
        <f>IF(OR($D33=Свод!$C$5,$E33=Свод!$C$5),MAX($G$5:$G32)+1,"")</f>
        <v/>
      </c>
    </row>
    <row r="34">
      <c r="B34" s="6" t="inlineStr">
        <is>
          <t>ВИТТА КОМПАНИ ООО</t>
        </is>
      </c>
      <c r="C34" s="7" t="n">
        <v>349946.07</v>
      </c>
      <c r="D34" s="6" t="inlineStr">
        <is>
          <t>Лекарства</t>
        </is>
      </c>
      <c r="E34" s="8" t="inlineStr">
        <is>
          <t>медицинские</t>
        </is>
      </c>
      <c r="G34" s="3">
        <f>IF(OR($D34=Свод!$C$5,$E34=Свод!$C$5),MAX($G$5:$G33)+1,"")</f>
        <v/>
      </c>
    </row>
    <row r="35">
      <c r="B35" s="6" t="inlineStr">
        <is>
          <t>РЕНЕССАНС ЭСТЕТИКА ООО</t>
        </is>
      </c>
      <c r="C35" s="7" t="n">
        <v>331000</v>
      </c>
      <c r="D35" s="6" t="inlineStr">
        <is>
          <t>Импланты</t>
        </is>
      </c>
      <c r="E35" s="8" t="inlineStr">
        <is>
          <t>медицинские</t>
        </is>
      </c>
      <c r="G35" s="3">
        <f>IF(OR($D35=Свод!$C$5,$E35=Свод!$C$5),MAX($G$5:$G34)+1,"")</f>
        <v/>
      </c>
    </row>
    <row r="36">
      <c r="B36" s="6" t="inlineStr">
        <is>
          <t>Электростальский филиал МОКА</t>
        </is>
      </c>
      <c r="C36" s="7" t="n">
        <v>330000</v>
      </c>
      <c r="D36" s="6" t="inlineStr">
        <is>
          <t>Услуги юриста</t>
        </is>
      </c>
      <c r="E36" s="8" t="inlineStr">
        <is>
          <t>управленческие</t>
        </is>
      </c>
      <c r="G36" s="3">
        <f>IF(OR($D36=Свод!$C$5,$E36=Свод!$C$5),MAX($G$5:$G35)+1,"")</f>
        <v/>
      </c>
    </row>
    <row r="37">
      <c r="B37" s="6" t="inlineStr">
        <is>
          <t>Самозанятый Завиркина Лилия Викторовна</t>
        </is>
      </c>
      <c r="C37" s="7" t="n">
        <v>320000</v>
      </c>
      <c r="D37" s="6" t="inlineStr">
        <is>
          <t>Складской учет</t>
        </is>
      </c>
      <c r="E37" s="8" t="inlineStr">
        <is>
          <t>управленческие</t>
        </is>
      </c>
      <c r="G37" s="3">
        <f>IF(OR($D37=Свод!$C$5,$E37=Свод!$C$5),MAX($G$5:$G36)+1,"")</f>
        <v/>
      </c>
    </row>
    <row r="38">
      <c r="B38" s="6" t="inlineStr">
        <is>
          <t>Стародубов Дмитрий Александрович ИП</t>
        </is>
      </c>
      <c r="C38" s="7" t="n">
        <v>293400</v>
      </c>
      <c r="D38" s="6" t="inlineStr">
        <is>
          <t>Медицинские материалы</t>
        </is>
      </c>
      <c r="E38" s="8" t="inlineStr">
        <is>
          <t>медицинские</t>
        </is>
      </c>
      <c r="G38" s="3">
        <f>IF(OR($D38=Свод!$C$5,$E38=Свод!$C$5),MAX($G$5:$G37)+1,"")</f>
        <v/>
      </c>
    </row>
    <row r="39">
      <c r="B39" s="6" t="inlineStr">
        <is>
          <t>ПФ СКБ Контур АО</t>
        </is>
      </c>
      <c r="C39" s="7" t="n">
        <v>279349.86</v>
      </c>
      <c r="D39" s="6" t="inlineStr">
        <is>
          <t>ПО и IT-сервисы</t>
        </is>
      </c>
      <c r="E39" s="8" t="inlineStr">
        <is>
          <t>управленческие</t>
        </is>
      </c>
      <c r="G39" s="3">
        <f>IF(OR($D39=Свод!$C$5,$E39=Свод!$C$5),MAX($G$5:$G38)+1,"")</f>
        <v/>
      </c>
    </row>
    <row r="40">
      <c r="B40" s="6" t="inlineStr">
        <is>
          <t>Выскуб Ольга Анатольевна ИП</t>
        </is>
      </c>
      <c r="C40" s="7" t="n">
        <v>275300</v>
      </c>
      <c r="D40" s="6" t="inlineStr">
        <is>
          <t>Косметология</t>
        </is>
      </c>
      <c r="E40" s="8" t="inlineStr">
        <is>
          <t>управленческие</t>
        </is>
      </c>
      <c r="G40" s="3">
        <f>IF(OR($D40=Свод!$C$5,$E40=Свод!$C$5),MAX($G$5:$G39)+1,"")</f>
        <v/>
      </c>
    </row>
    <row r="41">
      <c r="B41" s="6" t="inlineStr">
        <is>
          <t>РОКЕТ СЕРВИС ООО</t>
        </is>
      </c>
      <c r="C41" s="7" t="n">
        <v>264850</v>
      </c>
      <c r="D41" s="6" t="inlineStr">
        <is>
          <t>Битрикс 24</t>
        </is>
      </c>
      <c r="E41" s="8" t="inlineStr">
        <is>
          <t>управленческие</t>
        </is>
      </c>
      <c r="G41" s="3">
        <f>IF(OR($D41=Свод!$C$5,$E41=Свод!$C$5),MAX($G$5:$G40)+1,"")</f>
        <v/>
      </c>
    </row>
    <row r="42">
      <c r="B42" s="6" t="inlineStr">
        <is>
          <t>ГЕРАСИМОВА А.В. ИП</t>
        </is>
      </c>
      <c r="C42" s="7" t="n">
        <v>260766</v>
      </c>
      <c r="D42" s="6" t="inlineStr">
        <is>
          <t>Гонорары ИП хирургов</t>
        </is>
      </c>
      <c r="E42" s="8" t="inlineStr">
        <is>
          <t>медицинские</t>
        </is>
      </c>
      <c r="G42" s="3">
        <f>IF(OR($D42=Свод!$C$5,$E42=Свод!$C$5),MAX($G$5:$G41)+1,"")</f>
        <v/>
      </c>
    </row>
    <row r="43">
      <c r="B43" s="6" t="inlineStr">
        <is>
          <t>Хафизов Станислав Ильшатович ИП</t>
        </is>
      </c>
      <c r="C43" s="7" t="n">
        <v>254000</v>
      </c>
      <c r="D43" s="6" t="inlineStr">
        <is>
          <t>Сайт</t>
        </is>
      </c>
      <c r="E43" s="8" t="inlineStr">
        <is>
          <t>управленческие</t>
        </is>
      </c>
      <c r="G43" s="3">
        <f>IF(OR($D43=Свод!$C$5,$E43=Свод!$C$5),MAX($G$5:$G42)+1,"")</f>
        <v/>
      </c>
    </row>
    <row r="44">
      <c r="B44" s="6" t="inlineStr">
        <is>
          <t>КРЕЙТ ООО</t>
        </is>
      </c>
      <c r="C44" s="7" t="n">
        <v>246913.68</v>
      </c>
      <c r="D44" s="6" t="inlineStr">
        <is>
          <t>Белье</t>
        </is>
      </c>
      <c r="E44" s="8" t="inlineStr">
        <is>
          <t>медицинские</t>
        </is>
      </c>
      <c r="G44" s="3">
        <f>IF(OR($D44=Свод!$C$5,$E44=Свод!$C$5),MAX($G$5:$G43)+1,"")</f>
        <v/>
      </c>
    </row>
    <row r="45">
      <c r="B45" s="6" t="inlineStr">
        <is>
          <t>МЕДПРО ООО</t>
        </is>
      </c>
      <c r="C45" s="7" t="n">
        <v>235200</v>
      </c>
      <c r="D45" s="6" t="inlineStr">
        <is>
          <t>Белье</t>
        </is>
      </c>
      <c r="E45" s="8" t="inlineStr">
        <is>
          <t>медицинские</t>
        </is>
      </c>
      <c r="G45" s="3">
        <f>IF(OR($D45=Свод!$C$5,$E45=Свод!$C$5),MAX($G$5:$G44)+1,"")</f>
        <v/>
      </c>
    </row>
    <row r="46">
      <c r="B46" s="6" t="inlineStr">
        <is>
          <t>ЛЕ МОНЛИД ООО</t>
        </is>
      </c>
      <c r="C46" s="7" t="n">
        <v>222551.24</v>
      </c>
      <c r="D46" s="6" t="inlineStr">
        <is>
          <t>Ремонт керамогранит</t>
        </is>
      </c>
      <c r="E46" s="8" t="inlineStr">
        <is>
          <t>управленческие</t>
        </is>
      </c>
      <c r="G46" s="3">
        <f>IF(OR($D46=Свод!$C$5,$E46=Свод!$C$5),MAX($G$5:$G45)+1,"")</f>
        <v/>
      </c>
    </row>
    <row r="47">
      <c r="B47" s="6" t="inlineStr">
        <is>
          <t>Рыболова Анастасия Алексеевна ИП</t>
        </is>
      </c>
      <c r="C47" s="7" t="n">
        <v>220000</v>
      </c>
      <c r="D47" s="6" t="inlineStr">
        <is>
          <t>Расходка</t>
        </is>
      </c>
      <c r="E47" s="8" t="inlineStr">
        <is>
          <t>медицинские</t>
        </is>
      </c>
      <c r="G47" s="3">
        <f>IF(OR($D47=Свод!$C$5,$E47=Свод!$C$5),MAX($G$5:$G46)+1,"")</f>
        <v/>
      </c>
    </row>
    <row r="48">
      <c r="B48" s="6" t="inlineStr">
        <is>
          <t>Богачко Елизавета Максимовна ИП</t>
        </is>
      </c>
      <c r="C48" s="7" t="n">
        <v>210000</v>
      </c>
      <c r="D48" s="6" t="inlineStr">
        <is>
          <t>Аренда Inmode</t>
        </is>
      </c>
      <c r="E48" s="8" t="inlineStr">
        <is>
          <t>медицинские</t>
        </is>
      </c>
      <c r="G48" s="3">
        <f>IF(OR($D48=Свод!$C$5,$E48=Свод!$C$5),MAX($G$5:$G47)+1,"")</f>
        <v/>
      </c>
    </row>
    <row r="49">
      <c r="B49" s="6" t="inlineStr">
        <is>
          <t>МЕДИНТОРГ АО</t>
        </is>
      </c>
      <c r="C49" s="7" t="n">
        <v>206303.7</v>
      </c>
      <c r="D49" s="6" t="inlineStr">
        <is>
          <t>Расходка</t>
        </is>
      </c>
      <c r="E49" s="8" t="inlineStr">
        <is>
          <t>медицинские</t>
        </is>
      </c>
      <c r="G49" s="3">
        <f>IF(OR($D49=Свод!$C$5,$E49=Свод!$C$5),MAX($G$5:$G48)+1,"")</f>
        <v/>
      </c>
    </row>
    <row r="50">
      <c r="B50" s="6" t="inlineStr">
        <is>
          <t>ФГБУЗ Центр крови ФМБА России УФК по г.Москве (ФГБУЗ Центр крови ФМБА России) л/с 20736У64550</t>
        </is>
      </c>
      <c r="C50" s="7" t="n">
        <v>181735.9</v>
      </c>
      <c r="D50" s="6" t="inlineStr">
        <is>
          <t>Кровь</t>
        </is>
      </c>
      <c r="E50" s="8" t="inlineStr">
        <is>
          <t>медицинские</t>
        </is>
      </c>
      <c r="G50" s="3">
        <f>IF(OR($D50=Свод!$C$5,$E50=Свод!$C$5),MAX($G$5:$G49)+1,"")</f>
        <v/>
      </c>
    </row>
    <row r="51">
      <c r="B51" s="6" t="inlineStr">
        <is>
          <t>ПЗСПП ООО</t>
        </is>
      </c>
      <c r="C51" s="7" t="n">
        <v>179400</v>
      </c>
      <c r="D51" s="6" t="inlineStr">
        <is>
          <t>Светильники и оборудование</t>
        </is>
      </c>
      <c r="E51" s="8" t="inlineStr">
        <is>
          <t>управленческие</t>
        </is>
      </c>
      <c r="G51" s="3">
        <f>IF(OR($D51=Свод!$C$5,$E51=Свод!$C$5),MAX($G$5:$G50)+1,"")</f>
        <v/>
      </c>
    </row>
    <row r="52">
      <c r="B52" s="6" t="inlineStr">
        <is>
          <t>БЕЛВА ООО ПТК</t>
        </is>
      </c>
      <c r="C52" s="7" t="n">
        <v>173834.16</v>
      </c>
      <c r="D52" s="6" t="inlineStr">
        <is>
          <t>Мед.мебель</t>
        </is>
      </c>
      <c r="E52" s="8" t="inlineStr">
        <is>
          <t>медицинские</t>
        </is>
      </c>
      <c r="G52" s="3">
        <f>IF(OR($D52=Свод!$C$5,$E52=Свод!$C$5),MAX($G$5:$G51)+1,"")</f>
        <v/>
      </c>
    </row>
    <row r="53">
      <c r="B53" s="6" t="inlineStr">
        <is>
          <t>Самозанятый Маланичев Юрий Васильевич</t>
        </is>
      </c>
      <c r="C53" s="7" t="n">
        <v>159575</v>
      </c>
      <c r="D53" s="6" t="inlineStr">
        <is>
          <t>Услуги инженера</t>
        </is>
      </c>
      <c r="E53" s="8" t="inlineStr">
        <is>
          <t>управленческие</t>
        </is>
      </c>
      <c r="G53" s="3">
        <f>IF(OR($D53=Свод!$C$5,$E53=Свод!$C$5),MAX($G$5:$G52)+1,"")</f>
        <v/>
      </c>
    </row>
    <row r="54">
      <c r="B54" s="6" t="inlineStr">
        <is>
          <t>КОМУС ООО</t>
        </is>
      </c>
      <c r="C54" s="7" t="n">
        <v>157671.72</v>
      </c>
      <c r="D54" s="6" t="inlineStr">
        <is>
          <t>Канц и хоз расходы</t>
        </is>
      </c>
      <c r="E54" s="8" t="inlineStr">
        <is>
          <t>управленческие</t>
        </is>
      </c>
      <c r="G54" s="3">
        <f>IF(OR($D54=Свод!$C$5,$E54=Свод!$C$5),MAX($G$5:$G53)+1,"")</f>
        <v/>
      </c>
    </row>
    <row r="55">
      <c r="B55" s="6" t="inlineStr">
        <is>
          <t>ИМОТИО ООО</t>
        </is>
      </c>
      <c r="C55" s="7" t="n">
        <v>152250</v>
      </c>
      <c r="D55" s="6" t="inlineStr">
        <is>
          <t>Сервис речевой аналитики</t>
        </is>
      </c>
      <c r="E55" s="8" t="inlineStr">
        <is>
          <t>управленческие</t>
        </is>
      </c>
      <c r="G55" s="3">
        <f>IF(OR($D55=Свод!$C$5,$E55=Свод!$C$5),MAX($G$5:$G54)+1,"")</f>
        <v/>
      </c>
    </row>
    <row r="56">
      <c r="B56" s="6" t="inlineStr">
        <is>
          <t>Кудря Дарья Сергеевна ИП</t>
        </is>
      </c>
      <c r="C56" s="7" t="n">
        <v>149600</v>
      </c>
      <c r="D56" s="6" t="inlineStr">
        <is>
          <t>Фото видео</t>
        </is>
      </c>
      <c r="E56" s="8" t="inlineStr">
        <is>
          <t>управленческие</t>
        </is>
      </c>
      <c r="G56" s="3">
        <f>IF(OR($D56=Свод!$C$5,$E56=Свод!$C$5),MAX($G$5:$G55)+1,"")</f>
        <v/>
      </c>
    </row>
    <row r="57">
      <c r="B57" s="6" t="inlineStr">
        <is>
          <t>АЛКАНА А ООО</t>
        </is>
      </c>
      <c r="C57" s="7" t="n">
        <v>82000</v>
      </c>
      <c r="D57" s="6" t="inlineStr">
        <is>
          <t>Медицинские материалы</t>
        </is>
      </c>
      <c r="E57" s="8" t="inlineStr">
        <is>
          <t>медицинские</t>
        </is>
      </c>
      <c r="G57" s="3">
        <f>IF(OR($D57=Свод!$C$5,$E57=Свод!$C$5),MAX($G$5:$G56)+1,"")</f>
        <v/>
      </c>
    </row>
    <row r="58">
      <c r="B58" s="6" t="inlineStr">
        <is>
          <t>ИТМЕДИКАЛ ООО</t>
        </is>
      </c>
      <c r="C58" s="7" t="n">
        <v>136000</v>
      </c>
      <c r="D58" s="6" t="inlineStr">
        <is>
          <t>Импланты</t>
        </is>
      </c>
      <c r="E58" s="8" t="inlineStr">
        <is>
          <t>медицинские</t>
        </is>
      </c>
      <c r="G58" s="3">
        <f>IF(OR($D58=Свод!$C$5,$E58=Свод!$C$5),MAX($G$5:$G57)+1,"")</f>
        <v/>
      </c>
    </row>
    <row r="59">
      <c r="B59" s="6" t="inlineStr">
        <is>
          <t>ТД ТИНКО ООО</t>
        </is>
      </c>
      <c r="C59" s="7" t="n">
        <v>118740.75</v>
      </c>
      <c r="D59" s="6" t="inlineStr">
        <is>
          <t>Ремонт Самокатная 1 стр.12</t>
        </is>
      </c>
      <c r="E59" s="9" t="inlineStr">
        <is>
          <t>управленческие</t>
        </is>
      </c>
      <c r="G59" s="3">
        <f>IF(OR($D59=Свод!$C$5,$E59=Свод!$C$5),MAX($G$5:$G58)+1,"")</f>
        <v/>
      </c>
    </row>
    <row r="60">
      <c r="B60" s="6" t="inlineStr">
        <is>
          <t>Елизаров Андрей Владимирович ИП</t>
        </is>
      </c>
      <c r="C60" s="7" t="n">
        <v>118735.06</v>
      </c>
      <c r="D60" s="6" t="inlineStr">
        <is>
          <t>IT услуги</t>
        </is>
      </c>
      <c r="E60" s="8" t="inlineStr">
        <is>
          <t>управленческие</t>
        </is>
      </c>
      <c r="G60" s="3">
        <f>IF(OR($D60=Свод!$C$5,$E60=Свод!$C$5),MAX($G$5:$G59)+1,"")</f>
        <v/>
      </c>
    </row>
    <row r="61">
      <c r="B61" s="6" t="inlineStr">
        <is>
          <t>А410 ООО</t>
        </is>
      </c>
      <c r="C61" s="7" t="n">
        <v>114858</v>
      </c>
      <c r="D61" s="6" t="inlineStr">
        <is>
          <t>Косметология</t>
        </is>
      </c>
      <c r="E61" s="8" t="inlineStr">
        <is>
          <t>управленческие</t>
        </is>
      </c>
      <c r="G61" s="3">
        <f>IF(OR($D61=Свод!$C$5,$E61=Свод!$C$5),MAX($G$5:$G60)+1,"")</f>
        <v/>
      </c>
    </row>
    <row r="62">
      <c r="B62" s="6" t="inlineStr">
        <is>
          <t>Ершов Эдуард Владимирович ИП</t>
        </is>
      </c>
      <c r="C62" s="7" t="n">
        <v>111300</v>
      </c>
      <c r="D62" s="6" t="inlineStr">
        <is>
          <t>Фото видео</t>
        </is>
      </c>
      <c r="E62" s="8" t="inlineStr">
        <is>
          <t>управленческие</t>
        </is>
      </c>
      <c r="G62" s="3">
        <f>IF(OR($D62=Свод!$C$5,$E62=Свод!$C$5),MAX($G$5:$G61)+1,"")</f>
        <v/>
      </c>
    </row>
    <row r="63">
      <c r="B63" s="6" t="inlineStr">
        <is>
          <t>МИА ООО</t>
        </is>
      </c>
      <c r="C63" s="7" t="n">
        <v>110000</v>
      </c>
      <c r="D63" s="6" t="inlineStr">
        <is>
          <t>Белье</t>
        </is>
      </c>
      <c r="E63" s="8" t="inlineStr">
        <is>
          <t>медицинские</t>
        </is>
      </c>
      <c r="G63" s="3">
        <f>IF(OR($D63=Свод!$C$5,$E63=Свод!$C$5),MAX($G$5:$G62)+1,"")</f>
        <v/>
      </c>
    </row>
    <row r="64">
      <c r="B64" s="6" t="inlineStr">
        <is>
          <t>Дубровина Юлия Игоревна ИП</t>
        </is>
      </c>
      <c r="C64" s="7" t="n">
        <v>104374</v>
      </c>
      <c r="D64" s="6" t="inlineStr">
        <is>
          <t>Гонорары ИП хирургов</t>
        </is>
      </c>
      <c r="E64" s="8" t="inlineStr">
        <is>
          <t>медицинские</t>
        </is>
      </c>
      <c r="G64" s="3">
        <f>IF(OR($D64=Свод!$C$5,$E64=Свод!$C$5),MAX($G$5:$G63)+1,"")</f>
        <v/>
      </c>
    </row>
    <row r="65">
      <c r="B65" s="6" t="inlineStr">
        <is>
          <t>КДЛ ДОМОДЕДОВО-ТЕСТ ООО</t>
        </is>
      </c>
      <c r="C65" s="7" t="n">
        <v>102102</v>
      </c>
      <c r="D65" s="6" t="inlineStr">
        <is>
          <t>Анализы</t>
        </is>
      </c>
      <c r="E65" s="8" t="inlineStr">
        <is>
          <t>медицинские</t>
        </is>
      </c>
      <c r="G65" s="3">
        <f>IF(OR($D65=Свод!$C$5,$E65=Свод!$C$5),MAX($G$5:$G64)+1,"")</f>
        <v/>
      </c>
    </row>
    <row r="66">
      <c r="B66" s="6" t="inlineStr">
        <is>
          <t>Звоник Юрий Алексеевич</t>
        </is>
      </c>
      <c r="C66" s="7" t="n">
        <v>100000</v>
      </c>
      <c r="D66" s="6" t="inlineStr">
        <is>
          <t>Реклама</t>
        </is>
      </c>
      <c r="E66" s="8" t="inlineStr">
        <is>
          <t>управленческие</t>
        </is>
      </c>
      <c r="G66" s="3">
        <f>IF(OR($D66=Свод!$C$5,$E66=Свод!$C$5),MAX($G$5:$G65)+1,"")</f>
        <v/>
      </c>
    </row>
    <row r="67">
      <c r="B67" s="6" t="inlineStr">
        <is>
          <t>ЯНДЕКС.ТАКСИ ООО</t>
        </is>
      </c>
      <c r="C67" s="7" t="n">
        <v>100000</v>
      </c>
      <c r="D67" s="6" t="inlineStr">
        <is>
          <t>Такси</t>
        </is>
      </c>
      <c r="E67" s="8" t="inlineStr">
        <is>
          <t>управленческие</t>
        </is>
      </c>
      <c r="G67" s="3">
        <f>IF(OR($D67=Свод!$C$5,$E67=Свод!$C$5),MAX($G$5:$G66)+1,"")</f>
        <v/>
      </c>
    </row>
    <row r="68">
      <c r="B68" s="6" t="inlineStr">
        <is>
          <t>ТЕХПРОФИТ ООО</t>
        </is>
      </c>
      <c r="C68" s="7" t="n">
        <v>99200</v>
      </c>
      <c r="D68" s="6" t="inlineStr">
        <is>
          <t>IT услуги</t>
        </is>
      </c>
      <c r="E68" s="8" t="inlineStr">
        <is>
          <t>управленческие</t>
        </is>
      </c>
      <c r="G68" s="3">
        <f>IF(OR($D68=Свод!$C$5,$E68=Свод!$C$5),MAX($G$5:$G67)+1,"")</f>
        <v/>
      </c>
    </row>
    <row r="69">
      <c r="B69" s="6" t="inlineStr">
        <is>
          <t>Самозанятый Дроздецкий Дмитрий Александрович</t>
        </is>
      </c>
      <c r="C69" s="7" t="n">
        <v>90100</v>
      </c>
      <c r="D69" s="6" t="inlineStr">
        <is>
          <t>Реклама</t>
        </is>
      </c>
      <c r="E69" s="8" t="inlineStr">
        <is>
          <t>управленческие</t>
        </is>
      </c>
      <c r="G69" s="3">
        <f>IF(OR($D69=Свод!$C$5,$E69=Свод!$C$5),MAX($G$5:$G68)+1,"")</f>
        <v/>
      </c>
    </row>
    <row r="70">
      <c r="B70" s="6" t="inlineStr">
        <is>
          <t>ДельтаМедКомпани ООО</t>
        </is>
      </c>
      <c r="C70" s="7" t="n">
        <v>87600</v>
      </c>
      <c r="D70" s="6" t="inlineStr">
        <is>
          <t>Расходка</t>
        </is>
      </c>
      <c r="E70" s="8" t="inlineStr">
        <is>
          <t>медицинские</t>
        </is>
      </c>
      <c r="G70" s="3">
        <f>IF(OR($D70=Свод!$C$5,$E70=Свод!$C$5),MAX($G$5:$G69)+1,"")</f>
        <v/>
      </c>
    </row>
    <row r="71">
      <c r="B71" s="6" t="inlineStr">
        <is>
          <t>ИННОВАЦИОННЫЕ ТЕХНОЛОГИИ ООО</t>
        </is>
      </c>
      <c r="C71" s="7" t="n">
        <v>85000</v>
      </c>
      <c r="D71" s="6" t="inlineStr">
        <is>
          <t>Внедрение финансового учёта</t>
        </is>
      </c>
      <c r="E71" s="8" t="inlineStr">
        <is>
          <t>управленческие</t>
        </is>
      </c>
      <c r="G71" s="3">
        <f>IF(OR($D71=Свод!$C$5,$E71=Свод!$C$5),MAX($G$5:$G70)+1,"")</f>
        <v/>
      </c>
    </row>
    <row r="72">
      <c r="B72" s="6" t="inlineStr">
        <is>
          <t>ЦЕНТР-ОТЕЛЬ ООО</t>
        </is>
      </c>
      <c r="C72" s="7" t="n">
        <v>81075</v>
      </c>
      <c r="D72" s="6" t="inlineStr">
        <is>
          <t>Краснодар</t>
        </is>
      </c>
      <c r="E72" s="8" t="inlineStr">
        <is>
          <t>управленческие</t>
        </is>
      </c>
      <c r="G72" s="3">
        <f>IF(OR($D72=Свод!$C$5,$E72=Свод!$C$5),MAX($G$5:$G71)+1,"")</f>
        <v/>
      </c>
    </row>
    <row r="73">
      <c r="B73" s="6" t="inlineStr">
        <is>
          <t>М-ИНВЕСТ ООО</t>
        </is>
      </c>
      <c r="C73" s="7" t="n">
        <v>77412</v>
      </c>
      <c r="D73" s="6" t="inlineStr">
        <is>
          <t>Медицинские материалы</t>
        </is>
      </c>
      <c r="E73" s="8" t="inlineStr">
        <is>
          <t>медицинские</t>
        </is>
      </c>
      <c r="G73" s="3">
        <f>IF(OR($D73=Свод!$C$5,$E73=Свод!$C$5),MAX($G$5:$G72)+1,"")</f>
        <v/>
      </c>
    </row>
    <row r="74">
      <c r="B74" s="6" t="inlineStr">
        <is>
          <t>ИНТЕРНЕТ РЕШЕНИЯ ООО</t>
        </is>
      </c>
      <c r="C74" s="7" t="n">
        <v>78090</v>
      </c>
      <c r="D74" s="6" t="inlineStr">
        <is>
          <t>Хоз расходы</t>
        </is>
      </c>
      <c r="E74" s="8" t="inlineStr">
        <is>
          <t>управленческие</t>
        </is>
      </c>
      <c r="G74" s="3">
        <f>IF(OR($D74=Свод!$C$5,$E74=Свод!$C$5),MAX($G$5:$G73)+1,"")</f>
        <v/>
      </c>
    </row>
    <row r="75">
      <c r="B75" s="6" t="inlineStr">
        <is>
          <t>ДЕЗНЭТ ООО</t>
        </is>
      </c>
      <c r="C75" s="7" t="n">
        <v>76940</v>
      </c>
      <c r="D75" s="6" t="inlineStr">
        <is>
          <t>Медицинские материалы</t>
        </is>
      </c>
      <c r="E75" s="8" t="inlineStr">
        <is>
          <t>медицинские</t>
        </is>
      </c>
      <c r="G75" s="3">
        <f>IF(OR($D75=Свод!$C$5,$E75=Свод!$C$5),MAX($G$5:$G74)+1,"")</f>
        <v/>
      </c>
    </row>
    <row r="76">
      <c r="B76" s="6" t="inlineStr">
        <is>
          <t>Самозанятый Лукина Екатерина Витальевна</t>
        </is>
      </c>
      <c r="C76" s="7" t="n">
        <v>76540</v>
      </c>
      <c r="D76" s="6" t="inlineStr">
        <is>
          <t>Фото видео</t>
        </is>
      </c>
      <c r="E76" s="8" t="inlineStr">
        <is>
          <t>управленческие</t>
        </is>
      </c>
      <c r="G76" s="3">
        <f>IF(OR($D76=Свод!$C$5,$E76=Свод!$C$5),MAX($G$5:$G75)+1,"")</f>
        <v/>
      </c>
    </row>
    <row r="77">
      <c r="B77" s="6" t="inlineStr">
        <is>
          <t>ПРОМТЕКСТИЛЬ ООО ТД</t>
        </is>
      </c>
      <c r="C77" s="7" t="n">
        <v>76000</v>
      </c>
      <c r="D77" s="6" t="inlineStr">
        <is>
          <t>Медицинские материалы</t>
        </is>
      </c>
      <c r="E77" s="8" t="inlineStr">
        <is>
          <t>медицинские</t>
        </is>
      </c>
      <c r="G77" s="3">
        <f>IF(OR($D77=Свод!$C$5,$E77=Свод!$C$5),MAX($G$5:$G76)+1,"")</f>
        <v/>
      </c>
    </row>
    <row r="78">
      <c r="B78" s="6" t="inlineStr">
        <is>
          <t>Самозанятый Орлов Сергей Юрьевич</t>
        </is>
      </c>
      <c r="C78" s="7" t="n">
        <v>72360</v>
      </c>
      <c r="D78" s="6" t="inlineStr">
        <is>
          <t>Общехозяйственные</t>
        </is>
      </c>
      <c r="E78" s="8" t="inlineStr">
        <is>
          <t>управленческие</t>
        </is>
      </c>
      <c r="G78" s="3">
        <f>IF(OR($D78=Свод!$C$5,$E78=Свод!$C$5),MAX($G$5:$G77)+1,"")</f>
        <v/>
      </c>
    </row>
    <row r="79">
      <c r="B79" s="6" t="inlineStr">
        <is>
          <t>Евтеев Александр Викторович Самозанятый</t>
        </is>
      </c>
      <c r="C79" s="7" t="n">
        <v>64756</v>
      </c>
      <c r="D79" s="6" t="inlineStr">
        <is>
          <t>Общехозяйственные</t>
        </is>
      </c>
      <c r="E79" s="8" t="inlineStr">
        <is>
          <t>управленческие</t>
        </is>
      </c>
      <c r="G79" s="3">
        <f>IF(OR($D79=Свод!$C$5,$E79=Свод!$C$5),MAX($G$5:$G78)+1,"")</f>
        <v/>
      </c>
    </row>
    <row r="80">
      <c r="B80" s="6" t="inlineStr">
        <is>
          <t>АЛКАНА М ООО</t>
        </is>
      </c>
      <c r="C80" s="7" t="n">
        <v>64600</v>
      </c>
      <c r="D80" s="6" t="inlineStr">
        <is>
          <t>Косметология</t>
        </is>
      </c>
      <c r="E80" s="8" t="inlineStr">
        <is>
          <t>управленческие</t>
        </is>
      </c>
      <c r="G80" s="3">
        <f>IF(OR($D80=Свод!$C$5,$E80=Свод!$C$5),MAX($G$5:$G79)+1,"")</f>
        <v/>
      </c>
    </row>
    <row r="81">
      <c r="B81" s="6" t="inlineStr">
        <is>
          <t>СитиМед ООО</t>
        </is>
      </c>
      <c r="C81" s="7" t="n">
        <v>63600</v>
      </c>
      <c r="D81" s="6" t="inlineStr">
        <is>
          <t>Бланки, мед.журналы, мед.книжки</t>
        </is>
      </c>
      <c r="E81" s="8" t="inlineStr">
        <is>
          <t>медицинские</t>
        </is>
      </c>
      <c r="G81" s="3">
        <f>IF(OR($D81=Свод!$C$5,$E81=Свод!$C$5),MAX($G$5:$G80)+1,"")</f>
        <v/>
      </c>
    </row>
    <row r="82">
      <c r="B82" s="6" t="inlineStr">
        <is>
          <t>ЭКОТЕХПРОМ АО</t>
        </is>
      </c>
      <c r="C82" s="7" t="n">
        <v>52136.72</v>
      </c>
      <c r="D82" s="6" t="inlineStr">
        <is>
          <t>Вывоз ТКО и мед отходов</t>
        </is>
      </c>
      <c r="E82" s="8" t="inlineStr">
        <is>
          <t>медицинские</t>
        </is>
      </c>
      <c r="G82" s="3">
        <f>IF(OR($D82=Свод!$C$5,$E82=Свод!$C$5),MAX($G$5:$G81)+1,"")</f>
        <v/>
      </c>
    </row>
    <row r="83">
      <c r="B83" s="6" t="inlineStr">
        <is>
          <t>МЕДИКЛЦЕНТРСЕРВИС ООО</t>
        </is>
      </c>
      <c r="C83" s="7" t="n">
        <v>51760</v>
      </c>
      <c r="D83" s="6" t="inlineStr">
        <is>
          <t>Стиральный порошок</t>
        </is>
      </c>
      <c r="E83" s="8" t="inlineStr">
        <is>
          <t>медицинские</t>
        </is>
      </c>
      <c r="G83" s="3">
        <f>IF(OR($D83=Свод!$C$5,$E83=Свод!$C$5),MAX($G$5:$G82)+1,"")</f>
        <v/>
      </c>
    </row>
    <row r="84">
      <c r="B84" s="6" t="inlineStr">
        <is>
          <t>КРИОФАРМ ООО</t>
        </is>
      </c>
      <c r="C84" s="7" t="n">
        <v>51675</v>
      </c>
      <c r="D84" s="6" t="inlineStr">
        <is>
          <t>Медицинские материалы</t>
        </is>
      </c>
      <c r="E84" s="8" t="inlineStr">
        <is>
          <t>медицинские</t>
        </is>
      </c>
      <c r="G84" s="3">
        <f>IF(OR($D84=Свод!$C$5,$E84=Свод!$C$5),MAX($G$5:$G83)+1,"")</f>
        <v/>
      </c>
    </row>
    <row r="85">
      <c r="B85" s="6" t="inlineStr">
        <is>
          <t>БАРИСТА ООО</t>
        </is>
      </c>
      <c r="C85" s="7" t="n">
        <v>48301.44</v>
      </c>
      <c r="D85" s="6" t="inlineStr">
        <is>
          <t>Кофе</t>
        </is>
      </c>
      <c r="E85" s="8" t="inlineStr">
        <is>
          <t>управленческие</t>
        </is>
      </c>
      <c r="G85" s="3">
        <f>IF(OR($D85=Свод!$C$5,$E85=Свод!$C$5),MAX($G$5:$G84)+1,"")</f>
        <v/>
      </c>
    </row>
    <row r="86">
      <c r="B86" s="6" t="inlineStr">
        <is>
          <t>СИСТЕМА ООО</t>
        </is>
      </c>
      <c r="C86" s="7" t="n">
        <v>48285.78</v>
      </c>
      <c r="D86" s="6" t="inlineStr">
        <is>
          <t>Медицинские материалы</t>
        </is>
      </c>
      <c r="E86" s="8" t="inlineStr">
        <is>
          <t>медицинские</t>
        </is>
      </c>
      <c r="G86" s="3">
        <f>IF(OR($D86=Свод!$C$5,$E86=Свод!$C$5),MAX($G$5:$G85)+1,"")</f>
        <v/>
      </c>
    </row>
    <row r="87">
      <c r="B87" s="6" t="inlineStr">
        <is>
          <t>Семин Сергей Владиславович</t>
        </is>
      </c>
      <c r="C87" s="7" t="n">
        <v>40000</v>
      </c>
      <c r="D87" s="6" t="inlineStr">
        <is>
          <t>Цветы</t>
        </is>
      </c>
      <c r="E87" s="8" t="inlineStr">
        <is>
          <t>управленческие</t>
        </is>
      </c>
      <c r="G87" s="3">
        <f>IF(OR($D87=Свод!$C$5,$E87=Свод!$C$5),MAX($G$5:$G86)+1,"")</f>
        <v/>
      </c>
    </row>
    <row r="88">
      <c r="B88" s="6" t="inlineStr">
        <is>
          <t>КОЛТАЧ СОЛЮШНС ООО</t>
        </is>
      </c>
      <c r="C88" s="7" t="n">
        <v>39200</v>
      </c>
      <c r="D88" s="6" t="inlineStr">
        <is>
          <t>Программное обнспечение</t>
        </is>
      </c>
      <c r="E88" s="8" t="inlineStr">
        <is>
          <t>управленческие</t>
        </is>
      </c>
      <c r="G88" s="3">
        <f>IF(OR($D88=Свод!$C$5,$E88=Свод!$C$5),MAX($G$5:$G87)+1,"")</f>
        <v/>
      </c>
    </row>
    <row r="89">
      <c r="B89" s="6" t="inlineStr">
        <is>
          <t>СМБ-СЕРВИС ООО</t>
        </is>
      </c>
      <c r="C89" s="7" t="n">
        <v>37700</v>
      </c>
      <c r="D89" s="6" t="inlineStr">
        <is>
          <t>Реклама</t>
        </is>
      </c>
      <c r="E89" s="8" t="inlineStr">
        <is>
          <t>управленческие</t>
        </is>
      </c>
      <c r="G89" s="3">
        <f>IF(OR($D89=Свод!$C$5,$E89=Свод!$C$5),MAX($G$5:$G88)+1,"")</f>
        <v/>
      </c>
    </row>
    <row r="90">
      <c r="B90" s="6" t="inlineStr">
        <is>
          <t>ГРАНД КОМФОРТ ООО</t>
        </is>
      </c>
      <c r="C90" s="7" t="n">
        <v>37568</v>
      </c>
      <c r="D90" s="6" t="inlineStr">
        <is>
          <t>Средства гигиены</t>
        </is>
      </c>
      <c r="E90" s="8" t="inlineStr">
        <is>
          <t>управленческие</t>
        </is>
      </c>
      <c r="G90" s="3">
        <f>IF(OR($D90=Свод!$C$5,$E90=Свод!$C$5),MAX($G$5:$G89)+1,"")</f>
        <v/>
      </c>
    </row>
    <row r="91">
      <c r="B91" s="6" t="inlineStr">
        <is>
          <t>ДОКТОР ДИСКАУНТ ООО</t>
        </is>
      </c>
      <c r="C91" s="7" t="n">
        <v>35920.61</v>
      </c>
      <c r="D91" s="6" t="inlineStr">
        <is>
          <t>Мед.инструмент</t>
        </is>
      </c>
      <c r="E91" s="8" t="inlineStr">
        <is>
          <t>медицинские</t>
        </is>
      </c>
      <c r="G91" s="3">
        <f>IF(OR($D91=Свод!$C$5,$E91=Свод!$C$5),MAX($G$5:$G90)+1,"")</f>
        <v/>
      </c>
    </row>
    <row r="92">
      <c r="B92" s="6" t="inlineStr">
        <is>
          <t>Селектел АО</t>
        </is>
      </c>
      <c r="C92" s="7" t="n">
        <v>30000</v>
      </c>
      <c r="D92" s="6" t="inlineStr">
        <is>
          <t>IT услуги</t>
        </is>
      </c>
      <c r="E92" s="8" t="inlineStr">
        <is>
          <t>управленческие</t>
        </is>
      </c>
      <c r="G92" s="3">
        <f>IF(OR($D92=Свод!$C$5,$E92=Свод!$C$5),MAX($G$5:$G91)+1,"")</f>
        <v/>
      </c>
    </row>
    <row r="93">
      <c r="B93" s="6" t="inlineStr">
        <is>
          <t>МЕДЛИГА АО</t>
        </is>
      </c>
      <c r="C93" s="7" t="n">
        <v>29800</v>
      </c>
      <c r="D93" s="6" t="inlineStr">
        <is>
          <t>Медоборудование</t>
        </is>
      </c>
      <c r="E93" s="8" t="inlineStr">
        <is>
          <t>медицинские</t>
        </is>
      </c>
      <c r="G93" s="3">
        <f>IF(OR($D93=Свод!$C$5,$E93=Свод!$C$5),MAX($G$5:$G92)+1,"")</f>
        <v/>
      </c>
    </row>
    <row r="94">
      <c r="B94" s="6" t="inlineStr">
        <is>
          <t>ХЭДХАНТЕР ООО</t>
        </is>
      </c>
      <c r="C94" s="7" t="n">
        <v>27629</v>
      </c>
      <c r="D94" s="6" t="inlineStr">
        <is>
          <t>Подбор персонала</t>
        </is>
      </c>
      <c r="E94" s="8" t="inlineStr">
        <is>
          <t>управленческие</t>
        </is>
      </c>
      <c r="G94" s="3">
        <f>IF(OR($D94=Свод!$C$5,$E94=Свод!$C$5),MAX($G$5:$G93)+1,"")</f>
        <v/>
      </c>
    </row>
    <row r="95">
      <c r="B95" s="6" t="inlineStr">
        <is>
          <t>ЭКМУС ООО</t>
        </is>
      </c>
      <c r="C95" s="7" t="n">
        <v>23625</v>
      </c>
      <c r="D95" s="6" t="inlineStr">
        <is>
          <t>Утилизация медотходов</t>
        </is>
      </c>
      <c r="E95" s="8" t="inlineStr">
        <is>
          <t>медицинские</t>
        </is>
      </c>
      <c r="G95" s="3">
        <f>IF(OR($D95=Свод!$C$5,$E95=Свод!$C$5),MAX($G$5:$G94)+1,"")</f>
        <v/>
      </c>
    </row>
    <row r="96">
      <c r="B96" s="6" t="inlineStr">
        <is>
          <t>МЕТАЛЛИЧЕСКАЯ МЕБЕЛЬ ООО</t>
        </is>
      </c>
      <c r="C96" s="7" t="n">
        <v>22130</v>
      </c>
      <c r="D96" s="6" t="inlineStr">
        <is>
          <t>Мебель, инвентарь</t>
        </is>
      </c>
      <c r="E96" s="8" t="inlineStr">
        <is>
          <t>управленческие</t>
        </is>
      </c>
      <c r="G96" s="3">
        <f>IF(OR($D96=Свод!$C$5,$E96=Свод!$C$5),MAX($G$5:$G95)+1,"")</f>
        <v/>
      </c>
    </row>
    <row r="97">
      <c r="B97" s="6" t="inlineStr">
        <is>
          <t>МАНГО ТЕЛЕКОМ ООО</t>
        </is>
      </c>
      <c r="C97" s="7" t="n">
        <v>20000</v>
      </c>
      <c r="D97" s="6" t="inlineStr">
        <is>
          <t>Связь</t>
        </is>
      </c>
      <c r="E97" s="8" t="inlineStr">
        <is>
          <t>управленческие</t>
        </is>
      </c>
      <c r="G97" s="3">
        <f>IF(OR($D97=Свод!$C$5,$E97=Свод!$C$5),MAX($G$5:$G96)+1,"")</f>
        <v/>
      </c>
    </row>
    <row r="98">
      <c r="B98" s="6" t="inlineStr">
        <is>
          <t>ТАТАРОВА В. Г. ИП</t>
        </is>
      </c>
      <c r="C98" s="7" t="n">
        <v>20000</v>
      </c>
      <c r="D98" s="6" t="inlineStr">
        <is>
          <t>Вода</t>
        </is>
      </c>
      <c r="E98" s="8" t="inlineStr">
        <is>
          <t>управленческие</t>
        </is>
      </c>
      <c r="G98" s="3">
        <f>IF(OR($D98=Свод!$C$5,$E98=Свод!$C$5),MAX($G$5:$G97)+1,"")</f>
        <v/>
      </c>
    </row>
    <row r="99">
      <c r="B99" s="6" t="inlineStr">
        <is>
          <t>ТАКСКОМ ООО</t>
        </is>
      </c>
      <c r="C99" s="7" t="n">
        <v>17900</v>
      </c>
      <c r="D99" s="6" t="inlineStr">
        <is>
          <t>Техподдержка ККТ</t>
        </is>
      </c>
      <c r="E99" s="8" t="inlineStr">
        <is>
          <t>управленческие</t>
        </is>
      </c>
      <c r="G99" s="3">
        <f>IF(OR($D99=Свод!$C$5,$E99=Свод!$C$5),MAX($G$5:$G98)+1,"")</f>
        <v/>
      </c>
    </row>
    <row r="100">
      <c r="B100" s="6" t="inlineStr">
        <is>
          <t>МРК-СНАБ ООО</t>
        </is>
      </c>
      <c r="C100" s="7" t="n">
        <v>17750</v>
      </c>
      <c r="D100" s="6" t="inlineStr">
        <is>
          <t>Расходка</t>
        </is>
      </c>
      <c r="E100" s="8" t="inlineStr">
        <is>
          <t>медицинские</t>
        </is>
      </c>
      <c r="G100" s="3">
        <f>IF(OR($D100=Свод!$C$5,$E100=Свод!$C$5),MAX($G$5:$G99)+1,"")</f>
        <v/>
      </c>
    </row>
    <row r="101">
      <c r="B101" s="6" t="inlineStr">
        <is>
          <t>ОнЛайн Трейд ООО</t>
        </is>
      </c>
      <c r="C101" s="7" t="n">
        <v>17740</v>
      </c>
      <c r="D101" s="6" t="inlineStr">
        <is>
          <t>Электрооборудование</t>
        </is>
      </c>
      <c r="E101" s="8" t="inlineStr">
        <is>
          <t>управленческие</t>
        </is>
      </c>
      <c r="G101" s="3">
        <f>IF(OR($D101=Свод!$C$5,$E101=Свод!$C$5),MAX($G$5:$G100)+1,"")</f>
        <v/>
      </c>
    </row>
    <row r="102">
      <c r="B102" s="6" t="inlineStr">
        <is>
          <t>КантриКом АО</t>
        </is>
      </c>
      <c r="C102" s="7" t="n">
        <v>17568</v>
      </c>
      <c r="D102" s="6" t="inlineStr">
        <is>
          <t>Связь</t>
        </is>
      </c>
      <c r="E102" s="8" t="inlineStr">
        <is>
          <t>управленческие</t>
        </is>
      </c>
      <c r="G102" s="3">
        <f>IF(OR($D102=Свод!$C$5,$E102=Свод!$C$5),MAX($G$5:$G101)+1,"")</f>
        <v/>
      </c>
    </row>
    <row r="103">
      <c r="B103" s="6" t="inlineStr">
        <is>
          <t>ЧОО Спектр секъюрити ООО</t>
        </is>
      </c>
      <c r="C103" s="7" t="n">
        <v>16800</v>
      </c>
      <c r="D103" s="6" t="inlineStr">
        <is>
          <t>Охрана</t>
        </is>
      </c>
      <c r="E103" s="8" t="inlineStr">
        <is>
          <t>управленческие</t>
        </is>
      </c>
      <c r="G103" s="3">
        <f>IF(OR($D103=Свод!$C$5,$E103=Свод!$C$5),MAX($G$5:$G102)+1,"")</f>
        <v/>
      </c>
    </row>
    <row r="104">
      <c r="B104" s="6" t="inlineStr">
        <is>
          <t>ВЕСТ КОЛЛ ЛТД ООО</t>
        </is>
      </c>
      <c r="C104" s="7" t="n">
        <v>16235.15</v>
      </c>
      <c r="D104" s="6" t="inlineStr">
        <is>
          <t>Интернет</t>
        </is>
      </c>
      <c r="E104" s="8" t="inlineStr">
        <is>
          <t>управленческие</t>
        </is>
      </c>
      <c r="G104" s="3">
        <f>IF(OR($D104=Свод!$C$5,$E104=Свод!$C$5),MAX($G$5:$G103)+1,"")</f>
        <v/>
      </c>
    </row>
    <row r="105">
      <c r="B105" s="6" t="inlineStr">
        <is>
          <t>ТЕЛЕМИР ООО</t>
        </is>
      </c>
      <c r="C105" s="7" t="n">
        <v>16192</v>
      </c>
      <c r="D105" s="6" t="inlineStr">
        <is>
          <t>Связь</t>
        </is>
      </c>
      <c r="E105" s="8" t="inlineStr">
        <is>
          <t>управленческие</t>
        </is>
      </c>
      <c r="G105" s="3">
        <f>IF(OR($D105=Свод!$C$5,$E105=Свод!$C$5),MAX($G$5:$G104)+1,"")</f>
        <v/>
      </c>
    </row>
    <row r="106">
      <c r="B106" s="6" t="inlineStr">
        <is>
          <t>ИНСТРУ-МЕД ООО</t>
        </is>
      </c>
      <c r="C106" s="7" t="n">
        <v>15120</v>
      </c>
      <c r="D106" s="6" t="inlineStr">
        <is>
          <t>Расходник</t>
        </is>
      </c>
      <c r="E106" s="8" t="inlineStr">
        <is>
          <t>управленческие</t>
        </is>
      </c>
      <c r="G106" s="3">
        <f>IF(OR($D106=Свод!$C$5,$E106=Свод!$C$5),MAX($G$5:$G105)+1,"")</f>
        <v/>
      </c>
    </row>
    <row r="107">
      <c r="B107" s="6" t="inlineStr">
        <is>
          <t>Алдошин Павел Александрович ИП</t>
        </is>
      </c>
      <c r="C107" s="7" t="n">
        <v>15000</v>
      </c>
      <c r="D107" s="6" t="inlineStr">
        <is>
          <t>Аренда кофемашины</t>
        </is>
      </c>
      <c r="E107" s="8" t="inlineStr">
        <is>
          <t>управленческие</t>
        </is>
      </c>
      <c r="G107" s="3">
        <f>IF(OR($D107=Свод!$C$5,$E107=Свод!$C$5),MAX($G$5:$G106)+1,"")</f>
        <v/>
      </c>
    </row>
    <row r="108">
      <c r="B108" s="6" t="inlineStr">
        <is>
          <t>Вилорд ООО</t>
        </is>
      </c>
      <c r="C108" s="7" t="n">
        <v>12800</v>
      </c>
      <c r="D108" s="6" t="inlineStr">
        <is>
          <t>Медицинские материалы</t>
        </is>
      </c>
      <c r="E108" s="8" t="inlineStr">
        <is>
          <t>медицинские</t>
        </is>
      </c>
      <c r="G108" s="3">
        <f>IF(OR($D108=Свод!$C$5,$E108=Свод!$C$5),MAX($G$5:$G107)+1,"")</f>
        <v/>
      </c>
    </row>
    <row r="109">
      <c r="B109" s="6" t="inlineStr">
        <is>
          <t>ГБУЗ ЦЛО ДЗМ</t>
        </is>
      </c>
      <c r="C109" s="7" t="n">
        <v>12760</v>
      </c>
      <c r="D109" s="6" t="inlineStr">
        <is>
          <t>Наркотики</t>
        </is>
      </c>
      <c r="E109" s="8" t="inlineStr">
        <is>
          <t>медицинские</t>
        </is>
      </c>
      <c r="G109" s="3">
        <f>IF(OR($D109=Свод!$C$5,$E109=Свод!$C$5),MAX($G$5:$G108)+1,"")</f>
        <v/>
      </c>
    </row>
    <row r="110">
      <c r="B110" s="6" t="inlineStr">
        <is>
          <t>АТОЛ ОНЛАЙН ООО</t>
        </is>
      </c>
      <c r="C110" s="7" t="n">
        <v>12505</v>
      </c>
      <c r="D110" s="6" t="inlineStr">
        <is>
          <t>Обслуживание ККТ</t>
        </is>
      </c>
      <c r="E110" s="8" t="inlineStr">
        <is>
          <t>управленческие</t>
        </is>
      </c>
      <c r="G110" s="3">
        <f>IF(OR($D110=Свод!$C$5,$E110=Свод!$C$5),MAX($G$5:$G109)+1,"")</f>
        <v/>
      </c>
    </row>
    <row r="111">
      <c r="B111" s="6" t="inlineStr">
        <is>
          <t>Самозанятый Кожина Наталия Васильевна</t>
        </is>
      </c>
      <c r="C111" s="7" t="n">
        <v>11660</v>
      </c>
      <c r="D111" s="6" t="inlineStr">
        <is>
          <t>Дизайн-услуги</t>
        </is>
      </c>
      <c r="E111" s="8" t="inlineStr">
        <is>
          <t>управленческие</t>
        </is>
      </c>
      <c r="G111" s="3">
        <f>IF(OR($D111=Свод!$C$5,$E111=Свод!$C$5),MAX($G$5:$G110)+1,"")</f>
        <v/>
      </c>
    </row>
    <row r="112">
      <c r="B112" s="6" t="inlineStr">
        <is>
          <t>АСПРОМЕД ООО</t>
        </is>
      </c>
      <c r="C112" s="7" t="n">
        <v>10940</v>
      </c>
      <c r="D112" s="6" t="inlineStr">
        <is>
          <t>Расходка</t>
        </is>
      </c>
      <c r="E112" s="8" t="inlineStr">
        <is>
          <t>медицинские</t>
        </is>
      </c>
      <c r="G112" s="3">
        <f>IF(OR($D112=Свод!$C$5,$E112=Свод!$C$5),MAX($G$5:$G111)+1,"")</f>
        <v/>
      </c>
    </row>
    <row r="113">
      <c r="B113" s="6" t="inlineStr">
        <is>
          <t>МГУТУ АНО ДПО</t>
        </is>
      </c>
      <c r="C113" s="7" t="n">
        <v>10900</v>
      </c>
      <c r="D113" s="6" t="inlineStr">
        <is>
          <t>Обучение персонала</t>
        </is>
      </c>
      <c r="E113" s="8" t="inlineStr">
        <is>
          <t>управленческие</t>
        </is>
      </c>
      <c r="G113" s="3">
        <f>IF(OR($D113=Свод!$C$5,$E113=Свод!$C$5),MAX($G$5:$G112)+1,"")</f>
        <v/>
      </c>
    </row>
    <row r="114">
      <c r="B114" s="6" t="inlineStr">
        <is>
          <t>АО "Почта России"</t>
        </is>
      </c>
      <c r="C114" s="7" t="n">
        <v>10000</v>
      </c>
      <c r="D114" s="6" t="inlineStr">
        <is>
          <t>Общехоз.расходы прочие</t>
        </is>
      </c>
      <c r="E114" s="8" t="inlineStr">
        <is>
          <t>управленческие</t>
        </is>
      </c>
      <c r="G114" s="3">
        <f>IF(OR($D114=Свод!$C$5,$E114=Свод!$C$5),MAX($G$5:$G113)+1,"")</f>
        <v/>
      </c>
    </row>
    <row r="115">
      <c r="B115" s="6" t="inlineStr">
        <is>
          <t>МЕДРОКЕТ ООО</t>
        </is>
      </c>
      <c r="C115" s="7" t="n">
        <v>10000</v>
      </c>
      <c r="D115" s="6" t="inlineStr">
        <is>
          <t>ПроДокторов</t>
        </is>
      </c>
      <c r="E115" s="8" t="inlineStr">
        <is>
          <t>управленческие</t>
        </is>
      </c>
      <c r="G115" s="3">
        <f>IF(OR($D115=Свод!$C$5,$E115=Свод!$C$5),MAX($G$5:$G114)+1,"")</f>
        <v/>
      </c>
    </row>
    <row r="116">
      <c r="B116" s="6" t="inlineStr">
        <is>
          <t>ТЕХМОНТАЖ ООО</t>
        </is>
      </c>
      <c r="C116" s="7" t="n">
        <v>9800</v>
      </c>
      <c r="D116" s="6" t="inlineStr">
        <is>
          <t>Охрана</t>
        </is>
      </c>
      <c r="E116" s="8" t="inlineStr">
        <is>
          <t>управленческие</t>
        </is>
      </c>
      <c r="G116" s="3">
        <f>IF(OR($D116=Свод!$C$5,$E116=Свод!$C$5),MAX($G$5:$G115)+1,"")</f>
        <v/>
      </c>
    </row>
    <row r="117">
      <c r="B117" s="6" t="inlineStr">
        <is>
          <t>Деловые линии ООО</t>
        </is>
      </c>
      <c r="C117" s="7" t="n">
        <v>7495</v>
      </c>
      <c r="D117" s="6" t="inlineStr">
        <is>
          <t>Доставка</t>
        </is>
      </c>
      <c r="E117" s="8" t="inlineStr">
        <is>
          <t>управленческие</t>
        </is>
      </c>
      <c r="G117" s="3">
        <f>IF(OR($D117=Свод!$C$5,$E117=Свод!$C$5),MAX($G$5:$G116)+1,"")</f>
        <v/>
      </c>
    </row>
    <row r="118">
      <c r="B118" s="6" t="inlineStr">
        <is>
          <t>ТЕХМОНТАЖСЕРВИС ООО</t>
        </is>
      </c>
      <c r="C118" s="7" t="n">
        <v>7000</v>
      </c>
      <c r="D118" s="6" t="inlineStr">
        <is>
          <t>ТО СКУД, пожарной сигнализации</t>
        </is>
      </c>
      <c r="E118" s="8" t="inlineStr">
        <is>
          <t>управленческие</t>
        </is>
      </c>
      <c r="G118" s="3">
        <f>IF(OR($D118=Свод!$C$5,$E118=Свод!$C$5),MAX($G$5:$G117)+1,"")</f>
        <v/>
      </c>
    </row>
    <row r="119">
      <c r="B119" s="6" t="inlineStr">
        <is>
          <t>КИКОТЬ ОЛЕГ МИХАЙЛОВИЧ ИП</t>
        </is>
      </c>
      <c r="C119" s="7" t="n">
        <v>6135</v>
      </c>
      <c r="D119" s="6" t="inlineStr">
        <is>
          <t>Обслуживание 1СПредприятие</t>
        </is>
      </c>
      <c r="E119" s="8" t="inlineStr">
        <is>
          <t>управленческие</t>
        </is>
      </c>
      <c r="G119" s="3">
        <f>IF(OR($D119=Свод!$C$5,$E119=Свод!$C$5),MAX($G$5:$G118)+1,"")</f>
        <v/>
      </c>
    </row>
    <row r="120">
      <c r="B120" s="6" t="inlineStr">
        <is>
          <t>Самозанятый Кучер Татьяна Александровна</t>
        </is>
      </c>
      <c r="C120" s="7" t="n">
        <v>5400</v>
      </c>
      <c r="D120" s="6" t="inlineStr">
        <is>
          <t>Дизайн-услуги</t>
        </is>
      </c>
      <c r="E120" s="8" t="inlineStr">
        <is>
          <t>управленческие</t>
        </is>
      </c>
      <c r="G120" s="3">
        <f>IF(OR($D120=Свод!$C$5,$E120=Свод!$C$5),MAX($G$5:$G119)+1,"")</f>
        <v/>
      </c>
    </row>
    <row r="121">
      <c r="B121" s="6" t="inlineStr">
        <is>
          <t>ДЕАЛМЕД АО</t>
        </is>
      </c>
      <c r="C121" s="7" t="n">
        <v>5170</v>
      </c>
      <c r="D121" s="6" t="inlineStr">
        <is>
          <t>Медицинские материалы</t>
        </is>
      </c>
      <c r="E121" s="8" t="inlineStr">
        <is>
          <t>медицинские</t>
        </is>
      </c>
      <c r="G121" s="3">
        <f>IF(OR($D121=Свод!$C$5,$E121=Свод!$C$5),MAX($G$5:$G120)+1,"")</f>
        <v/>
      </c>
    </row>
    <row r="122">
      <c r="B122" s="6" t="inlineStr">
        <is>
          <t>ИНФОТЕХ ООО</t>
        </is>
      </c>
      <c r="C122" s="7" t="n">
        <v>610</v>
      </c>
      <c r="D122" s="6" t="inlineStr">
        <is>
          <t>Оргтехника</t>
        </is>
      </c>
      <c r="E122" s="8" t="inlineStr">
        <is>
          <t>управленческие</t>
        </is>
      </c>
      <c r="G122" s="3">
        <f>IF(OR($D122=Свод!$C$5,$E122=Свод!$C$5),MAX($G$5:$G121)+1,"")</f>
        <v/>
      </c>
    </row>
    <row r="123">
      <c r="B123" s="6" t="inlineStr">
        <is>
          <t>Аквапрактика ООО</t>
        </is>
      </c>
      <c r="C123" s="7" t="n">
        <v>5000</v>
      </c>
      <c r="D123" s="6" t="inlineStr">
        <is>
          <t>Обслуживание аквариума</t>
        </is>
      </c>
      <c r="E123" s="8" t="inlineStr">
        <is>
          <t>управленческие</t>
        </is>
      </c>
      <c r="G123" s="3">
        <f>IF(OR($D123=Свод!$C$5,$E123=Свод!$C$5),MAX($G$5:$G122)+1,"")</f>
        <v/>
      </c>
    </row>
    <row r="124">
      <c r="B124" s="6" t="inlineStr">
        <is>
          <t>Cамозанятый Котлярова Олеся Владимировна</t>
        </is>
      </c>
      <c r="C124" s="7" t="n">
        <v>1100</v>
      </c>
      <c r="D124" s="6" t="inlineStr">
        <is>
          <t>Консультационные услуги</t>
        </is>
      </c>
      <c r="E124" s="8" t="inlineStr">
        <is>
          <t>управленческие</t>
        </is>
      </c>
      <c r="G124" s="3">
        <f>IF(OR($D124=Свод!$C$5,$E124=Свод!$C$5),MAX($G$5:$G123)+1,"")</f>
        <v/>
      </c>
    </row>
    <row r="125">
      <c r="B125" s="10" t="inlineStr">
        <is>
          <t>Сумма по контрагентам</t>
        </is>
      </c>
      <c r="C125" s="11">
        <f>SUM(C6:C124)</f>
        <v/>
      </c>
    </row>
    <row r="126">
      <c r="B126" s="12" t="inlineStr">
        <is>
          <t>Корректировка 1</t>
        </is>
      </c>
      <c r="C126" s="13" t="n">
        <v>-169644.37</v>
      </c>
      <c r="D126" s="2" t="inlineStr">
        <is>
          <t>ручная поправка бухгалтерии</t>
        </is>
      </c>
    </row>
    <row r="127">
      <c r="B127" s="12" t="inlineStr">
        <is>
          <t>Корректировка 2</t>
        </is>
      </c>
      <c r="C127" s="13" t="n">
        <v>-6000</v>
      </c>
      <c r="D127" s="2" t="inlineStr">
        <is>
          <t>ручная поправка бухгалтерии</t>
        </is>
      </c>
    </row>
    <row r="128">
      <c r="B128" s="12" t="inlineStr">
        <is>
          <t>Корректировка 3</t>
        </is>
      </c>
      <c r="C128" s="13" t="n">
        <v>-44711</v>
      </c>
      <c r="D128" s="2" t="inlineStr">
        <is>
          <t>ручная поправка бухгалтерии</t>
        </is>
      </c>
    </row>
    <row r="129">
      <c r="B129" s="14" t="inlineStr">
        <is>
          <t>ИТОГО ПО СЧЁТУ 60</t>
        </is>
      </c>
      <c r="C129" s="15">
        <f>C125+SUM(C126:C128)</f>
        <v/>
      </c>
      <c r="D129" s="16" t="n"/>
      <c r="E129" s="16" t="n"/>
    </row>
    <row r="131">
      <c r="B131" s="17" t="inlineStr">
        <is>
          <t>Ремонт Самокатная 1 стр.12</t>
        </is>
      </c>
      <c r="C131" s="18" t="n">
        <v>11000000</v>
      </c>
      <c r="D131" s="19" t="inlineStr">
        <is>
          <t>За счет кредитной линии</t>
        </is>
      </c>
      <c r="E131" s="2" t="inlineStr">
        <is>
          <t>в расходы учредителей не входит</t>
        </is>
      </c>
    </row>
  </sheetData>
  <dataValidations count="1">
    <dataValidation sqref="E6:E124" showDropDown="0" showInputMessage="0" showErrorMessage="0" allowBlank="0" type="list">
      <formula1>"медицинские,управленческие"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медицинские</t>
        </is>
      </c>
    </row>
    <row r="2">
      <c r="A2" t="inlineStr">
        <is>
          <t>управленческие</t>
        </is>
      </c>
    </row>
    <row r="3">
      <c r="A3" t="inlineStr">
        <is>
          <t>IT услуги</t>
        </is>
      </c>
    </row>
    <row r="4">
      <c r="A4" t="inlineStr">
        <is>
          <t>Анализы</t>
        </is>
      </c>
    </row>
    <row r="5">
      <c r="A5" t="inlineStr">
        <is>
          <t>Аренда Inmode</t>
        </is>
      </c>
    </row>
    <row r="6">
      <c r="A6" t="inlineStr">
        <is>
          <t>Аренда Самокатная 1 стр1</t>
        </is>
      </c>
    </row>
    <row r="7">
      <c r="A7" t="inlineStr">
        <is>
          <t>Аренда кофемашины</t>
        </is>
      </c>
    </row>
    <row r="8">
      <c r="A8" t="inlineStr">
        <is>
          <t>Белье</t>
        </is>
      </c>
    </row>
    <row r="9">
      <c r="A9" t="inlineStr">
        <is>
          <t>Битрикс 24</t>
        </is>
      </c>
    </row>
    <row r="10">
      <c r="A10" t="inlineStr">
        <is>
          <t>Бланки, мед.журналы, мед.книжки</t>
        </is>
      </c>
    </row>
    <row r="11">
      <c r="A11" t="inlineStr">
        <is>
          <t>Внедрение финансового учёта</t>
        </is>
      </c>
    </row>
    <row r="12">
      <c r="A12" t="inlineStr">
        <is>
          <t>Вода</t>
        </is>
      </c>
    </row>
    <row r="13">
      <c r="A13" t="inlineStr">
        <is>
          <t>Вывоз ТКО и мед отходов</t>
        </is>
      </c>
    </row>
    <row r="14">
      <c r="A14" t="inlineStr">
        <is>
          <t>Гонорары ИП хирургов</t>
        </is>
      </c>
    </row>
    <row r="15">
      <c r="A15" t="inlineStr">
        <is>
          <t>Дизайн-услуги</t>
        </is>
      </c>
    </row>
    <row r="16">
      <c r="A16" t="inlineStr">
        <is>
          <t>Доставка</t>
        </is>
      </c>
    </row>
    <row r="17">
      <c r="A17" t="inlineStr">
        <is>
          <t>ИП Завиркин А.В.</t>
        </is>
      </c>
    </row>
    <row r="18">
      <c r="A18" t="inlineStr">
        <is>
          <t>ИП Чугуевская (ЗП Заведягин ОН)</t>
        </is>
      </c>
    </row>
    <row r="19">
      <c r="A19" t="inlineStr">
        <is>
          <t>Импланты</t>
        </is>
      </c>
    </row>
    <row r="20">
      <c r="A20" t="inlineStr">
        <is>
          <t>Интернет</t>
        </is>
      </c>
    </row>
    <row r="21">
      <c r="A21" t="inlineStr">
        <is>
          <t>Канц и хоз расходы</t>
        </is>
      </c>
    </row>
    <row r="22">
      <c r="A22" t="inlineStr">
        <is>
          <t>Консультационные услуги</t>
        </is>
      </c>
    </row>
    <row r="23">
      <c r="A23" t="inlineStr">
        <is>
          <t>Косметология</t>
        </is>
      </c>
    </row>
    <row r="24">
      <c r="A24" t="inlineStr">
        <is>
          <t>Кофе</t>
        </is>
      </c>
    </row>
    <row r="25">
      <c r="A25" t="inlineStr">
        <is>
          <t>Краснодар</t>
        </is>
      </c>
    </row>
    <row r="26">
      <c r="A26" t="inlineStr">
        <is>
          <t>Кровь</t>
        </is>
      </c>
    </row>
    <row r="27">
      <c r="A27" t="inlineStr">
        <is>
          <t>Лекарства</t>
        </is>
      </c>
    </row>
    <row r="28">
      <c r="A28" t="inlineStr">
        <is>
          <t>Маркетинговые услуги</t>
        </is>
      </c>
    </row>
    <row r="29">
      <c r="A29" t="inlineStr">
        <is>
          <t>Мебель, инвентарь</t>
        </is>
      </c>
    </row>
    <row r="30">
      <c r="A30" t="inlineStr">
        <is>
          <t>Мед.инструмент</t>
        </is>
      </c>
    </row>
    <row r="31">
      <c r="A31" t="inlineStr">
        <is>
          <t>Мед.мебель</t>
        </is>
      </c>
    </row>
    <row r="32">
      <c r="A32" t="inlineStr">
        <is>
          <t>Медицинские материалы</t>
        </is>
      </c>
    </row>
    <row r="33">
      <c r="A33" t="inlineStr">
        <is>
          <t>Медоборудование</t>
        </is>
      </c>
    </row>
    <row r="34">
      <c r="A34" t="inlineStr">
        <is>
          <t>Медоборудование 320588 и расходники 194940</t>
        </is>
      </c>
    </row>
    <row r="35">
      <c r="A35" t="inlineStr">
        <is>
          <t>Наркотики</t>
        </is>
      </c>
    </row>
    <row r="36">
      <c r="A36" t="inlineStr">
        <is>
          <t>Обслуживание 1СПредприятие</t>
        </is>
      </c>
    </row>
    <row r="37">
      <c r="A37" t="inlineStr">
        <is>
          <t>Обслуживание 1СУправление</t>
        </is>
      </c>
    </row>
    <row r="38">
      <c r="A38" t="inlineStr">
        <is>
          <t>Обслуживание ККТ</t>
        </is>
      </c>
    </row>
    <row r="39">
      <c r="A39" t="inlineStr">
        <is>
          <t>Обслуживание аквариума</t>
        </is>
      </c>
    </row>
    <row r="40">
      <c r="A40" t="inlineStr">
        <is>
          <t>Обучение персонала</t>
        </is>
      </c>
    </row>
    <row r="41">
      <c r="A41" t="inlineStr">
        <is>
          <t>Общехоз.расходы прочие</t>
        </is>
      </c>
    </row>
    <row r="42">
      <c r="A42" t="inlineStr">
        <is>
          <t>Общехозяйственные</t>
        </is>
      </c>
    </row>
    <row r="43">
      <c r="A43" t="inlineStr">
        <is>
          <t>Оргтехника</t>
        </is>
      </c>
    </row>
    <row r="44">
      <c r="A44" t="inlineStr">
        <is>
          <t>Охрана</t>
        </is>
      </c>
    </row>
    <row r="45">
      <c r="A45" t="inlineStr">
        <is>
          <t>ПО и IT-сервисы</t>
        </is>
      </c>
    </row>
    <row r="46">
      <c r="A46" t="inlineStr">
        <is>
          <t>Питание</t>
        </is>
      </c>
    </row>
    <row r="47">
      <c r="A47" t="inlineStr">
        <is>
          <t>Подбор персонала</t>
        </is>
      </c>
    </row>
    <row r="48">
      <c r="A48" t="inlineStr">
        <is>
          <t>ПроДокторов</t>
        </is>
      </c>
    </row>
    <row r="49">
      <c r="A49" t="inlineStr">
        <is>
          <t>Программное обнспечение</t>
        </is>
      </c>
    </row>
    <row r="50">
      <c r="A50" t="inlineStr">
        <is>
          <t>Расходка</t>
        </is>
      </c>
    </row>
    <row r="51">
      <c r="A51" t="inlineStr">
        <is>
          <t>Расходник</t>
        </is>
      </c>
    </row>
    <row r="52">
      <c r="A52" t="inlineStr">
        <is>
          <t>Реклама</t>
        </is>
      </c>
    </row>
    <row r="53">
      <c r="A53" t="inlineStr">
        <is>
          <t>Ремонт</t>
        </is>
      </c>
    </row>
    <row r="54">
      <c r="A54" t="inlineStr">
        <is>
          <t>Ремонт Самокатная 1 стр.12</t>
        </is>
      </c>
    </row>
    <row r="55">
      <c r="A55" t="inlineStr">
        <is>
          <t>Ремонт керамогранит</t>
        </is>
      </c>
    </row>
    <row r="56">
      <c r="A56" t="inlineStr">
        <is>
          <t>Сайт</t>
        </is>
      </c>
    </row>
    <row r="57">
      <c r="A57" t="inlineStr">
        <is>
          <t>Светильники и оборудование</t>
        </is>
      </c>
    </row>
    <row r="58">
      <c r="A58" t="inlineStr">
        <is>
          <t>Связь</t>
        </is>
      </c>
    </row>
    <row r="59">
      <c r="A59" t="inlineStr">
        <is>
          <t>Сервис речевой аналитики</t>
        </is>
      </c>
    </row>
    <row r="60">
      <c r="A60" t="inlineStr">
        <is>
          <t>Складской учет</t>
        </is>
      </c>
    </row>
    <row r="61">
      <c r="A61" t="inlineStr">
        <is>
          <t>Средства гигиены</t>
        </is>
      </c>
    </row>
    <row r="62">
      <c r="A62" t="inlineStr">
        <is>
          <t>Стиральный порошок</t>
        </is>
      </c>
    </row>
    <row r="63">
      <c r="A63" t="inlineStr">
        <is>
          <t>ТО СКУД, пожарной сигнализации</t>
        </is>
      </c>
    </row>
    <row r="64">
      <c r="A64" t="inlineStr">
        <is>
          <t>Такси</t>
        </is>
      </c>
    </row>
    <row r="65">
      <c r="A65" t="inlineStr">
        <is>
          <t>Техподдержка ККТ</t>
        </is>
      </c>
    </row>
    <row r="66">
      <c r="A66" t="inlineStr">
        <is>
          <t>Урегулирование досудебного спора</t>
        </is>
      </c>
    </row>
    <row r="67">
      <c r="A67" t="inlineStr">
        <is>
          <t>Услуги инженера</t>
        </is>
      </c>
    </row>
    <row r="68">
      <c r="A68" t="inlineStr">
        <is>
          <t>Услуги юриста</t>
        </is>
      </c>
    </row>
    <row r="69">
      <c r="A69" t="inlineStr">
        <is>
          <t>Утилизация медотходов</t>
        </is>
      </c>
    </row>
    <row r="70">
      <c r="A70" t="inlineStr">
        <is>
          <t>Фото видео</t>
        </is>
      </c>
    </row>
    <row r="71">
      <c r="A71" t="inlineStr">
        <is>
          <t>Хоз расходы</t>
        </is>
      </c>
    </row>
    <row r="72">
      <c r="A72" t="inlineStr">
        <is>
          <t>Цветы</t>
        </is>
      </c>
    </row>
    <row r="73">
      <c r="A73" t="inlineStr">
        <is>
          <t>Электрооборудование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45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40" customWidth="1" min="4" max="4"/>
    <col width="20" customWidth="1" min="5" max="5"/>
  </cols>
  <sheetData>
    <row r="2">
      <c r="B2" s="1" t="inlineStr">
        <is>
          <t>Свод и выборка</t>
        </is>
      </c>
    </row>
    <row r="3">
      <c r="B3" s="2" t="inlineStr">
        <is>
          <t>Выберите блок или статью в списке — ниже развернётся состав.</t>
        </is>
      </c>
    </row>
    <row r="5">
      <c r="B5" s="20" t="inlineStr">
        <is>
          <t>Блок или статья:</t>
        </is>
      </c>
      <c r="C5" s="21" t="inlineStr">
        <is>
          <t>медицинские</t>
        </is>
      </c>
    </row>
    <row r="6">
      <c r="B6" s="22" t="inlineStr">
        <is>
          <t>Сумма:</t>
        </is>
      </c>
      <c r="C6" s="23">
        <f>SUMIF(Контрагенты!$E$6:$E$124,$C$5,Контрагенты!$C$6:$C$124)+SUMIF(Контрагенты!$D$6:$D$124,$C$5,Контрагенты!$C$6:$C$124)</f>
        <v/>
      </c>
      <c r="D6" s="22" t="inlineStr">
        <is>
          <t>Контрагентов:</t>
        </is>
      </c>
      <c r="E6" s="24">
        <f>COUNTIF(Контрагенты!$E$6:$E$124,$C$5)+COUNTIF(Контрагенты!$D$6:$D$124,$C$5)</f>
        <v/>
      </c>
    </row>
    <row r="8" ht="26" customHeight="1">
      <c r="B8" s="4" t="inlineStr">
        <is>
          <t>Контрагент</t>
        </is>
      </c>
      <c r="C8" s="4" t="inlineStr">
        <is>
          <t>Оплачено</t>
        </is>
      </c>
      <c r="D8" s="4" t="inlineStr">
        <is>
          <t>Статья</t>
        </is>
      </c>
      <c r="E8" s="4" t="inlineStr">
        <is>
          <t>Блок</t>
        </is>
      </c>
    </row>
    <row r="9">
      <c r="B9" s="6">
        <f>IFERROR(INDEX(Контрагенты!$B$6:$B$124,MATCH(1,Контрагенты!$G$6:$G$124,0)),"")</f>
        <v/>
      </c>
      <c r="C9" s="7">
        <f>IFERROR(INDEX(Контрагенты!$C$6:$C$124,MATCH(1,Контрагенты!$G$6:$G$124,0)),"")</f>
        <v/>
      </c>
      <c r="D9" s="25">
        <f>IFERROR(INDEX(Контрагенты!$D$6:$D$124,MATCH(1,Контрагенты!$G$6:$G$124,0)),"")</f>
        <v/>
      </c>
      <c r="E9" s="25">
        <f>IFERROR(INDEX(Контрагенты!$E$6:$E$124,MATCH(1,Контрагенты!$G$6:$G$124,0)),"")</f>
        <v/>
      </c>
    </row>
    <row r="10">
      <c r="B10" s="6">
        <f>IFERROR(INDEX(Контрагенты!$B$6:$B$124,MATCH(2,Контрагенты!$G$6:$G$124,0)),"")</f>
        <v/>
      </c>
      <c r="C10" s="7">
        <f>IFERROR(INDEX(Контрагенты!$C$6:$C$124,MATCH(2,Контрагенты!$G$6:$G$124,0)),"")</f>
        <v/>
      </c>
      <c r="D10" s="25">
        <f>IFERROR(INDEX(Контрагенты!$D$6:$D$124,MATCH(2,Контрагенты!$G$6:$G$124,0)),"")</f>
        <v/>
      </c>
      <c r="E10" s="25">
        <f>IFERROR(INDEX(Контрагенты!$E$6:$E$124,MATCH(2,Контрагенты!$G$6:$G$124,0)),"")</f>
        <v/>
      </c>
    </row>
    <row r="11">
      <c r="B11" s="6">
        <f>IFERROR(INDEX(Контрагенты!$B$6:$B$124,MATCH(3,Контрагенты!$G$6:$G$124,0)),"")</f>
        <v/>
      </c>
      <c r="C11" s="7">
        <f>IFERROR(INDEX(Контрагенты!$C$6:$C$124,MATCH(3,Контрагенты!$G$6:$G$124,0)),"")</f>
        <v/>
      </c>
      <c r="D11" s="25">
        <f>IFERROR(INDEX(Контрагенты!$D$6:$D$124,MATCH(3,Контрагенты!$G$6:$G$124,0)),"")</f>
        <v/>
      </c>
      <c r="E11" s="25">
        <f>IFERROR(INDEX(Контрагенты!$E$6:$E$124,MATCH(3,Контрагенты!$G$6:$G$124,0)),"")</f>
        <v/>
      </c>
    </row>
    <row r="12">
      <c r="B12" s="6">
        <f>IFERROR(INDEX(Контрагенты!$B$6:$B$124,MATCH(4,Контрагенты!$G$6:$G$124,0)),"")</f>
        <v/>
      </c>
      <c r="C12" s="7">
        <f>IFERROR(INDEX(Контрагенты!$C$6:$C$124,MATCH(4,Контрагенты!$G$6:$G$124,0)),"")</f>
        <v/>
      </c>
      <c r="D12" s="25">
        <f>IFERROR(INDEX(Контрагенты!$D$6:$D$124,MATCH(4,Контрагенты!$G$6:$G$124,0)),"")</f>
        <v/>
      </c>
      <c r="E12" s="25">
        <f>IFERROR(INDEX(Контрагенты!$E$6:$E$124,MATCH(4,Контрагенты!$G$6:$G$124,0)),"")</f>
        <v/>
      </c>
    </row>
    <row r="13">
      <c r="B13" s="6">
        <f>IFERROR(INDEX(Контрагенты!$B$6:$B$124,MATCH(5,Контрагенты!$G$6:$G$124,0)),"")</f>
        <v/>
      </c>
      <c r="C13" s="7">
        <f>IFERROR(INDEX(Контрагенты!$C$6:$C$124,MATCH(5,Контрагенты!$G$6:$G$124,0)),"")</f>
        <v/>
      </c>
      <c r="D13" s="25">
        <f>IFERROR(INDEX(Контрагенты!$D$6:$D$124,MATCH(5,Контрагенты!$G$6:$G$124,0)),"")</f>
        <v/>
      </c>
      <c r="E13" s="25">
        <f>IFERROR(INDEX(Контрагенты!$E$6:$E$124,MATCH(5,Контрагенты!$G$6:$G$124,0)),"")</f>
        <v/>
      </c>
    </row>
    <row r="14">
      <c r="B14" s="6">
        <f>IFERROR(INDEX(Контрагенты!$B$6:$B$124,MATCH(6,Контрагенты!$G$6:$G$124,0)),"")</f>
        <v/>
      </c>
      <c r="C14" s="7">
        <f>IFERROR(INDEX(Контрагенты!$C$6:$C$124,MATCH(6,Контрагенты!$G$6:$G$124,0)),"")</f>
        <v/>
      </c>
      <c r="D14" s="25">
        <f>IFERROR(INDEX(Контрагенты!$D$6:$D$124,MATCH(6,Контрагенты!$G$6:$G$124,0)),"")</f>
        <v/>
      </c>
      <c r="E14" s="25">
        <f>IFERROR(INDEX(Контрагенты!$E$6:$E$124,MATCH(6,Контрагенты!$G$6:$G$124,0)),"")</f>
        <v/>
      </c>
    </row>
    <row r="15">
      <c r="B15" s="6">
        <f>IFERROR(INDEX(Контрагенты!$B$6:$B$124,MATCH(7,Контрагенты!$G$6:$G$124,0)),"")</f>
        <v/>
      </c>
      <c r="C15" s="7">
        <f>IFERROR(INDEX(Контрагенты!$C$6:$C$124,MATCH(7,Контрагенты!$G$6:$G$124,0)),"")</f>
        <v/>
      </c>
      <c r="D15" s="25">
        <f>IFERROR(INDEX(Контрагенты!$D$6:$D$124,MATCH(7,Контрагенты!$G$6:$G$124,0)),"")</f>
        <v/>
      </c>
      <c r="E15" s="25">
        <f>IFERROR(INDEX(Контрагенты!$E$6:$E$124,MATCH(7,Контрагенты!$G$6:$G$124,0)),"")</f>
        <v/>
      </c>
    </row>
    <row r="16">
      <c r="B16" s="6">
        <f>IFERROR(INDEX(Контрагенты!$B$6:$B$124,MATCH(8,Контрагенты!$G$6:$G$124,0)),"")</f>
        <v/>
      </c>
      <c r="C16" s="7">
        <f>IFERROR(INDEX(Контрагенты!$C$6:$C$124,MATCH(8,Контрагенты!$G$6:$G$124,0)),"")</f>
        <v/>
      </c>
      <c r="D16" s="25">
        <f>IFERROR(INDEX(Контрагенты!$D$6:$D$124,MATCH(8,Контрагенты!$G$6:$G$124,0)),"")</f>
        <v/>
      </c>
      <c r="E16" s="25">
        <f>IFERROR(INDEX(Контрагенты!$E$6:$E$124,MATCH(8,Контрагенты!$G$6:$G$124,0)),"")</f>
        <v/>
      </c>
    </row>
    <row r="17">
      <c r="B17" s="6">
        <f>IFERROR(INDEX(Контрагенты!$B$6:$B$124,MATCH(9,Контрагенты!$G$6:$G$124,0)),"")</f>
        <v/>
      </c>
      <c r="C17" s="7">
        <f>IFERROR(INDEX(Контрагенты!$C$6:$C$124,MATCH(9,Контрагенты!$G$6:$G$124,0)),"")</f>
        <v/>
      </c>
      <c r="D17" s="25">
        <f>IFERROR(INDEX(Контрагенты!$D$6:$D$124,MATCH(9,Контрагенты!$G$6:$G$124,0)),"")</f>
        <v/>
      </c>
      <c r="E17" s="25">
        <f>IFERROR(INDEX(Контрагенты!$E$6:$E$124,MATCH(9,Контрагенты!$G$6:$G$124,0)),"")</f>
        <v/>
      </c>
    </row>
    <row r="18">
      <c r="B18" s="6">
        <f>IFERROR(INDEX(Контрагенты!$B$6:$B$124,MATCH(10,Контрагенты!$G$6:$G$124,0)),"")</f>
        <v/>
      </c>
      <c r="C18" s="7">
        <f>IFERROR(INDEX(Контрагенты!$C$6:$C$124,MATCH(10,Контрагенты!$G$6:$G$124,0)),"")</f>
        <v/>
      </c>
      <c r="D18" s="25">
        <f>IFERROR(INDEX(Контрагенты!$D$6:$D$124,MATCH(10,Контрагенты!$G$6:$G$124,0)),"")</f>
        <v/>
      </c>
      <c r="E18" s="25">
        <f>IFERROR(INDEX(Контрагенты!$E$6:$E$124,MATCH(10,Контрагенты!$G$6:$G$124,0)),"")</f>
        <v/>
      </c>
    </row>
    <row r="19">
      <c r="B19" s="6">
        <f>IFERROR(INDEX(Контрагенты!$B$6:$B$124,MATCH(11,Контрагенты!$G$6:$G$124,0)),"")</f>
        <v/>
      </c>
      <c r="C19" s="7">
        <f>IFERROR(INDEX(Контрагенты!$C$6:$C$124,MATCH(11,Контрагенты!$G$6:$G$124,0)),"")</f>
        <v/>
      </c>
      <c r="D19" s="25">
        <f>IFERROR(INDEX(Контрагенты!$D$6:$D$124,MATCH(11,Контрагенты!$G$6:$G$124,0)),"")</f>
        <v/>
      </c>
      <c r="E19" s="25">
        <f>IFERROR(INDEX(Контрагенты!$E$6:$E$124,MATCH(11,Контрагенты!$G$6:$G$124,0)),"")</f>
        <v/>
      </c>
    </row>
    <row r="20">
      <c r="B20" s="6">
        <f>IFERROR(INDEX(Контрагенты!$B$6:$B$124,MATCH(12,Контрагенты!$G$6:$G$124,0)),"")</f>
        <v/>
      </c>
      <c r="C20" s="7">
        <f>IFERROR(INDEX(Контрагенты!$C$6:$C$124,MATCH(12,Контрагенты!$G$6:$G$124,0)),"")</f>
        <v/>
      </c>
      <c r="D20" s="25">
        <f>IFERROR(INDEX(Контрагенты!$D$6:$D$124,MATCH(12,Контрагенты!$G$6:$G$124,0)),"")</f>
        <v/>
      </c>
      <c r="E20" s="25">
        <f>IFERROR(INDEX(Контрагенты!$E$6:$E$124,MATCH(12,Контрагенты!$G$6:$G$124,0)),"")</f>
        <v/>
      </c>
    </row>
    <row r="21">
      <c r="B21" s="6">
        <f>IFERROR(INDEX(Контрагенты!$B$6:$B$124,MATCH(13,Контрагенты!$G$6:$G$124,0)),"")</f>
        <v/>
      </c>
      <c r="C21" s="7">
        <f>IFERROR(INDEX(Контрагенты!$C$6:$C$124,MATCH(13,Контрагенты!$G$6:$G$124,0)),"")</f>
        <v/>
      </c>
      <c r="D21" s="25">
        <f>IFERROR(INDEX(Контрагенты!$D$6:$D$124,MATCH(13,Контрагенты!$G$6:$G$124,0)),"")</f>
        <v/>
      </c>
      <c r="E21" s="25">
        <f>IFERROR(INDEX(Контрагенты!$E$6:$E$124,MATCH(13,Контрагенты!$G$6:$G$124,0)),"")</f>
        <v/>
      </c>
    </row>
    <row r="22">
      <c r="B22" s="6">
        <f>IFERROR(INDEX(Контрагенты!$B$6:$B$124,MATCH(14,Контрагенты!$G$6:$G$124,0)),"")</f>
        <v/>
      </c>
      <c r="C22" s="7">
        <f>IFERROR(INDEX(Контрагенты!$C$6:$C$124,MATCH(14,Контрагенты!$G$6:$G$124,0)),"")</f>
        <v/>
      </c>
      <c r="D22" s="25">
        <f>IFERROR(INDEX(Контрагенты!$D$6:$D$124,MATCH(14,Контрагенты!$G$6:$G$124,0)),"")</f>
        <v/>
      </c>
      <c r="E22" s="25">
        <f>IFERROR(INDEX(Контрагенты!$E$6:$E$124,MATCH(14,Контрагенты!$G$6:$G$124,0)),"")</f>
        <v/>
      </c>
    </row>
    <row r="23">
      <c r="B23" s="6">
        <f>IFERROR(INDEX(Контрагенты!$B$6:$B$124,MATCH(15,Контрагенты!$G$6:$G$124,0)),"")</f>
        <v/>
      </c>
      <c r="C23" s="7">
        <f>IFERROR(INDEX(Контрагенты!$C$6:$C$124,MATCH(15,Контрагенты!$G$6:$G$124,0)),"")</f>
        <v/>
      </c>
      <c r="D23" s="25">
        <f>IFERROR(INDEX(Контрагенты!$D$6:$D$124,MATCH(15,Контрагенты!$G$6:$G$124,0)),"")</f>
        <v/>
      </c>
      <c r="E23" s="25">
        <f>IFERROR(INDEX(Контрагенты!$E$6:$E$124,MATCH(15,Контрагенты!$G$6:$G$124,0)),"")</f>
        <v/>
      </c>
    </row>
    <row r="24">
      <c r="B24" s="6">
        <f>IFERROR(INDEX(Контрагенты!$B$6:$B$124,MATCH(16,Контрагенты!$G$6:$G$124,0)),"")</f>
        <v/>
      </c>
      <c r="C24" s="7">
        <f>IFERROR(INDEX(Контрагенты!$C$6:$C$124,MATCH(16,Контрагенты!$G$6:$G$124,0)),"")</f>
        <v/>
      </c>
      <c r="D24" s="25">
        <f>IFERROR(INDEX(Контрагенты!$D$6:$D$124,MATCH(16,Контрагенты!$G$6:$G$124,0)),"")</f>
        <v/>
      </c>
      <c r="E24" s="25">
        <f>IFERROR(INDEX(Контрагенты!$E$6:$E$124,MATCH(16,Контрагенты!$G$6:$G$124,0)),"")</f>
        <v/>
      </c>
    </row>
    <row r="25">
      <c r="B25" s="6">
        <f>IFERROR(INDEX(Контрагенты!$B$6:$B$124,MATCH(17,Контрагенты!$G$6:$G$124,0)),"")</f>
        <v/>
      </c>
      <c r="C25" s="7">
        <f>IFERROR(INDEX(Контрагенты!$C$6:$C$124,MATCH(17,Контрагенты!$G$6:$G$124,0)),"")</f>
        <v/>
      </c>
      <c r="D25" s="25">
        <f>IFERROR(INDEX(Контрагенты!$D$6:$D$124,MATCH(17,Контрагенты!$G$6:$G$124,0)),"")</f>
        <v/>
      </c>
      <c r="E25" s="25">
        <f>IFERROR(INDEX(Контрагенты!$E$6:$E$124,MATCH(17,Контрагенты!$G$6:$G$124,0)),"")</f>
        <v/>
      </c>
    </row>
    <row r="26">
      <c r="B26" s="6">
        <f>IFERROR(INDEX(Контрагенты!$B$6:$B$124,MATCH(18,Контрагенты!$G$6:$G$124,0)),"")</f>
        <v/>
      </c>
      <c r="C26" s="7">
        <f>IFERROR(INDEX(Контрагенты!$C$6:$C$124,MATCH(18,Контрагенты!$G$6:$G$124,0)),"")</f>
        <v/>
      </c>
      <c r="D26" s="25">
        <f>IFERROR(INDEX(Контрагенты!$D$6:$D$124,MATCH(18,Контрагенты!$G$6:$G$124,0)),"")</f>
        <v/>
      </c>
      <c r="E26" s="25">
        <f>IFERROR(INDEX(Контрагенты!$E$6:$E$124,MATCH(18,Контрагенты!$G$6:$G$124,0)),"")</f>
        <v/>
      </c>
    </row>
    <row r="27">
      <c r="B27" s="6">
        <f>IFERROR(INDEX(Контрагенты!$B$6:$B$124,MATCH(19,Контрагенты!$G$6:$G$124,0)),"")</f>
        <v/>
      </c>
      <c r="C27" s="7">
        <f>IFERROR(INDEX(Контрагенты!$C$6:$C$124,MATCH(19,Контрагенты!$G$6:$G$124,0)),"")</f>
        <v/>
      </c>
      <c r="D27" s="25">
        <f>IFERROR(INDEX(Контрагенты!$D$6:$D$124,MATCH(19,Контрагенты!$G$6:$G$124,0)),"")</f>
        <v/>
      </c>
      <c r="E27" s="25">
        <f>IFERROR(INDEX(Контрагенты!$E$6:$E$124,MATCH(19,Контрагенты!$G$6:$G$124,0)),"")</f>
        <v/>
      </c>
    </row>
    <row r="28">
      <c r="B28" s="6">
        <f>IFERROR(INDEX(Контрагенты!$B$6:$B$124,MATCH(20,Контрагенты!$G$6:$G$124,0)),"")</f>
        <v/>
      </c>
      <c r="C28" s="7">
        <f>IFERROR(INDEX(Контрагенты!$C$6:$C$124,MATCH(20,Контрагенты!$G$6:$G$124,0)),"")</f>
        <v/>
      </c>
      <c r="D28" s="25">
        <f>IFERROR(INDEX(Контрагенты!$D$6:$D$124,MATCH(20,Контрагенты!$G$6:$G$124,0)),"")</f>
        <v/>
      </c>
      <c r="E28" s="25">
        <f>IFERROR(INDEX(Контрагенты!$E$6:$E$124,MATCH(20,Контрагенты!$G$6:$G$124,0)),"")</f>
        <v/>
      </c>
    </row>
    <row r="29">
      <c r="B29" s="6">
        <f>IFERROR(INDEX(Контрагенты!$B$6:$B$124,MATCH(21,Контрагенты!$G$6:$G$124,0)),"")</f>
        <v/>
      </c>
      <c r="C29" s="7">
        <f>IFERROR(INDEX(Контрагенты!$C$6:$C$124,MATCH(21,Контрагенты!$G$6:$G$124,0)),"")</f>
        <v/>
      </c>
      <c r="D29" s="25">
        <f>IFERROR(INDEX(Контрагенты!$D$6:$D$124,MATCH(21,Контрагенты!$G$6:$G$124,0)),"")</f>
        <v/>
      </c>
      <c r="E29" s="25">
        <f>IFERROR(INDEX(Контрагенты!$E$6:$E$124,MATCH(21,Контрагенты!$G$6:$G$124,0)),"")</f>
        <v/>
      </c>
    </row>
    <row r="30">
      <c r="B30" s="6">
        <f>IFERROR(INDEX(Контрагенты!$B$6:$B$124,MATCH(22,Контрагенты!$G$6:$G$124,0)),"")</f>
        <v/>
      </c>
      <c r="C30" s="7">
        <f>IFERROR(INDEX(Контрагенты!$C$6:$C$124,MATCH(22,Контрагенты!$G$6:$G$124,0)),"")</f>
        <v/>
      </c>
      <c r="D30" s="25">
        <f>IFERROR(INDEX(Контрагенты!$D$6:$D$124,MATCH(22,Контрагенты!$G$6:$G$124,0)),"")</f>
        <v/>
      </c>
      <c r="E30" s="25">
        <f>IFERROR(INDEX(Контрагенты!$E$6:$E$124,MATCH(22,Контрагенты!$G$6:$G$124,0)),"")</f>
        <v/>
      </c>
    </row>
    <row r="31">
      <c r="B31" s="6">
        <f>IFERROR(INDEX(Контрагенты!$B$6:$B$124,MATCH(23,Контрагенты!$G$6:$G$124,0)),"")</f>
        <v/>
      </c>
      <c r="C31" s="7">
        <f>IFERROR(INDEX(Контрагенты!$C$6:$C$124,MATCH(23,Контрагенты!$G$6:$G$124,0)),"")</f>
        <v/>
      </c>
      <c r="D31" s="25">
        <f>IFERROR(INDEX(Контрагенты!$D$6:$D$124,MATCH(23,Контрагенты!$G$6:$G$124,0)),"")</f>
        <v/>
      </c>
      <c r="E31" s="25">
        <f>IFERROR(INDEX(Контрагенты!$E$6:$E$124,MATCH(23,Контрагенты!$G$6:$G$124,0)),"")</f>
        <v/>
      </c>
    </row>
    <row r="32">
      <c r="B32" s="6">
        <f>IFERROR(INDEX(Контрагенты!$B$6:$B$124,MATCH(24,Контрагенты!$G$6:$G$124,0)),"")</f>
        <v/>
      </c>
      <c r="C32" s="7">
        <f>IFERROR(INDEX(Контрагенты!$C$6:$C$124,MATCH(24,Контрагенты!$G$6:$G$124,0)),"")</f>
        <v/>
      </c>
      <c r="D32" s="25">
        <f>IFERROR(INDEX(Контрагенты!$D$6:$D$124,MATCH(24,Контрагенты!$G$6:$G$124,0)),"")</f>
        <v/>
      </c>
      <c r="E32" s="25">
        <f>IFERROR(INDEX(Контрагенты!$E$6:$E$124,MATCH(24,Контрагенты!$G$6:$G$124,0)),"")</f>
        <v/>
      </c>
    </row>
    <row r="33">
      <c r="B33" s="6">
        <f>IFERROR(INDEX(Контрагенты!$B$6:$B$124,MATCH(25,Контрагенты!$G$6:$G$124,0)),"")</f>
        <v/>
      </c>
      <c r="C33" s="7">
        <f>IFERROR(INDEX(Контрагенты!$C$6:$C$124,MATCH(25,Контрагенты!$G$6:$G$124,0)),"")</f>
        <v/>
      </c>
      <c r="D33" s="25">
        <f>IFERROR(INDEX(Контрагенты!$D$6:$D$124,MATCH(25,Контрагенты!$G$6:$G$124,0)),"")</f>
        <v/>
      </c>
      <c r="E33" s="25">
        <f>IFERROR(INDEX(Контрагенты!$E$6:$E$124,MATCH(25,Контрагенты!$G$6:$G$124,0)),"")</f>
        <v/>
      </c>
    </row>
    <row r="34">
      <c r="B34" s="6">
        <f>IFERROR(INDEX(Контрагенты!$B$6:$B$124,MATCH(26,Контрагенты!$G$6:$G$124,0)),"")</f>
        <v/>
      </c>
      <c r="C34" s="7">
        <f>IFERROR(INDEX(Контрагенты!$C$6:$C$124,MATCH(26,Контрагенты!$G$6:$G$124,0)),"")</f>
        <v/>
      </c>
      <c r="D34" s="25">
        <f>IFERROR(INDEX(Контрагенты!$D$6:$D$124,MATCH(26,Контрагенты!$G$6:$G$124,0)),"")</f>
        <v/>
      </c>
      <c r="E34" s="25">
        <f>IFERROR(INDEX(Контрагенты!$E$6:$E$124,MATCH(26,Контрагенты!$G$6:$G$124,0)),"")</f>
        <v/>
      </c>
    </row>
    <row r="35">
      <c r="B35" s="6">
        <f>IFERROR(INDEX(Контрагенты!$B$6:$B$124,MATCH(27,Контрагенты!$G$6:$G$124,0)),"")</f>
        <v/>
      </c>
      <c r="C35" s="7">
        <f>IFERROR(INDEX(Контрагенты!$C$6:$C$124,MATCH(27,Контрагенты!$G$6:$G$124,0)),"")</f>
        <v/>
      </c>
      <c r="D35" s="25">
        <f>IFERROR(INDEX(Контрагенты!$D$6:$D$124,MATCH(27,Контрагенты!$G$6:$G$124,0)),"")</f>
        <v/>
      </c>
      <c r="E35" s="25">
        <f>IFERROR(INDEX(Контрагенты!$E$6:$E$124,MATCH(27,Контрагенты!$G$6:$G$124,0)),"")</f>
        <v/>
      </c>
    </row>
    <row r="36">
      <c r="B36" s="6">
        <f>IFERROR(INDEX(Контрагенты!$B$6:$B$124,MATCH(28,Контрагенты!$G$6:$G$124,0)),"")</f>
        <v/>
      </c>
      <c r="C36" s="7">
        <f>IFERROR(INDEX(Контрагенты!$C$6:$C$124,MATCH(28,Контрагенты!$G$6:$G$124,0)),"")</f>
        <v/>
      </c>
      <c r="D36" s="25">
        <f>IFERROR(INDEX(Контрагенты!$D$6:$D$124,MATCH(28,Контрагенты!$G$6:$G$124,0)),"")</f>
        <v/>
      </c>
      <c r="E36" s="25">
        <f>IFERROR(INDEX(Контрагенты!$E$6:$E$124,MATCH(28,Контрагенты!$G$6:$G$124,0)),"")</f>
        <v/>
      </c>
    </row>
    <row r="37">
      <c r="B37" s="6">
        <f>IFERROR(INDEX(Контрагенты!$B$6:$B$124,MATCH(29,Контрагенты!$G$6:$G$124,0)),"")</f>
        <v/>
      </c>
      <c r="C37" s="7">
        <f>IFERROR(INDEX(Контрагенты!$C$6:$C$124,MATCH(29,Контрагенты!$G$6:$G$124,0)),"")</f>
        <v/>
      </c>
      <c r="D37" s="25">
        <f>IFERROR(INDEX(Контрагенты!$D$6:$D$124,MATCH(29,Контрагенты!$G$6:$G$124,0)),"")</f>
        <v/>
      </c>
      <c r="E37" s="25">
        <f>IFERROR(INDEX(Контрагенты!$E$6:$E$124,MATCH(29,Контрагенты!$G$6:$G$124,0)),"")</f>
        <v/>
      </c>
    </row>
    <row r="38">
      <c r="B38" s="6">
        <f>IFERROR(INDEX(Контрагенты!$B$6:$B$124,MATCH(30,Контрагенты!$G$6:$G$124,0)),"")</f>
        <v/>
      </c>
      <c r="C38" s="7">
        <f>IFERROR(INDEX(Контрагенты!$C$6:$C$124,MATCH(30,Контрагенты!$G$6:$G$124,0)),"")</f>
        <v/>
      </c>
      <c r="D38" s="25">
        <f>IFERROR(INDEX(Контрагенты!$D$6:$D$124,MATCH(30,Контрагенты!$G$6:$G$124,0)),"")</f>
        <v/>
      </c>
      <c r="E38" s="25">
        <f>IFERROR(INDEX(Контрагенты!$E$6:$E$124,MATCH(30,Контрагенты!$G$6:$G$124,0)),"")</f>
        <v/>
      </c>
    </row>
    <row r="39">
      <c r="B39" s="6">
        <f>IFERROR(INDEX(Контрагенты!$B$6:$B$124,MATCH(31,Контрагенты!$G$6:$G$124,0)),"")</f>
        <v/>
      </c>
      <c r="C39" s="7">
        <f>IFERROR(INDEX(Контрагенты!$C$6:$C$124,MATCH(31,Контрагенты!$G$6:$G$124,0)),"")</f>
        <v/>
      </c>
      <c r="D39" s="25">
        <f>IFERROR(INDEX(Контрагенты!$D$6:$D$124,MATCH(31,Контрагенты!$G$6:$G$124,0)),"")</f>
        <v/>
      </c>
      <c r="E39" s="25">
        <f>IFERROR(INDEX(Контрагенты!$E$6:$E$124,MATCH(31,Контрагенты!$G$6:$G$124,0)),"")</f>
        <v/>
      </c>
    </row>
    <row r="40">
      <c r="B40" s="6">
        <f>IFERROR(INDEX(Контрагенты!$B$6:$B$124,MATCH(32,Контрагенты!$G$6:$G$124,0)),"")</f>
        <v/>
      </c>
      <c r="C40" s="7">
        <f>IFERROR(INDEX(Контрагенты!$C$6:$C$124,MATCH(32,Контрагенты!$G$6:$G$124,0)),"")</f>
        <v/>
      </c>
      <c r="D40" s="25">
        <f>IFERROR(INDEX(Контрагенты!$D$6:$D$124,MATCH(32,Контрагенты!$G$6:$G$124,0)),"")</f>
        <v/>
      </c>
      <c r="E40" s="25">
        <f>IFERROR(INDEX(Контрагенты!$E$6:$E$124,MATCH(32,Контрагенты!$G$6:$G$124,0)),"")</f>
        <v/>
      </c>
    </row>
    <row r="41">
      <c r="B41" s="6">
        <f>IFERROR(INDEX(Контрагенты!$B$6:$B$124,MATCH(33,Контрагенты!$G$6:$G$124,0)),"")</f>
        <v/>
      </c>
      <c r="C41" s="7">
        <f>IFERROR(INDEX(Контрагенты!$C$6:$C$124,MATCH(33,Контрагенты!$G$6:$G$124,0)),"")</f>
        <v/>
      </c>
      <c r="D41" s="25">
        <f>IFERROR(INDEX(Контрагенты!$D$6:$D$124,MATCH(33,Контрагенты!$G$6:$G$124,0)),"")</f>
        <v/>
      </c>
      <c r="E41" s="25">
        <f>IFERROR(INDEX(Контрагенты!$E$6:$E$124,MATCH(33,Контрагенты!$G$6:$G$124,0)),"")</f>
        <v/>
      </c>
    </row>
    <row r="42">
      <c r="B42" s="6">
        <f>IFERROR(INDEX(Контрагенты!$B$6:$B$124,MATCH(34,Контрагенты!$G$6:$G$124,0)),"")</f>
        <v/>
      </c>
      <c r="C42" s="7">
        <f>IFERROR(INDEX(Контрагенты!$C$6:$C$124,MATCH(34,Контрагенты!$G$6:$G$124,0)),"")</f>
        <v/>
      </c>
      <c r="D42" s="25">
        <f>IFERROR(INDEX(Контрагенты!$D$6:$D$124,MATCH(34,Контрагенты!$G$6:$G$124,0)),"")</f>
        <v/>
      </c>
      <c r="E42" s="25">
        <f>IFERROR(INDEX(Контрагенты!$E$6:$E$124,MATCH(34,Контрагенты!$G$6:$G$124,0)),"")</f>
        <v/>
      </c>
    </row>
    <row r="43">
      <c r="B43" s="6">
        <f>IFERROR(INDEX(Контрагенты!$B$6:$B$124,MATCH(35,Контрагенты!$G$6:$G$124,0)),"")</f>
        <v/>
      </c>
      <c r="C43" s="7">
        <f>IFERROR(INDEX(Контрагенты!$C$6:$C$124,MATCH(35,Контрагенты!$G$6:$G$124,0)),"")</f>
        <v/>
      </c>
      <c r="D43" s="25">
        <f>IFERROR(INDEX(Контрагенты!$D$6:$D$124,MATCH(35,Контрагенты!$G$6:$G$124,0)),"")</f>
        <v/>
      </c>
      <c r="E43" s="25">
        <f>IFERROR(INDEX(Контрагенты!$E$6:$E$124,MATCH(35,Контрагенты!$G$6:$G$124,0)),"")</f>
        <v/>
      </c>
    </row>
    <row r="44">
      <c r="B44" s="6">
        <f>IFERROR(INDEX(Контрагенты!$B$6:$B$124,MATCH(36,Контрагенты!$G$6:$G$124,0)),"")</f>
        <v/>
      </c>
      <c r="C44" s="7">
        <f>IFERROR(INDEX(Контрагенты!$C$6:$C$124,MATCH(36,Контрагенты!$G$6:$G$124,0)),"")</f>
        <v/>
      </c>
      <c r="D44" s="25">
        <f>IFERROR(INDEX(Контрагенты!$D$6:$D$124,MATCH(36,Контрагенты!$G$6:$G$124,0)),"")</f>
        <v/>
      </c>
      <c r="E44" s="25">
        <f>IFERROR(INDEX(Контрагенты!$E$6:$E$124,MATCH(36,Контрагенты!$G$6:$G$124,0)),"")</f>
        <v/>
      </c>
    </row>
    <row r="45">
      <c r="B45" s="6">
        <f>IFERROR(INDEX(Контрагенты!$B$6:$B$124,MATCH(37,Контрагенты!$G$6:$G$124,0)),"")</f>
        <v/>
      </c>
      <c r="C45" s="7">
        <f>IFERROR(INDEX(Контрагенты!$C$6:$C$124,MATCH(37,Контрагенты!$G$6:$G$124,0)),"")</f>
        <v/>
      </c>
      <c r="D45" s="25">
        <f>IFERROR(INDEX(Контрагенты!$D$6:$D$124,MATCH(37,Контрагенты!$G$6:$G$124,0)),"")</f>
        <v/>
      </c>
      <c r="E45" s="25">
        <f>IFERROR(INDEX(Контрагенты!$E$6:$E$124,MATCH(37,Контрагенты!$G$6:$G$124,0)),"")</f>
        <v/>
      </c>
    </row>
    <row r="46">
      <c r="B46" s="6">
        <f>IFERROR(INDEX(Контрагенты!$B$6:$B$124,MATCH(38,Контрагенты!$G$6:$G$124,0)),"")</f>
        <v/>
      </c>
      <c r="C46" s="7">
        <f>IFERROR(INDEX(Контрагенты!$C$6:$C$124,MATCH(38,Контрагенты!$G$6:$G$124,0)),"")</f>
        <v/>
      </c>
      <c r="D46" s="25">
        <f>IFERROR(INDEX(Контрагенты!$D$6:$D$124,MATCH(38,Контрагенты!$G$6:$G$124,0)),"")</f>
        <v/>
      </c>
      <c r="E46" s="25">
        <f>IFERROR(INDEX(Контрагенты!$E$6:$E$124,MATCH(38,Контрагенты!$G$6:$G$124,0)),"")</f>
        <v/>
      </c>
    </row>
    <row r="47">
      <c r="B47" s="6">
        <f>IFERROR(INDEX(Контрагенты!$B$6:$B$124,MATCH(39,Контрагенты!$G$6:$G$124,0)),"")</f>
        <v/>
      </c>
      <c r="C47" s="7">
        <f>IFERROR(INDEX(Контрагенты!$C$6:$C$124,MATCH(39,Контрагенты!$G$6:$G$124,0)),"")</f>
        <v/>
      </c>
      <c r="D47" s="25">
        <f>IFERROR(INDEX(Контрагенты!$D$6:$D$124,MATCH(39,Контрагенты!$G$6:$G$124,0)),"")</f>
        <v/>
      </c>
      <c r="E47" s="25">
        <f>IFERROR(INDEX(Контрагенты!$E$6:$E$124,MATCH(39,Контрагенты!$G$6:$G$124,0)),"")</f>
        <v/>
      </c>
    </row>
    <row r="48">
      <c r="B48" s="6">
        <f>IFERROR(INDEX(Контрагенты!$B$6:$B$124,MATCH(40,Контрагенты!$G$6:$G$124,0)),"")</f>
        <v/>
      </c>
      <c r="C48" s="7">
        <f>IFERROR(INDEX(Контрагенты!$C$6:$C$124,MATCH(40,Контрагенты!$G$6:$G$124,0)),"")</f>
        <v/>
      </c>
      <c r="D48" s="25">
        <f>IFERROR(INDEX(Контрагенты!$D$6:$D$124,MATCH(40,Контрагенты!$G$6:$G$124,0)),"")</f>
        <v/>
      </c>
      <c r="E48" s="25">
        <f>IFERROR(INDEX(Контрагенты!$E$6:$E$124,MATCH(40,Контрагенты!$G$6:$G$124,0)),"")</f>
        <v/>
      </c>
    </row>
    <row r="49">
      <c r="B49" s="6">
        <f>IFERROR(INDEX(Контрагенты!$B$6:$B$124,MATCH(41,Контрагенты!$G$6:$G$124,0)),"")</f>
        <v/>
      </c>
      <c r="C49" s="7">
        <f>IFERROR(INDEX(Контрагенты!$C$6:$C$124,MATCH(41,Контрагенты!$G$6:$G$124,0)),"")</f>
        <v/>
      </c>
      <c r="D49" s="25">
        <f>IFERROR(INDEX(Контрагенты!$D$6:$D$124,MATCH(41,Контрагенты!$G$6:$G$124,0)),"")</f>
        <v/>
      </c>
      <c r="E49" s="25">
        <f>IFERROR(INDEX(Контрагенты!$E$6:$E$124,MATCH(41,Контрагенты!$G$6:$G$124,0)),"")</f>
        <v/>
      </c>
    </row>
    <row r="50">
      <c r="B50" s="6">
        <f>IFERROR(INDEX(Контрагенты!$B$6:$B$124,MATCH(42,Контрагенты!$G$6:$G$124,0)),"")</f>
        <v/>
      </c>
      <c r="C50" s="7">
        <f>IFERROR(INDEX(Контрагенты!$C$6:$C$124,MATCH(42,Контрагенты!$G$6:$G$124,0)),"")</f>
        <v/>
      </c>
      <c r="D50" s="25">
        <f>IFERROR(INDEX(Контрагенты!$D$6:$D$124,MATCH(42,Контрагенты!$G$6:$G$124,0)),"")</f>
        <v/>
      </c>
      <c r="E50" s="25">
        <f>IFERROR(INDEX(Контрагенты!$E$6:$E$124,MATCH(42,Контрагенты!$G$6:$G$124,0)),"")</f>
        <v/>
      </c>
    </row>
    <row r="51">
      <c r="B51" s="6">
        <f>IFERROR(INDEX(Контрагенты!$B$6:$B$124,MATCH(43,Контрагенты!$G$6:$G$124,0)),"")</f>
        <v/>
      </c>
      <c r="C51" s="7">
        <f>IFERROR(INDEX(Контрагенты!$C$6:$C$124,MATCH(43,Контрагенты!$G$6:$G$124,0)),"")</f>
        <v/>
      </c>
      <c r="D51" s="25">
        <f>IFERROR(INDEX(Контрагенты!$D$6:$D$124,MATCH(43,Контрагенты!$G$6:$G$124,0)),"")</f>
        <v/>
      </c>
      <c r="E51" s="25">
        <f>IFERROR(INDEX(Контрагенты!$E$6:$E$124,MATCH(43,Контрагенты!$G$6:$G$124,0)),"")</f>
        <v/>
      </c>
    </row>
    <row r="52">
      <c r="B52" s="6">
        <f>IFERROR(INDEX(Контрагенты!$B$6:$B$124,MATCH(44,Контрагенты!$G$6:$G$124,0)),"")</f>
        <v/>
      </c>
      <c r="C52" s="7">
        <f>IFERROR(INDEX(Контрагенты!$C$6:$C$124,MATCH(44,Контрагенты!$G$6:$G$124,0)),"")</f>
        <v/>
      </c>
      <c r="D52" s="25">
        <f>IFERROR(INDEX(Контрагенты!$D$6:$D$124,MATCH(44,Контрагенты!$G$6:$G$124,0)),"")</f>
        <v/>
      </c>
      <c r="E52" s="25">
        <f>IFERROR(INDEX(Контрагенты!$E$6:$E$124,MATCH(44,Контрагенты!$G$6:$G$124,0)),"")</f>
        <v/>
      </c>
    </row>
    <row r="53">
      <c r="B53" s="6">
        <f>IFERROR(INDEX(Контрагенты!$B$6:$B$124,MATCH(45,Контрагенты!$G$6:$G$124,0)),"")</f>
        <v/>
      </c>
      <c r="C53" s="7">
        <f>IFERROR(INDEX(Контрагенты!$C$6:$C$124,MATCH(45,Контрагенты!$G$6:$G$124,0)),"")</f>
        <v/>
      </c>
      <c r="D53" s="25">
        <f>IFERROR(INDEX(Контрагенты!$D$6:$D$124,MATCH(45,Контрагенты!$G$6:$G$124,0)),"")</f>
        <v/>
      </c>
      <c r="E53" s="25">
        <f>IFERROR(INDEX(Контрагенты!$E$6:$E$124,MATCH(45,Контрагенты!$G$6:$G$124,0)),"")</f>
        <v/>
      </c>
    </row>
    <row r="54">
      <c r="B54" s="6">
        <f>IFERROR(INDEX(Контрагенты!$B$6:$B$124,MATCH(46,Контрагенты!$G$6:$G$124,0)),"")</f>
        <v/>
      </c>
      <c r="C54" s="7">
        <f>IFERROR(INDEX(Контрагенты!$C$6:$C$124,MATCH(46,Контрагенты!$G$6:$G$124,0)),"")</f>
        <v/>
      </c>
      <c r="D54" s="25">
        <f>IFERROR(INDEX(Контрагенты!$D$6:$D$124,MATCH(46,Контрагенты!$G$6:$G$124,0)),"")</f>
        <v/>
      </c>
      <c r="E54" s="25">
        <f>IFERROR(INDEX(Контрагенты!$E$6:$E$124,MATCH(46,Контрагенты!$G$6:$G$124,0)),"")</f>
        <v/>
      </c>
    </row>
    <row r="55">
      <c r="B55" s="6">
        <f>IFERROR(INDEX(Контрагенты!$B$6:$B$124,MATCH(47,Контрагенты!$G$6:$G$124,0)),"")</f>
        <v/>
      </c>
      <c r="C55" s="7">
        <f>IFERROR(INDEX(Контрагенты!$C$6:$C$124,MATCH(47,Контрагенты!$G$6:$G$124,0)),"")</f>
        <v/>
      </c>
      <c r="D55" s="25">
        <f>IFERROR(INDEX(Контрагенты!$D$6:$D$124,MATCH(47,Контрагенты!$G$6:$G$124,0)),"")</f>
        <v/>
      </c>
      <c r="E55" s="25">
        <f>IFERROR(INDEX(Контрагенты!$E$6:$E$124,MATCH(47,Контрагенты!$G$6:$G$124,0)),"")</f>
        <v/>
      </c>
    </row>
    <row r="56">
      <c r="B56" s="6">
        <f>IFERROR(INDEX(Контрагенты!$B$6:$B$124,MATCH(48,Контрагенты!$G$6:$G$124,0)),"")</f>
        <v/>
      </c>
      <c r="C56" s="7">
        <f>IFERROR(INDEX(Контрагенты!$C$6:$C$124,MATCH(48,Контрагенты!$G$6:$G$124,0)),"")</f>
        <v/>
      </c>
      <c r="D56" s="25">
        <f>IFERROR(INDEX(Контрагенты!$D$6:$D$124,MATCH(48,Контрагенты!$G$6:$G$124,0)),"")</f>
        <v/>
      </c>
      <c r="E56" s="25">
        <f>IFERROR(INDEX(Контрагенты!$E$6:$E$124,MATCH(48,Контрагенты!$G$6:$G$124,0)),"")</f>
        <v/>
      </c>
    </row>
    <row r="57">
      <c r="B57" s="6">
        <f>IFERROR(INDEX(Контрагенты!$B$6:$B$124,MATCH(49,Контрагенты!$G$6:$G$124,0)),"")</f>
        <v/>
      </c>
      <c r="C57" s="7">
        <f>IFERROR(INDEX(Контрагенты!$C$6:$C$124,MATCH(49,Контрагенты!$G$6:$G$124,0)),"")</f>
        <v/>
      </c>
      <c r="D57" s="25">
        <f>IFERROR(INDEX(Контрагенты!$D$6:$D$124,MATCH(49,Контрагенты!$G$6:$G$124,0)),"")</f>
        <v/>
      </c>
      <c r="E57" s="25">
        <f>IFERROR(INDEX(Контрагенты!$E$6:$E$124,MATCH(49,Контрагенты!$G$6:$G$124,0)),"")</f>
        <v/>
      </c>
    </row>
    <row r="58">
      <c r="B58" s="6">
        <f>IFERROR(INDEX(Контрагенты!$B$6:$B$124,MATCH(50,Контрагенты!$G$6:$G$124,0)),"")</f>
        <v/>
      </c>
      <c r="C58" s="7">
        <f>IFERROR(INDEX(Контрагенты!$C$6:$C$124,MATCH(50,Контрагенты!$G$6:$G$124,0)),"")</f>
        <v/>
      </c>
      <c r="D58" s="25">
        <f>IFERROR(INDEX(Контрагенты!$D$6:$D$124,MATCH(50,Контрагенты!$G$6:$G$124,0)),"")</f>
        <v/>
      </c>
      <c r="E58" s="25">
        <f>IFERROR(INDEX(Контрагенты!$E$6:$E$124,MATCH(50,Контрагенты!$G$6:$G$124,0)),"")</f>
        <v/>
      </c>
    </row>
    <row r="59">
      <c r="B59" s="6">
        <f>IFERROR(INDEX(Контрагенты!$B$6:$B$124,MATCH(51,Контрагенты!$G$6:$G$124,0)),"")</f>
        <v/>
      </c>
      <c r="C59" s="7">
        <f>IFERROR(INDEX(Контрагенты!$C$6:$C$124,MATCH(51,Контрагенты!$G$6:$G$124,0)),"")</f>
        <v/>
      </c>
      <c r="D59" s="25">
        <f>IFERROR(INDEX(Контрагенты!$D$6:$D$124,MATCH(51,Контрагенты!$G$6:$G$124,0)),"")</f>
        <v/>
      </c>
      <c r="E59" s="25">
        <f>IFERROR(INDEX(Контрагенты!$E$6:$E$124,MATCH(51,Контрагенты!$G$6:$G$124,0)),"")</f>
        <v/>
      </c>
    </row>
    <row r="60">
      <c r="B60" s="6">
        <f>IFERROR(INDEX(Контрагенты!$B$6:$B$124,MATCH(52,Контрагенты!$G$6:$G$124,0)),"")</f>
        <v/>
      </c>
      <c r="C60" s="7">
        <f>IFERROR(INDEX(Контрагенты!$C$6:$C$124,MATCH(52,Контрагенты!$G$6:$G$124,0)),"")</f>
        <v/>
      </c>
      <c r="D60" s="25">
        <f>IFERROR(INDEX(Контрагенты!$D$6:$D$124,MATCH(52,Контрагенты!$G$6:$G$124,0)),"")</f>
        <v/>
      </c>
      <c r="E60" s="25">
        <f>IFERROR(INDEX(Контрагенты!$E$6:$E$124,MATCH(52,Контрагенты!$G$6:$G$124,0)),"")</f>
        <v/>
      </c>
    </row>
    <row r="61">
      <c r="B61" s="6">
        <f>IFERROR(INDEX(Контрагенты!$B$6:$B$124,MATCH(53,Контрагенты!$G$6:$G$124,0)),"")</f>
        <v/>
      </c>
      <c r="C61" s="7">
        <f>IFERROR(INDEX(Контрагенты!$C$6:$C$124,MATCH(53,Контрагенты!$G$6:$G$124,0)),"")</f>
        <v/>
      </c>
      <c r="D61" s="25">
        <f>IFERROR(INDEX(Контрагенты!$D$6:$D$124,MATCH(53,Контрагенты!$G$6:$G$124,0)),"")</f>
        <v/>
      </c>
      <c r="E61" s="25">
        <f>IFERROR(INDEX(Контрагенты!$E$6:$E$124,MATCH(53,Контрагенты!$G$6:$G$124,0)),"")</f>
        <v/>
      </c>
    </row>
    <row r="62">
      <c r="B62" s="6">
        <f>IFERROR(INDEX(Контрагенты!$B$6:$B$124,MATCH(54,Контрагенты!$G$6:$G$124,0)),"")</f>
        <v/>
      </c>
      <c r="C62" s="7">
        <f>IFERROR(INDEX(Контрагенты!$C$6:$C$124,MATCH(54,Контрагенты!$G$6:$G$124,0)),"")</f>
        <v/>
      </c>
      <c r="D62" s="25">
        <f>IFERROR(INDEX(Контрагенты!$D$6:$D$124,MATCH(54,Контрагенты!$G$6:$G$124,0)),"")</f>
        <v/>
      </c>
      <c r="E62" s="25">
        <f>IFERROR(INDEX(Контрагенты!$E$6:$E$124,MATCH(54,Контрагенты!$G$6:$G$124,0)),"")</f>
        <v/>
      </c>
    </row>
    <row r="63">
      <c r="B63" s="6">
        <f>IFERROR(INDEX(Контрагенты!$B$6:$B$124,MATCH(55,Контрагенты!$G$6:$G$124,0)),"")</f>
        <v/>
      </c>
      <c r="C63" s="7">
        <f>IFERROR(INDEX(Контрагенты!$C$6:$C$124,MATCH(55,Контрагенты!$G$6:$G$124,0)),"")</f>
        <v/>
      </c>
      <c r="D63" s="25">
        <f>IFERROR(INDEX(Контрагенты!$D$6:$D$124,MATCH(55,Контрагенты!$G$6:$G$124,0)),"")</f>
        <v/>
      </c>
      <c r="E63" s="25">
        <f>IFERROR(INDEX(Контрагенты!$E$6:$E$124,MATCH(55,Контрагенты!$G$6:$G$124,0)),"")</f>
        <v/>
      </c>
    </row>
    <row r="64">
      <c r="B64" s="6">
        <f>IFERROR(INDEX(Контрагенты!$B$6:$B$124,MATCH(56,Контрагенты!$G$6:$G$124,0)),"")</f>
        <v/>
      </c>
      <c r="C64" s="7">
        <f>IFERROR(INDEX(Контрагенты!$C$6:$C$124,MATCH(56,Контрагенты!$G$6:$G$124,0)),"")</f>
        <v/>
      </c>
      <c r="D64" s="25">
        <f>IFERROR(INDEX(Контрагенты!$D$6:$D$124,MATCH(56,Контрагенты!$G$6:$G$124,0)),"")</f>
        <v/>
      </c>
      <c r="E64" s="25">
        <f>IFERROR(INDEX(Контрагенты!$E$6:$E$124,MATCH(56,Контрагенты!$G$6:$G$124,0)),"")</f>
        <v/>
      </c>
    </row>
    <row r="65">
      <c r="B65" s="6">
        <f>IFERROR(INDEX(Контрагенты!$B$6:$B$124,MATCH(57,Контрагенты!$G$6:$G$124,0)),"")</f>
        <v/>
      </c>
      <c r="C65" s="7">
        <f>IFERROR(INDEX(Контрагенты!$C$6:$C$124,MATCH(57,Контрагенты!$G$6:$G$124,0)),"")</f>
        <v/>
      </c>
      <c r="D65" s="25">
        <f>IFERROR(INDEX(Контрагенты!$D$6:$D$124,MATCH(57,Контрагенты!$G$6:$G$124,0)),"")</f>
        <v/>
      </c>
      <c r="E65" s="25">
        <f>IFERROR(INDEX(Контрагенты!$E$6:$E$124,MATCH(57,Контрагенты!$G$6:$G$124,0)),"")</f>
        <v/>
      </c>
    </row>
    <row r="66">
      <c r="B66" s="6">
        <f>IFERROR(INDEX(Контрагенты!$B$6:$B$124,MATCH(58,Контрагенты!$G$6:$G$124,0)),"")</f>
        <v/>
      </c>
      <c r="C66" s="7">
        <f>IFERROR(INDEX(Контрагенты!$C$6:$C$124,MATCH(58,Контрагенты!$G$6:$G$124,0)),"")</f>
        <v/>
      </c>
      <c r="D66" s="25">
        <f>IFERROR(INDEX(Контрагенты!$D$6:$D$124,MATCH(58,Контрагенты!$G$6:$G$124,0)),"")</f>
        <v/>
      </c>
      <c r="E66" s="25">
        <f>IFERROR(INDEX(Контрагенты!$E$6:$E$124,MATCH(58,Контрагенты!$G$6:$G$124,0)),"")</f>
        <v/>
      </c>
    </row>
    <row r="67">
      <c r="B67" s="6">
        <f>IFERROR(INDEX(Контрагенты!$B$6:$B$124,MATCH(59,Контрагенты!$G$6:$G$124,0)),"")</f>
        <v/>
      </c>
      <c r="C67" s="7">
        <f>IFERROR(INDEX(Контрагенты!$C$6:$C$124,MATCH(59,Контрагенты!$G$6:$G$124,0)),"")</f>
        <v/>
      </c>
      <c r="D67" s="25">
        <f>IFERROR(INDEX(Контрагенты!$D$6:$D$124,MATCH(59,Контрагенты!$G$6:$G$124,0)),"")</f>
        <v/>
      </c>
      <c r="E67" s="25">
        <f>IFERROR(INDEX(Контрагенты!$E$6:$E$124,MATCH(59,Контрагенты!$G$6:$G$124,0)),"")</f>
        <v/>
      </c>
    </row>
    <row r="68">
      <c r="B68" s="6">
        <f>IFERROR(INDEX(Контрагенты!$B$6:$B$124,MATCH(60,Контрагенты!$G$6:$G$124,0)),"")</f>
        <v/>
      </c>
      <c r="C68" s="7">
        <f>IFERROR(INDEX(Контрагенты!$C$6:$C$124,MATCH(60,Контрагенты!$G$6:$G$124,0)),"")</f>
        <v/>
      </c>
      <c r="D68" s="25">
        <f>IFERROR(INDEX(Контрагенты!$D$6:$D$124,MATCH(60,Контрагенты!$G$6:$G$124,0)),"")</f>
        <v/>
      </c>
      <c r="E68" s="25">
        <f>IFERROR(INDEX(Контрагенты!$E$6:$E$124,MATCH(60,Контрагенты!$G$6:$G$124,0)),"")</f>
        <v/>
      </c>
    </row>
    <row r="69">
      <c r="B69" s="6">
        <f>IFERROR(INDEX(Контрагенты!$B$6:$B$124,MATCH(61,Контрагенты!$G$6:$G$124,0)),"")</f>
        <v/>
      </c>
      <c r="C69" s="7">
        <f>IFERROR(INDEX(Контрагенты!$C$6:$C$124,MATCH(61,Контрагенты!$G$6:$G$124,0)),"")</f>
        <v/>
      </c>
      <c r="D69" s="25">
        <f>IFERROR(INDEX(Контрагенты!$D$6:$D$124,MATCH(61,Контрагенты!$G$6:$G$124,0)),"")</f>
        <v/>
      </c>
      <c r="E69" s="25">
        <f>IFERROR(INDEX(Контрагенты!$E$6:$E$124,MATCH(61,Контрагенты!$G$6:$G$124,0)),"")</f>
        <v/>
      </c>
    </row>
    <row r="70">
      <c r="B70" s="6">
        <f>IFERROR(INDEX(Контрагенты!$B$6:$B$124,MATCH(62,Контрагенты!$G$6:$G$124,0)),"")</f>
        <v/>
      </c>
      <c r="C70" s="7">
        <f>IFERROR(INDEX(Контрагенты!$C$6:$C$124,MATCH(62,Контрагенты!$G$6:$G$124,0)),"")</f>
        <v/>
      </c>
      <c r="D70" s="25">
        <f>IFERROR(INDEX(Контрагенты!$D$6:$D$124,MATCH(62,Контрагенты!$G$6:$G$124,0)),"")</f>
        <v/>
      </c>
      <c r="E70" s="25">
        <f>IFERROR(INDEX(Контрагенты!$E$6:$E$124,MATCH(62,Контрагенты!$G$6:$G$124,0)),"")</f>
        <v/>
      </c>
    </row>
    <row r="71">
      <c r="B71" s="6">
        <f>IFERROR(INDEX(Контрагенты!$B$6:$B$124,MATCH(63,Контрагенты!$G$6:$G$124,0)),"")</f>
        <v/>
      </c>
      <c r="C71" s="7">
        <f>IFERROR(INDEX(Контрагенты!$C$6:$C$124,MATCH(63,Контрагенты!$G$6:$G$124,0)),"")</f>
        <v/>
      </c>
      <c r="D71" s="25">
        <f>IFERROR(INDEX(Контрагенты!$D$6:$D$124,MATCH(63,Контрагенты!$G$6:$G$124,0)),"")</f>
        <v/>
      </c>
      <c r="E71" s="25">
        <f>IFERROR(INDEX(Контрагенты!$E$6:$E$124,MATCH(63,Контрагенты!$G$6:$G$124,0)),"")</f>
        <v/>
      </c>
    </row>
    <row r="72">
      <c r="B72" s="6">
        <f>IFERROR(INDEX(Контрагенты!$B$6:$B$124,MATCH(64,Контрагенты!$G$6:$G$124,0)),"")</f>
        <v/>
      </c>
      <c r="C72" s="7">
        <f>IFERROR(INDEX(Контрагенты!$C$6:$C$124,MATCH(64,Контрагенты!$G$6:$G$124,0)),"")</f>
        <v/>
      </c>
      <c r="D72" s="25">
        <f>IFERROR(INDEX(Контрагенты!$D$6:$D$124,MATCH(64,Контрагенты!$G$6:$G$124,0)),"")</f>
        <v/>
      </c>
      <c r="E72" s="25">
        <f>IFERROR(INDEX(Контрагенты!$E$6:$E$124,MATCH(64,Контрагенты!$G$6:$G$124,0)),"")</f>
        <v/>
      </c>
    </row>
    <row r="73">
      <c r="B73" s="6">
        <f>IFERROR(INDEX(Контрагенты!$B$6:$B$124,MATCH(65,Контрагенты!$G$6:$G$124,0)),"")</f>
        <v/>
      </c>
      <c r="C73" s="7">
        <f>IFERROR(INDEX(Контрагенты!$C$6:$C$124,MATCH(65,Контрагенты!$G$6:$G$124,0)),"")</f>
        <v/>
      </c>
      <c r="D73" s="25">
        <f>IFERROR(INDEX(Контрагенты!$D$6:$D$124,MATCH(65,Контрагенты!$G$6:$G$124,0)),"")</f>
        <v/>
      </c>
      <c r="E73" s="25">
        <f>IFERROR(INDEX(Контрагенты!$E$6:$E$124,MATCH(65,Контрагенты!$G$6:$G$124,0)),"")</f>
        <v/>
      </c>
    </row>
    <row r="74">
      <c r="B74" s="6">
        <f>IFERROR(INDEX(Контрагенты!$B$6:$B$124,MATCH(66,Контрагенты!$G$6:$G$124,0)),"")</f>
        <v/>
      </c>
      <c r="C74" s="7">
        <f>IFERROR(INDEX(Контрагенты!$C$6:$C$124,MATCH(66,Контрагенты!$G$6:$G$124,0)),"")</f>
        <v/>
      </c>
      <c r="D74" s="25">
        <f>IFERROR(INDEX(Контрагенты!$D$6:$D$124,MATCH(66,Контрагенты!$G$6:$G$124,0)),"")</f>
        <v/>
      </c>
      <c r="E74" s="25">
        <f>IFERROR(INDEX(Контрагенты!$E$6:$E$124,MATCH(66,Контрагенты!$G$6:$G$124,0)),"")</f>
        <v/>
      </c>
    </row>
    <row r="75">
      <c r="B75" s="6">
        <f>IFERROR(INDEX(Контрагенты!$B$6:$B$124,MATCH(67,Контрагенты!$G$6:$G$124,0)),"")</f>
        <v/>
      </c>
      <c r="C75" s="7">
        <f>IFERROR(INDEX(Контрагенты!$C$6:$C$124,MATCH(67,Контрагенты!$G$6:$G$124,0)),"")</f>
        <v/>
      </c>
      <c r="D75" s="25">
        <f>IFERROR(INDEX(Контрагенты!$D$6:$D$124,MATCH(67,Контрагенты!$G$6:$G$124,0)),"")</f>
        <v/>
      </c>
      <c r="E75" s="25">
        <f>IFERROR(INDEX(Контрагенты!$E$6:$E$124,MATCH(67,Контрагенты!$G$6:$G$124,0)),"")</f>
        <v/>
      </c>
    </row>
    <row r="76">
      <c r="B76" s="6">
        <f>IFERROR(INDEX(Контрагенты!$B$6:$B$124,MATCH(68,Контрагенты!$G$6:$G$124,0)),"")</f>
        <v/>
      </c>
      <c r="C76" s="7">
        <f>IFERROR(INDEX(Контрагенты!$C$6:$C$124,MATCH(68,Контрагенты!$G$6:$G$124,0)),"")</f>
        <v/>
      </c>
      <c r="D76" s="25">
        <f>IFERROR(INDEX(Контрагенты!$D$6:$D$124,MATCH(68,Контрагенты!$G$6:$G$124,0)),"")</f>
        <v/>
      </c>
      <c r="E76" s="25">
        <f>IFERROR(INDEX(Контрагенты!$E$6:$E$124,MATCH(68,Контрагенты!$G$6:$G$124,0)),"")</f>
        <v/>
      </c>
    </row>
    <row r="77">
      <c r="B77" s="6">
        <f>IFERROR(INDEX(Контрагенты!$B$6:$B$124,MATCH(69,Контрагенты!$G$6:$G$124,0)),"")</f>
        <v/>
      </c>
      <c r="C77" s="7">
        <f>IFERROR(INDEX(Контрагенты!$C$6:$C$124,MATCH(69,Контрагенты!$G$6:$G$124,0)),"")</f>
        <v/>
      </c>
      <c r="D77" s="25">
        <f>IFERROR(INDEX(Контрагенты!$D$6:$D$124,MATCH(69,Контрагенты!$G$6:$G$124,0)),"")</f>
        <v/>
      </c>
      <c r="E77" s="25">
        <f>IFERROR(INDEX(Контрагенты!$E$6:$E$124,MATCH(69,Контрагенты!$G$6:$G$124,0)),"")</f>
        <v/>
      </c>
    </row>
    <row r="78">
      <c r="B78" s="6">
        <f>IFERROR(INDEX(Контрагенты!$B$6:$B$124,MATCH(70,Контрагенты!$G$6:$G$124,0)),"")</f>
        <v/>
      </c>
      <c r="C78" s="7">
        <f>IFERROR(INDEX(Контрагенты!$C$6:$C$124,MATCH(70,Контрагенты!$G$6:$G$124,0)),"")</f>
        <v/>
      </c>
      <c r="D78" s="25">
        <f>IFERROR(INDEX(Контрагенты!$D$6:$D$124,MATCH(70,Контрагенты!$G$6:$G$124,0)),"")</f>
        <v/>
      </c>
      <c r="E78" s="25">
        <f>IFERROR(INDEX(Контрагенты!$E$6:$E$124,MATCH(70,Контрагенты!$G$6:$G$124,0)),"")</f>
        <v/>
      </c>
    </row>
    <row r="79">
      <c r="B79" s="6">
        <f>IFERROR(INDEX(Контрагенты!$B$6:$B$124,MATCH(71,Контрагенты!$G$6:$G$124,0)),"")</f>
        <v/>
      </c>
      <c r="C79" s="7">
        <f>IFERROR(INDEX(Контрагенты!$C$6:$C$124,MATCH(71,Контрагенты!$G$6:$G$124,0)),"")</f>
        <v/>
      </c>
      <c r="D79" s="25">
        <f>IFERROR(INDEX(Контрагенты!$D$6:$D$124,MATCH(71,Контрагенты!$G$6:$G$124,0)),"")</f>
        <v/>
      </c>
      <c r="E79" s="25">
        <f>IFERROR(INDEX(Контрагенты!$E$6:$E$124,MATCH(71,Контрагенты!$G$6:$G$124,0)),"")</f>
        <v/>
      </c>
    </row>
    <row r="80">
      <c r="B80" s="6">
        <f>IFERROR(INDEX(Контрагенты!$B$6:$B$124,MATCH(72,Контрагенты!$G$6:$G$124,0)),"")</f>
        <v/>
      </c>
      <c r="C80" s="7">
        <f>IFERROR(INDEX(Контрагенты!$C$6:$C$124,MATCH(72,Контрагенты!$G$6:$G$124,0)),"")</f>
        <v/>
      </c>
      <c r="D80" s="25">
        <f>IFERROR(INDEX(Контрагенты!$D$6:$D$124,MATCH(72,Контрагенты!$G$6:$G$124,0)),"")</f>
        <v/>
      </c>
      <c r="E80" s="25">
        <f>IFERROR(INDEX(Контрагенты!$E$6:$E$124,MATCH(72,Контрагенты!$G$6:$G$124,0)),"")</f>
        <v/>
      </c>
    </row>
    <row r="81">
      <c r="B81" s="6">
        <f>IFERROR(INDEX(Контрагенты!$B$6:$B$124,MATCH(73,Контрагенты!$G$6:$G$124,0)),"")</f>
        <v/>
      </c>
      <c r="C81" s="7">
        <f>IFERROR(INDEX(Контрагенты!$C$6:$C$124,MATCH(73,Контрагенты!$G$6:$G$124,0)),"")</f>
        <v/>
      </c>
      <c r="D81" s="25">
        <f>IFERROR(INDEX(Контрагенты!$D$6:$D$124,MATCH(73,Контрагенты!$G$6:$G$124,0)),"")</f>
        <v/>
      </c>
      <c r="E81" s="25">
        <f>IFERROR(INDEX(Контрагенты!$E$6:$E$124,MATCH(73,Контрагенты!$G$6:$G$124,0)),"")</f>
        <v/>
      </c>
    </row>
    <row r="82">
      <c r="B82" s="6">
        <f>IFERROR(INDEX(Контрагенты!$B$6:$B$124,MATCH(74,Контрагенты!$G$6:$G$124,0)),"")</f>
        <v/>
      </c>
      <c r="C82" s="7">
        <f>IFERROR(INDEX(Контрагенты!$C$6:$C$124,MATCH(74,Контрагенты!$G$6:$G$124,0)),"")</f>
        <v/>
      </c>
      <c r="D82" s="25">
        <f>IFERROR(INDEX(Контрагенты!$D$6:$D$124,MATCH(74,Контрагенты!$G$6:$G$124,0)),"")</f>
        <v/>
      </c>
      <c r="E82" s="25">
        <f>IFERROR(INDEX(Контрагенты!$E$6:$E$124,MATCH(74,Контрагенты!$G$6:$G$124,0)),"")</f>
        <v/>
      </c>
    </row>
    <row r="83">
      <c r="B83" s="6">
        <f>IFERROR(INDEX(Контрагенты!$B$6:$B$124,MATCH(75,Контрагенты!$G$6:$G$124,0)),"")</f>
        <v/>
      </c>
      <c r="C83" s="7">
        <f>IFERROR(INDEX(Контрагенты!$C$6:$C$124,MATCH(75,Контрагенты!$G$6:$G$124,0)),"")</f>
        <v/>
      </c>
      <c r="D83" s="25">
        <f>IFERROR(INDEX(Контрагенты!$D$6:$D$124,MATCH(75,Контрагенты!$G$6:$G$124,0)),"")</f>
        <v/>
      </c>
      <c r="E83" s="25">
        <f>IFERROR(INDEX(Контрагенты!$E$6:$E$124,MATCH(75,Контрагенты!$G$6:$G$124,0)),"")</f>
        <v/>
      </c>
    </row>
    <row r="84">
      <c r="B84" s="6">
        <f>IFERROR(INDEX(Контрагенты!$B$6:$B$124,MATCH(76,Контрагенты!$G$6:$G$124,0)),"")</f>
        <v/>
      </c>
      <c r="C84" s="7">
        <f>IFERROR(INDEX(Контрагенты!$C$6:$C$124,MATCH(76,Контрагенты!$G$6:$G$124,0)),"")</f>
        <v/>
      </c>
      <c r="D84" s="25">
        <f>IFERROR(INDEX(Контрагенты!$D$6:$D$124,MATCH(76,Контрагенты!$G$6:$G$124,0)),"")</f>
        <v/>
      </c>
      <c r="E84" s="25">
        <f>IFERROR(INDEX(Контрагенты!$E$6:$E$124,MATCH(76,Контрагенты!$G$6:$G$124,0)),"")</f>
        <v/>
      </c>
    </row>
    <row r="85">
      <c r="B85" s="6">
        <f>IFERROR(INDEX(Контрагенты!$B$6:$B$124,MATCH(77,Контрагенты!$G$6:$G$124,0)),"")</f>
        <v/>
      </c>
      <c r="C85" s="7">
        <f>IFERROR(INDEX(Контрагенты!$C$6:$C$124,MATCH(77,Контрагенты!$G$6:$G$124,0)),"")</f>
        <v/>
      </c>
      <c r="D85" s="25">
        <f>IFERROR(INDEX(Контрагенты!$D$6:$D$124,MATCH(77,Контрагенты!$G$6:$G$124,0)),"")</f>
        <v/>
      </c>
      <c r="E85" s="25">
        <f>IFERROR(INDEX(Контрагенты!$E$6:$E$124,MATCH(77,Контрагенты!$G$6:$G$124,0)),"")</f>
        <v/>
      </c>
    </row>
    <row r="86">
      <c r="B86" s="6">
        <f>IFERROR(INDEX(Контрагенты!$B$6:$B$124,MATCH(78,Контрагенты!$G$6:$G$124,0)),"")</f>
        <v/>
      </c>
      <c r="C86" s="7">
        <f>IFERROR(INDEX(Контрагенты!$C$6:$C$124,MATCH(78,Контрагенты!$G$6:$G$124,0)),"")</f>
        <v/>
      </c>
      <c r="D86" s="25">
        <f>IFERROR(INDEX(Контрагенты!$D$6:$D$124,MATCH(78,Контрагенты!$G$6:$G$124,0)),"")</f>
        <v/>
      </c>
      <c r="E86" s="25">
        <f>IFERROR(INDEX(Контрагенты!$E$6:$E$124,MATCH(78,Контрагенты!$G$6:$G$124,0)),"")</f>
        <v/>
      </c>
    </row>
    <row r="87">
      <c r="B87" s="6">
        <f>IFERROR(INDEX(Контрагенты!$B$6:$B$124,MATCH(79,Контрагенты!$G$6:$G$124,0)),"")</f>
        <v/>
      </c>
      <c r="C87" s="7">
        <f>IFERROR(INDEX(Контрагенты!$C$6:$C$124,MATCH(79,Контрагенты!$G$6:$G$124,0)),"")</f>
        <v/>
      </c>
      <c r="D87" s="25">
        <f>IFERROR(INDEX(Контрагенты!$D$6:$D$124,MATCH(79,Контрагенты!$G$6:$G$124,0)),"")</f>
        <v/>
      </c>
      <c r="E87" s="25">
        <f>IFERROR(INDEX(Контрагенты!$E$6:$E$124,MATCH(79,Контрагенты!$G$6:$G$124,0)),"")</f>
        <v/>
      </c>
    </row>
    <row r="88">
      <c r="B88" s="6">
        <f>IFERROR(INDEX(Контрагенты!$B$6:$B$124,MATCH(80,Контрагенты!$G$6:$G$124,0)),"")</f>
        <v/>
      </c>
      <c r="C88" s="7">
        <f>IFERROR(INDEX(Контрагенты!$C$6:$C$124,MATCH(80,Контрагенты!$G$6:$G$124,0)),"")</f>
        <v/>
      </c>
      <c r="D88" s="25">
        <f>IFERROR(INDEX(Контрагенты!$D$6:$D$124,MATCH(80,Контрагенты!$G$6:$G$124,0)),"")</f>
        <v/>
      </c>
      <c r="E88" s="25">
        <f>IFERROR(INDEX(Контрагенты!$E$6:$E$124,MATCH(80,Контрагенты!$G$6:$G$124,0)),"")</f>
        <v/>
      </c>
    </row>
    <row r="89">
      <c r="B89" s="6">
        <f>IFERROR(INDEX(Контрагенты!$B$6:$B$124,MATCH(81,Контрагенты!$G$6:$G$124,0)),"")</f>
        <v/>
      </c>
      <c r="C89" s="7">
        <f>IFERROR(INDEX(Контрагенты!$C$6:$C$124,MATCH(81,Контрагенты!$G$6:$G$124,0)),"")</f>
        <v/>
      </c>
      <c r="D89" s="25">
        <f>IFERROR(INDEX(Контрагенты!$D$6:$D$124,MATCH(81,Контрагенты!$G$6:$G$124,0)),"")</f>
        <v/>
      </c>
      <c r="E89" s="25">
        <f>IFERROR(INDEX(Контрагенты!$E$6:$E$124,MATCH(81,Контрагенты!$G$6:$G$124,0)),"")</f>
        <v/>
      </c>
    </row>
    <row r="90">
      <c r="B90" s="6">
        <f>IFERROR(INDEX(Контрагенты!$B$6:$B$124,MATCH(82,Контрагенты!$G$6:$G$124,0)),"")</f>
        <v/>
      </c>
      <c r="C90" s="7">
        <f>IFERROR(INDEX(Контрагенты!$C$6:$C$124,MATCH(82,Контрагенты!$G$6:$G$124,0)),"")</f>
        <v/>
      </c>
      <c r="D90" s="25">
        <f>IFERROR(INDEX(Контрагенты!$D$6:$D$124,MATCH(82,Контрагенты!$G$6:$G$124,0)),"")</f>
        <v/>
      </c>
      <c r="E90" s="25">
        <f>IFERROR(INDEX(Контрагенты!$E$6:$E$124,MATCH(82,Контрагенты!$G$6:$G$124,0)),"")</f>
        <v/>
      </c>
    </row>
    <row r="91">
      <c r="B91" s="6">
        <f>IFERROR(INDEX(Контрагенты!$B$6:$B$124,MATCH(83,Контрагенты!$G$6:$G$124,0)),"")</f>
        <v/>
      </c>
      <c r="C91" s="7">
        <f>IFERROR(INDEX(Контрагенты!$C$6:$C$124,MATCH(83,Контрагенты!$G$6:$G$124,0)),"")</f>
        <v/>
      </c>
      <c r="D91" s="25">
        <f>IFERROR(INDEX(Контрагенты!$D$6:$D$124,MATCH(83,Контрагенты!$G$6:$G$124,0)),"")</f>
        <v/>
      </c>
      <c r="E91" s="25">
        <f>IFERROR(INDEX(Контрагенты!$E$6:$E$124,MATCH(83,Контрагенты!$G$6:$G$124,0)),"")</f>
        <v/>
      </c>
    </row>
    <row r="92">
      <c r="B92" s="6">
        <f>IFERROR(INDEX(Контрагенты!$B$6:$B$124,MATCH(84,Контрагенты!$G$6:$G$124,0)),"")</f>
        <v/>
      </c>
      <c r="C92" s="7">
        <f>IFERROR(INDEX(Контрагенты!$C$6:$C$124,MATCH(84,Контрагенты!$G$6:$G$124,0)),"")</f>
        <v/>
      </c>
      <c r="D92" s="25">
        <f>IFERROR(INDEX(Контрагенты!$D$6:$D$124,MATCH(84,Контрагенты!$G$6:$G$124,0)),"")</f>
        <v/>
      </c>
      <c r="E92" s="25">
        <f>IFERROR(INDEX(Контрагенты!$E$6:$E$124,MATCH(84,Контрагенты!$G$6:$G$124,0)),"")</f>
        <v/>
      </c>
    </row>
    <row r="93">
      <c r="B93" s="6">
        <f>IFERROR(INDEX(Контрагенты!$B$6:$B$124,MATCH(85,Контрагенты!$G$6:$G$124,0)),"")</f>
        <v/>
      </c>
      <c r="C93" s="7">
        <f>IFERROR(INDEX(Контрагенты!$C$6:$C$124,MATCH(85,Контрагенты!$G$6:$G$124,0)),"")</f>
        <v/>
      </c>
      <c r="D93" s="25">
        <f>IFERROR(INDEX(Контрагенты!$D$6:$D$124,MATCH(85,Контрагенты!$G$6:$G$124,0)),"")</f>
        <v/>
      </c>
      <c r="E93" s="25">
        <f>IFERROR(INDEX(Контрагенты!$E$6:$E$124,MATCH(85,Контрагенты!$G$6:$G$124,0)),"")</f>
        <v/>
      </c>
    </row>
    <row r="94">
      <c r="B94" s="6">
        <f>IFERROR(INDEX(Контрагенты!$B$6:$B$124,MATCH(86,Контрагенты!$G$6:$G$124,0)),"")</f>
        <v/>
      </c>
      <c r="C94" s="7">
        <f>IFERROR(INDEX(Контрагенты!$C$6:$C$124,MATCH(86,Контрагенты!$G$6:$G$124,0)),"")</f>
        <v/>
      </c>
      <c r="D94" s="25">
        <f>IFERROR(INDEX(Контрагенты!$D$6:$D$124,MATCH(86,Контрагенты!$G$6:$G$124,0)),"")</f>
        <v/>
      </c>
      <c r="E94" s="25">
        <f>IFERROR(INDEX(Контрагенты!$E$6:$E$124,MATCH(86,Контрагенты!$G$6:$G$124,0)),"")</f>
        <v/>
      </c>
    </row>
    <row r="95">
      <c r="B95" s="6">
        <f>IFERROR(INDEX(Контрагенты!$B$6:$B$124,MATCH(87,Контрагенты!$G$6:$G$124,0)),"")</f>
        <v/>
      </c>
      <c r="C95" s="7">
        <f>IFERROR(INDEX(Контрагенты!$C$6:$C$124,MATCH(87,Контрагенты!$G$6:$G$124,0)),"")</f>
        <v/>
      </c>
      <c r="D95" s="25">
        <f>IFERROR(INDEX(Контрагенты!$D$6:$D$124,MATCH(87,Контрагенты!$G$6:$G$124,0)),"")</f>
        <v/>
      </c>
      <c r="E95" s="25">
        <f>IFERROR(INDEX(Контрагенты!$E$6:$E$124,MATCH(87,Контрагенты!$G$6:$G$124,0)),"")</f>
        <v/>
      </c>
    </row>
    <row r="96">
      <c r="B96" s="6">
        <f>IFERROR(INDEX(Контрагенты!$B$6:$B$124,MATCH(88,Контрагенты!$G$6:$G$124,0)),"")</f>
        <v/>
      </c>
      <c r="C96" s="7">
        <f>IFERROR(INDEX(Контрагенты!$C$6:$C$124,MATCH(88,Контрагенты!$G$6:$G$124,0)),"")</f>
        <v/>
      </c>
      <c r="D96" s="25">
        <f>IFERROR(INDEX(Контрагенты!$D$6:$D$124,MATCH(88,Контрагенты!$G$6:$G$124,0)),"")</f>
        <v/>
      </c>
      <c r="E96" s="25">
        <f>IFERROR(INDEX(Контрагенты!$E$6:$E$124,MATCH(88,Контрагенты!$G$6:$G$124,0)),"")</f>
        <v/>
      </c>
    </row>
    <row r="97">
      <c r="B97" s="6">
        <f>IFERROR(INDEX(Контрагенты!$B$6:$B$124,MATCH(89,Контрагенты!$G$6:$G$124,0)),"")</f>
        <v/>
      </c>
      <c r="C97" s="7">
        <f>IFERROR(INDEX(Контрагенты!$C$6:$C$124,MATCH(89,Контрагенты!$G$6:$G$124,0)),"")</f>
        <v/>
      </c>
      <c r="D97" s="25">
        <f>IFERROR(INDEX(Контрагенты!$D$6:$D$124,MATCH(89,Контрагенты!$G$6:$G$124,0)),"")</f>
        <v/>
      </c>
      <c r="E97" s="25">
        <f>IFERROR(INDEX(Контрагенты!$E$6:$E$124,MATCH(89,Контрагенты!$G$6:$G$124,0)),"")</f>
        <v/>
      </c>
    </row>
    <row r="98">
      <c r="B98" s="6">
        <f>IFERROR(INDEX(Контрагенты!$B$6:$B$124,MATCH(90,Контрагенты!$G$6:$G$124,0)),"")</f>
        <v/>
      </c>
      <c r="C98" s="7">
        <f>IFERROR(INDEX(Контрагенты!$C$6:$C$124,MATCH(90,Контрагенты!$G$6:$G$124,0)),"")</f>
        <v/>
      </c>
      <c r="D98" s="25">
        <f>IFERROR(INDEX(Контрагенты!$D$6:$D$124,MATCH(90,Контрагенты!$G$6:$G$124,0)),"")</f>
        <v/>
      </c>
      <c r="E98" s="25">
        <f>IFERROR(INDEX(Контрагенты!$E$6:$E$124,MATCH(90,Контрагенты!$G$6:$G$124,0)),"")</f>
        <v/>
      </c>
    </row>
    <row r="99">
      <c r="B99" s="6">
        <f>IFERROR(INDEX(Контрагенты!$B$6:$B$124,MATCH(91,Контрагенты!$G$6:$G$124,0)),"")</f>
        <v/>
      </c>
      <c r="C99" s="7">
        <f>IFERROR(INDEX(Контрагенты!$C$6:$C$124,MATCH(91,Контрагенты!$G$6:$G$124,0)),"")</f>
        <v/>
      </c>
      <c r="D99" s="25">
        <f>IFERROR(INDEX(Контрагенты!$D$6:$D$124,MATCH(91,Контрагенты!$G$6:$G$124,0)),"")</f>
        <v/>
      </c>
      <c r="E99" s="25">
        <f>IFERROR(INDEX(Контрагенты!$E$6:$E$124,MATCH(91,Контрагенты!$G$6:$G$124,0)),"")</f>
        <v/>
      </c>
    </row>
    <row r="100">
      <c r="B100" s="6">
        <f>IFERROR(INDEX(Контрагенты!$B$6:$B$124,MATCH(92,Контрагенты!$G$6:$G$124,0)),"")</f>
        <v/>
      </c>
      <c r="C100" s="7">
        <f>IFERROR(INDEX(Контрагенты!$C$6:$C$124,MATCH(92,Контрагенты!$G$6:$G$124,0)),"")</f>
        <v/>
      </c>
      <c r="D100" s="25">
        <f>IFERROR(INDEX(Контрагенты!$D$6:$D$124,MATCH(92,Контрагенты!$G$6:$G$124,0)),"")</f>
        <v/>
      </c>
      <c r="E100" s="25">
        <f>IFERROR(INDEX(Контрагенты!$E$6:$E$124,MATCH(92,Контрагенты!$G$6:$G$124,0)),"")</f>
        <v/>
      </c>
    </row>
    <row r="101">
      <c r="B101" s="6">
        <f>IFERROR(INDEX(Контрагенты!$B$6:$B$124,MATCH(93,Контрагенты!$G$6:$G$124,0)),"")</f>
        <v/>
      </c>
      <c r="C101" s="7">
        <f>IFERROR(INDEX(Контрагенты!$C$6:$C$124,MATCH(93,Контрагенты!$G$6:$G$124,0)),"")</f>
        <v/>
      </c>
      <c r="D101" s="25">
        <f>IFERROR(INDEX(Контрагенты!$D$6:$D$124,MATCH(93,Контрагенты!$G$6:$G$124,0)),"")</f>
        <v/>
      </c>
      <c r="E101" s="25">
        <f>IFERROR(INDEX(Контрагенты!$E$6:$E$124,MATCH(93,Контрагенты!$G$6:$G$124,0)),"")</f>
        <v/>
      </c>
    </row>
    <row r="102">
      <c r="B102" s="6">
        <f>IFERROR(INDEX(Контрагенты!$B$6:$B$124,MATCH(94,Контрагенты!$G$6:$G$124,0)),"")</f>
        <v/>
      </c>
      <c r="C102" s="7">
        <f>IFERROR(INDEX(Контрагенты!$C$6:$C$124,MATCH(94,Контрагенты!$G$6:$G$124,0)),"")</f>
        <v/>
      </c>
      <c r="D102" s="25">
        <f>IFERROR(INDEX(Контрагенты!$D$6:$D$124,MATCH(94,Контрагенты!$G$6:$G$124,0)),"")</f>
        <v/>
      </c>
      <c r="E102" s="25">
        <f>IFERROR(INDEX(Контрагенты!$E$6:$E$124,MATCH(94,Контрагенты!$G$6:$G$124,0)),"")</f>
        <v/>
      </c>
    </row>
    <row r="103">
      <c r="B103" s="6">
        <f>IFERROR(INDEX(Контрагенты!$B$6:$B$124,MATCH(95,Контрагенты!$G$6:$G$124,0)),"")</f>
        <v/>
      </c>
      <c r="C103" s="7">
        <f>IFERROR(INDEX(Контрагенты!$C$6:$C$124,MATCH(95,Контрагенты!$G$6:$G$124,0)),"")</f>
        <v/>
      </c>
      <c r="D103" s="25">
        <f>IFERROR(INDEX(Контрагенты!$D$6:$D$124,MATCH(95,Контрагенты!$G$6:$G$124,0)),"")</f>
        <v/>
      </c>
      <c r="E103" s="25">
        <f>IFERROR(INDEX(Контрагенты!$E$6:$E$124,MATCH(95,Контрагенты!$G$6:$G$124,0)),"")</f>
        <v/>
      </c>
    </row>
    <row r="104">
      <c r="B104" s="6">
        <f>IFERROR(INDEX(Контрагенты!$B$6:$B$124,MATCH(96,Контрагенты!$G$6:$G$124,0)),"")</f>
        <v/>
      </c>
      <c r="C104" s="7">
        <f>IFERROR(INDEX(Контрагенты!$C$6:$C$124,MATCH(96,Контрагенты!$G$6:$G$124,0)),"")</f>
        <v/>
      </c>
      <c r="D104" s="25">
        <f>IFERROR(INDEX(Контрагенты!$D$6:$D$124,MATCH(96,Контрагенты!$G$6:$G$124,0)),"")</f>
        <v/>
      </c>
      <c r="E104" s="25">
        <f>IFERROR(INDEX(Контрагенты!$E$6:$E$124,MATCH(96,Контрагенты!$G$6:$G$124,0)),"")</f>
        <v/>
      </c>
    </row>
    <row r="105">
      <c r="B105" s="6">
        <f>IFERROR(INDEX(Контрагенты!$B$6:$B$124,MATCH(97,Контрагенты!$G$6:$G$124,0)),"")</f>
        <v/>
      </c>
      <c r="C105" s="7">
        <f>IFERROR(INDEX(Контрагенты!$C$6:$C$124,MATCH(97,Контрагенты!$G$6:$G$124,0)),"")</f>
        <v/>
      </c>
      <c r="D105" s="25">
        <f>IFERROR(INDEX(Контрагенты!$D$6:$D$124,MATCH(97,Контрагенты!$G$6:$G$124,0)),"")</f>
        <v/>
      </c>
      <c r="E105" s="25">
        <f>IFERROR(INDEX(Контрагенты!$E$6:$E$124,MATCH(97,Контрагенты!$G$6:$G$124,0)),"")</f>
        <v/>
      </c>
    </row>
    <row r="106">
      <c r="B106" s="6">
        <f>IFERROR(INDEX(Контрагенты!$B$6:$B$124,MATCH(98,Контрагенты!$G$6:$G$124,0)),"")</f>
        <v/>
      </c>
      <c r="C106" s="7">
        <f>IFERROR(INDEX(Контрагенты!$C$6:$C$124,MATCH(98,Контрагенты!$G$6:$G$124,0)),"")</f>
        <v/>
      </c>
      <c r="D106" s="25">
        <f>IFERROR(INDEX(Контрагенты!$D$6:$D$124,MATCH(98,Контрагенты!$G$6:$G$124,0)),"")</f>
        <v/>
      </c>
      <c r="E106" s="25">
        <f>IFERROR(INDEX(Контрагенты!$E$6:$E$124,MATCH(98,Контрагенты!$G$6:$G$124,0)),"")</f>
        <v/>
      </c>
    </row>
    <row r="107">
      <c r="B107" s="6">
        <f>IFERROR(INDEX(Контрагенты!$B$6:$B$124,MATCH(99,Контрагенты!$G$6:$G$124,0)),"")</f>
        <v/>
      </c>
      <c r="C107" s="7">
        <f>IFERROR(INDEX(Контрагенты!$C$6:$C$124,MATCH(99,Контрагенты!$G$6:$G$124,0)),"")</f>
        <v/>
      </c>
      <c r="D107" s="25">
        <f>IFERROR(INDEX(Контрагенты!$D$6:$D$124,MATCH(99,Контрагенты!$G$6:$G$124,0)),"")</f>
        <v/>
      </c>
      <c r="E107" s="25">
        <f>IFERROR(INDEX(Контрагенты!$E$6:$E$124,MATCH(99,Контрагенты!$G$6:$G$124,0)),"")</f>
        <v/>
      </c>
    </row>
    <row r="108">
      <c r="B108" s="6">
        <f>IFERROR(INDEX(Контрагенты!$B$6:$B$124,MATCH(100,Контрагенты!$G$6:$G$124,0)),"")</f>
        <v/>
      </c>
      <c r="C108" s="7">
        <f>IFERROR(INDEX(Контрагенты!$C$6:$C$124,MATCH(100,Контрагенты!$G$6:$G$124,0)),"")</f>
        <v/>
      </c>
      <c r="D108" s="25">
        <f>IFERROR(INDEX(Контрагенты!$D$6:$D$124,MATCH(100,Контрагенты!$G$6:$G$124,0)),"")</f>
        <v/>
      </c>
      <c r="E108" s="25">
        <f>IFERROR(INDEX(Контрагенты!$E$6:$E$124,MATCH(100,Контрагенты!$G$6:$G$124,0)),"")</f>
        <v/>
      </c>
    </row>
    <row r="109">
      <c r="B109" s="6">
        <f>IFERROR(INDEX(Контрагенты!$B$6:$B$124,MATCH(101,Контрагенты!$G$6:$G$124,0)),"")</f>
        <v/>
      </c>
      <c r="C109" s="7">
        <f>IFERROR(INDEX(Контрагенты!$C$6:$C$124,MATCH(101,Контрагенты!$G$6:$G$124,0)),"")</f>
        <v/>
      </c>
      <c r="D109" s="25">
        <f>IFERROR(INDEX(Контрагенты!$D$6:$D$124,MATCH(101,Контрагенты!$G$6:$G$124,0)),"")</f>
        <v/>
      </c>
      <c r="E109" s="25">
        <f>IFERROR(INDEX(Контрагенты!$E$6:$E$124,MATCH(101,Контрагенты!$G$6:$G$124,0)),"")</f>
        <v/>
      </c>
    </row>
    <row r="110">
      <c r="B110" s="6">
        <f>IFERROR(INDEX(Контрагенты!$B$6:$B$124,MATCH(102,Контрагенты!$G$6:$G$124,0)),"")</f>
        <v/>
      </c>
      <c r="C110" s="7">
        <f>IFERROR(INDEX(Контрагенты!$C$6:$C$124,MATCH(102,Контрагенты!$G$6:$G$124,0)),"")</f>
        <v/>
      </c>
      <c r="D110" s="25">
        <f>IFERROR(INDEX(Контрагенты!$D$6:$D$124,MATCH(102,Контрагенты!$G$6:$G$124,0)),"")</f>
        <v/>
      </c>
      <c r="E110" s="25">
        <f>IFERROR(INDEX(Контрагенты!$E$6:$E$124,MATCH(102,Контрагенты!$G$6:$G$124,0)),"")</f>
        <v/>
      </c>
    </row>
    <row r="111">
      <c r="B111" s="6">
        <f>IFERROR(INDEX(Контрагенты!$B$6:$B$124,MATCH(103,Контрагенты!$G$6:$G$124,0)),"")</f>
        <v/>
      </c>
      <c r="C111" s="7">
        <f>IFERROR(INDEX(Контрагенты!$C$6:$C$124,MATCH(103,Контрагенты!$G$6:$G$124,0)),"")</f>
        <v/>
      </c>
      <c r="D111" s="25">
        <f>IFERROR(INDEX(Контрагенты!$D$6:$D$124,MATCH(103,Контрагенты!$G$6:$G$124,0)),"")</f>
        <v/>
      </c>
      <c r="E111" s="25">
        <f>IFERROR(INDEX(Контрагенты!$E$6:$E$124,MATCH(103,Контрагенты!$G$6:$G$124,0)),"")</f>
        <v/>
      </c>
    </row>
    <row r="112">
      <c r="B112" s="6">
        <f>IFERROR(INDEX(Контрагенты!$B$6:$B$124,MATCH(104,Контрагенты!$G$6:$G$124,0)),"")</f>
        <v/>
      </c>
      <c r="C112" s="7">
        <f>IFERROR(INDEX(Контрагенты!$C$6:$C$124,MATCH(104,Контрагенты!$G$6:$G$124,0)),"")</f>
        <v/>
      </c>
      <c r="D112" s="25">
        <f>IFERROR(INDEX(Контрагенты!$D$6:$D$124,MATCH(104,Контрагенты!$G$6:$G$124,0)),"")</f>
        <v/>
      </c>
      <c r="E112" s="25">
        <f>IFERROR(INDEX(Контрагенты!$E$6:$E$124,MATCH(104,Контрагенты!$G$6:$G$124,0)),"")</f>
        <v/>
      </c>
    </row>
    <row r="113">
      <c r="B113" s="6">
        <f>IFERROR(INDEX(Контрагенты!$B$6:$B$124,MATCH(105,Контрагенты!$G$6:$G$124,0)),"")</f>
        <v/>
      </c>
      <c r="C113" s="7">
        <f>IFERROR(INDEX(Контрагенты!$C$6:$C$124,MATCH(105,Контрагенты!$G$6:$G$124,0)),"")</f>
        <v/>
      </c>
      <c r="D113" s="25">
        <f>IFERROR(INDEX(Контрагенты!$D$6:$D$124,MATCH(105,Контрагенты!$G$6:$G$124,0)),"")</f>
        <v/>
      </c>
      <c r="E113" s="25">
        <f>IFERROR(INDEX(Контрагенты!$E$6:$E$124,MATCH(105,Контрагенты!$G$6:$G$124,0)),"")</f>
        <v/>
      </c>
    </row>
    <row r="114">
      <c r="B114" s="6">
        <f>IFERROR(INDEX(Контрагенты!$B$6:$B$124,MATCH(106,Контрагенты!$G$6:$G$124,0)),"")</f>
        <v/>
      </c>
      <c r="C114" s="7">
        <f>IFERROR(INDEX(Контрагенты!$C$6:$C$124,MATCH(106,Контрагенты!$G$6:$G$124,0)),"")</f>
        <v/>
      </c>
      <c r="D114" s="25">
        <f>IFERROR(INDEX(Контрагенты!$D$6:$D$124,MATCH(106,Контрагенты!$G$6:$G$124,0)),"")</f>
        <v/>
      </c>
      <c r="E114" s="25">
        <f>IFERROR(INDEX(Контрагенты!$E$6:$E$124,MATCH(106,Контрагенты!$G$6:$G$124,0)),"")</f>
        <v/>
      </c>
    </row>
    <row r="115">
      <c r="B115" s="6">
        <f>IFERROR(INDEX(Контрагенты!$B$6:$B$124,MATCH(107,Контрагенты!$G$6:$G$124,0)),"")</f>
        <v/>
      </c>
      <c r="C115" s="7">
        <f>IFERROR(INDEX(Контрагенты!$C$6:$C$124,MATCH(107,Контрагенты!$G$6:$G$124,0)),"")</f>
        <v/>
      </c>
      <c r="D115" s="25">
        <f>IFERROR(INDEX(Контрагенты!$D$6:$D$124,MATCH(107,Контрагенты!$G$6:$G$124,0)),"")</f>
        <v/>
      </c>
      <c r="E115" s="25">
        <f>IFERROR(INDEX(Контрагенты!$E$6:$E$124,MATCH(107,Контрагенты!$G$6:$G$124,0)),"")</f>
        <v/>
      </c>
    </row>
    <row r="116">
      <c r="B116" s="6">
        <f>IFERROR(INDEX(Контрагенты!$B$6:$B$124,MATCH(108,Контрагенты!$G$6:$G$124,0)),"")</f>
        <v/>
      </c>
      <c r="C116" s="7">
        <f>IFERROR(INDEX(Контрагенты!$C$6:$C$124,MATCH(108,Контрагенты!$G$6:$G$124,0)),"")</f>
        <v/>
      </c>
      <c r="D116" s="25">
        <f>IFERROR(INDEX(Контрагенты!$D$6:$D$124,MATCH(108,Контрагенты!$G$6:$G$124,0)),"")</f>
        <v/>
      </c>
      <c r="E116" s="25">
        <f>IFERROR(INDEX(Контрагенты!$E$6:$E$124,MATCH(108,Контрагенты!$G$6:$G$124,0)),"")</f>
        <v/>
      </c>
    </row>
    <row r="117">
      <c r="B117" s="6">
        <f>IFERROR(INDEX(Контрагенты!$B$6:$B$124,MATCH(109,Контрагенты!$G$6:$G$124,0)),"")</f>
        <v/>
      </c>
      <c r="C117" s="7">
        <f>IFERROR(INDEX(Контрагенты!$C$6:$C$124,MATCH(109,Контрагенты!$G$6:$G$124,0)),"")</f>
        <v/>
      </c>
      <c r="D117" s="25">
        <f>IFERROR(INDEX(Контрагенты!$D$6:$D$124,MATCH(109,Контрагенты!$G$6:$G$124,0)),"")</f>
        <v/>
      </c>
      <c r="E117" s="25">
        <f>IFERROR(INDEX(Контрагенты!$E$6:$E$124,MATCH(109,Контрагенты!$G$6:$G$124,0)),"")</f>
        <v/>
      </c>
    </row>
    <row r="118">
      <c r="B118" s="6">
        <f>IFERROR(INDEX(Контрагенты!$B$6:$B$124,MATCH(110,Контрагенты!$G$6:$G$124,0)),"")</f>
        <v/>
      </c>
      <c r="C118" s="7">
        <f>IFERROR(INDEX(Контрагенты!$C$6:$C$124,MATCH(110,Контрагенты!$G$6:$G$124,0)),"")</f>
        <v/>
      </c>
      <c r="D118" s="25">
        <f>IFERROR(INDEX(Контрагенты!$D$6:$D$124,MATCH(110,Контрагенты!$G$6:$G$124,0)),"")</f>
        <v/>
      </c>
      <c r="E118" s="25">
        <f>IFERROR(INDEX(Контрагенты!$E$6:$E$124,MATCH(110,Контрагенты!$G$6:$G$124,0)),"")</f>
        <v/>
      </c>
    </row>
    <row r="119">
      <c r="B119" s="6">
        <f>IFERROR(INDEX(Контрагенты!$B$6:$B$124,MATCH(111,Контрагенты!$G$6:$G$124,0)),"")</f>
        <v/>
      </c>
      <c r="C119" s="7">
        <f>IFERROR(INDEX(Контрагенты!$C$6:$C$124,MATCH(111,Контрагенты!$G$6:$G$124,0)),"")</f>
        <v/>
      </c>
      <c r="D119" s="25">
        <f>IFERROR(INDEX(Контрагенты!$D$6:$D$124,MATCH(111,Контрагенты!$G$6:$G$124,0)),"")</f>
        <v/>
      </c>
      <c r="E119" s="25">
        <f>IFERROR(INDEX(Контрагенты!$E$6:$E$124,MATCH(111,Контрагенты!$G$6:$G$124,0)),"")</f>
        <v/>
      </c>
    </row>
    <row r="120">
      <c r="B120" s="6">
        <f>IFERROR(INDEX(Контрагенты!$B$6:$B$124,MATCH(112,Контрагенты!$G$6:$G$124,0)),"")</f>
        <v/>
      </c>
      <c r="C120" s="7">
        <f>IFERROR(INDEX(Контрагенты!$C$6:$C$124,MATCH(112,Контрагенты!$G$6:$G$124,0)),"")</f>
        <v/>
      </c>
      <c r="D120" s="25">
        <f>IFERROR(INDEX(Контрагенты!$D$6:$D$124,MATCH(112,Контрагенты!$G$6:$G$124,0)),"")</f>
        <v/>
      </c>
      <c r="E120" s="25">
        <f>IFERROR(INDEX(Контрагенты!$E$6:$E$124,MATCH(112,Контрагенты!$G$6:$G$124,0)),"")</f>
        <v/>
      </c>
    </row>
    <row r="121">
      <c r="B121" s="6">
        <f>IFERROR(INDEX(Контрагенты!$B$6:$B$124,MATCH(113,Контрагенты!$G$6:$G$124,0)),"")</f>
        <v/>
      </c>
      <c r="C121" s="7">
        <f>IFERROR(INDEX(Контрагенты!$C$6:$C$124,MATCH(113,Контрагенты!$G$6:$G$124,0)),"")</f>
        <v/>
      </c>
      <c r="D121" s="25">
        <f>IFERROR(INDEX(Контрагенты!$D$6:$D$124,MATCH(113,Контрагенты!$G$6:$G$124,0)),"")</f>
        <v/>
      </c>
      <c r="E121" s="25">
        <f>IFERROR(INDEX(Контрагенты!$E$6:$E$124,MATCH(113,Контрагенты!$G$6:$G$124,0)),"")</f>
        <v/>
      </c>
    </row>
    <row r="122">
      <c r="B122" s="6">
        <f>IFERROR(INDEX(Контрагенты!$B$6:$B$124,MATCH(114,Контрагенты!$G$6:$G$124,0)),"")</f>
        <v/>
      </c>
      <c r="C122" s="7">
        <f>IFERROR(INDEX(Контрагенты!$C$6:$C$124,MATCH(114,Контрагенты!$G$6:$G$124,0)),"")</f>
        <v/>
      </c>
      <c r="D122" s="25">
        <f>IFERROR(INDEX(Контрагенты!$D$6:$D$124,MATCH(114,Контрагенты!$G$6:$G$124,0)),"")</f>
        <v/>
      </c>
      <c r="E122" s="25">
        <f>IFERROR(INDEX(Контрагенты!$E$6:$E$124,MATCH(114,Контрагенты!$G$6:$G$124,0)),"")</f>
        <v/>
      </c>
    </row>
    <row r="123">
      <c r="B123" s="6">
        <f>IFERROR(INDEX(Контрагенты!$B$6:$B$124,MATCH(115,Контрагенты!$G$6:$G$124,0)),"")</f>
        <v/>
      </c>
      <c r="C123" s="7">
        <f>IFERROR(INDEX(Контрагенты!$C$6:$C$124,MATCH(115,Контрагенты!$G$6:$G$124,0)),"")</f>
        <v/>
      </c>
      <c r="D123" s="25">
        <f>IFERROR(INDEX(Контрагенты!$D$6:$D$124,MATCH(115,Контрагенты!$G$6:$G$124,0)),"")</f>
        <v/>
      </c>
      <c r="E123" s="25">
        <f>IFERROR(INDEX(Контрагенты!$E$6:$E$124,MATCH(115,Контрагенты!$G$6:$G$124,0)),"")</f>
        <v/>
      </c>
    </row>
    <row r="124">
      <c r="B124" s="6">
        <f>IFERROR(INDEX(Контрагенты!$B$6:$B$124,MATCH(116,Контрагенты!$G$6:$G$124,0)),"")</f>
        <v/>
      </c>
      <c r="C124" s="7">
        <f>IFERROR(INDEX(Контрагенты!$C$6:$C$124,MATCH(116,Контрагенты!$G$6:$G$124,0)),"")</f>
        <v/>
      </c>
      <c r="D124" s="25">
        <f>IFERROR(INDEX(Контрагенты!$D$6:$D$124,MATCH(116,Контрагенты!$G$6:$G$124,0)),"")</f>
        <v/>
      </c>
      <c r="E124" s="25">
        <f>IFERROR(INDEX(Контрагенты!$E$6:$E$124,MATCH(116,Контрагенты!$G$6:$G$124,0)),"")</f>
        <v/>
      </c>
    </row>
    <row r="125">
      <c r="B125" s="6">
        <f>IFERROR(INDEX(Контрагенты!$B$6:$B$124,MATCH(117,Контрагенты!$G$6:$G$124,0)),"")</f>
        <v/>
      </c>
      <c r="C125" s="7">
        <f>IFERROR(INDEX(Контрагенты!$C$6:$C$124,MATCH(117,Контрагенты!$G$6:$G$124,0)),"")</f>
        <v/>
      </c>
      <c r="D125" s="25">
        <f>IFERROR(INDEX(Контрагенты!$D$6:$D$124,MATCH(117,Контрагенты!$G$6:$G$124,0)),"")</f>
        <v/>
      </c>
      <c r="E125" s="25">
        <f>IFERROR(INDEX(Контрагенты!$E$6:$E$124,MATCH(117,Контрагенты!$G$6:$G$124,0)),"")</f>
        <v/>
      </c>
    </row>
    <row r="126">
      <c r="B126" s="6">
        <f>IFERROR(INDEX(Контрагенты!$B$6:$B$124,MATCH(118,Контрагенты!$G$6:$G$124,0)),"")</f>
        <v/>
      </c>
      <c r="C126" s="7">
        <f>IFERROR(INDEX(Контрагенты!$C$6:$C$124,MATCH(118,Контрагенты!$G$6:$G$124,0)),"")</f>
        <v/>
      </c>
      <c r="D126" s="25">
        <f>IFERROR(INDEX(Контрагенты!$D$6:$D$124,MATCH(118,Контрагенты!$G$6:$G$124,0)),"")</f>
        <v/>
      </c>
      <c r="E126" s="25">
        <f>IFERROR(INDEX(Контрагенты!$E$6:$E$124,MATCH(118,Контрагенты!$G$6:$G$124,0)),"")</f>
        <v/>
      </c>
    </row>
    <row r="127">
      <c r="B127" s="6">
        <f>IFERROR(INDEX(Контрагенты!$B$6:$B$124,MATCH(119,Контрагенты!$G$6:$G$124,0)),"")</f>
        <v/>
      </c>
      <c r="C127" s="7">
        <f>IFERROR(INDEX(Контрагенты!$C$6:$C$124,MATCH(119,Контрагенты!$G$6:$G$124,0)),"")</f>
        <v/>
      </c>
      <c r="D127" s="25">
        <f>IFERROR(INDEX(Контрагенты!$D$6:$D$124,MATCH(119,Контрагенты!$G$6:$G$124,0)),"")</f>
        <v/>
      </c>
      <c r="E127" s="25">
        <f>IFERROR(INDEX(Контрагенты!$E$6:$E$124,MATCH(119,Контрагенты!$G$6:$G$124,0)),"")</f>
        <v/>
      </c>
    </row>
    <row r="128">
      <c r="B128" s="6">
        <f>IFERROR(INDEX(Контрагенты!$B$6:$B$124,MATCH(120,Контрагенты!$G$6:$G$124,0)),"")</f>
        <v/>
      </c>
      <c r="C128" s="7">
        <f>IFERROR(INDEX(Контрагенты!$C$6:$C$124,MATCH(120,Контрагенты!$G$6:$G$124,0)),"")</f>
        <v/>
      </c>
      <c r="D128" s="25">
        <f>IFERROR(INDEX(Контрагенты!$D$6:$D$124,MATCH(120,Контрагенты!$G$6:$G$124,0)),"")</f>
        <v/>
      </c>
      <c r="E128" s="25">
        <f>IFERROR(INDEX(Контрагенты!$E$6:$E$124,MATCH(120,Контрагенты!$G$6:$G$124,0)),"")</f>
        <v/>
      </c>
    </row>
    <row r="129">
      <c r="B129" s="6">
        <f>IFERROR(INDEX(Контрагенты!$B$6:$B$124,MATCH(121,Контрагенты!$G$6:$G$124,0)),"")</f>
        <v/>
      </c>
      <c r="C129" s="7">
        <f>IFERROR(INDEX(Контрагенты!$C$6:$C$124,MATCH(121,Контрагенты!$G$6:$G$124,0)),"")</f>
        <v/>
      </c>
      <c r="D129" s="25">
        <f>IFERROR(INDEX(Контрагенты!$D$6:$D$124,MATCH(121,Контрагенты!$G$6:$G$124,0)),"")</f>
        <v/>
      </c>
      <c r="E129" s="25">
        <f>IFERROR(INDEX(Контрагенты!$E$6:$E$124,MATCH(121,Контрагенты!$G$6:$G$124,0)),"")</f>
        <v/>
      </c>
    </row>
    <row r="130">
      <c r="B130" s="6">
        <f>IFERROR(INDEX(Контрагенты!$B$6:$B$124,MATCH(122,Контрагенты!$G$6:$G$124,0)),"")</f>
        <v/>
      </c>
      <c r="C130" s="7">
        <f>IFERROR(INDEX(Контрагенты!$C$6:$C$124,MATCH(122,Контрагенты!$G$6:$G$124,0)),"")</f>
        <v/>
      </c>
      <c r="D130" s="25">
        <f>IFERROR(INDEX(Контрагенты!$D$6:$D$124,MATCH(122,Контрагенты!$G$6:$G$124,0)),"")</f>
        <v/>
      </c>
      <c r="E130" s="25">
        <f>IFERROR(INDEX(Контрагенты!$E$6:$E$124,MATCH(122,Контрагенты!$G$6:$G$124,0)),"")</f>
        <v/>
      </c>
    </row>
    <row r="131">
      <c r="B131" s="6">
        <f>IFERROR(INDEX(Контрагенты!$B$6:$B$124,MATCH(123,Контрагенты!$G$6:$G$124,0)),"")</f>
        <v/>
      </c>
      <c r="C131" s="7">
        <f>IFERROR(INDEX(Контрагенты!$C$6:$C$124,MATCH(123,Контрагенты!$G$6:$G$124,0)),"")</f>
        <v/>
      </c>
      <c r="D131" s="25">
        <f>IFERROR(INDEX(Контрагенты!$D$6:$D$124,MATCH(123,Контрагенты!$G$6:$G$124,0)),"")</f>
        <v/>
      </c>
      <c r="E131" s="25">
        <f>IFERROR(INDEX(Контрагенты!$E$6:$E$124,MATCH(123,Контрагенты!$G$6:$G$124,0)),"")</f>
        <v/>
      </c>
    </row>
    <row r="132">
      <c r="B132" s="6">
        <f>IFERROR(INDEX(Контрагенты!$B$6:$B$124,MATCH(124,Контрагенты!$G$6:$G$124,0)),"")</f>
        <v/>
      </c>
      <c r="C132" s="7">
        <f>IFERROR(INDEX(Контрагенты!$C$6:$C$124,MATCH(124,Контрагенты!$G$6:$G$124,0)),"")</f>
        <v/>
      </c>
      <c r="D132" s="25">
        <f>IFERROR(INDEX(Контрагенты!$D$6:$D$124,MATCH(124,Контрагенты!$G$6:$G$124,0)),"")</f>
        <v/>
      </c>
      <c r="E132" s="25">
        <f>IFERROR(INDEX(Контрагенты!$E$6:$E$124,MATCH(124,Контрагенты!$G$6:$G$124,0)),"")</f>
        <v/>
      </c>
    </row>
    <row r="133">
      <c r="B133" s="26" t="inlineStr">
        <is>
          <t>ИТОГО ПО ВЫБОРКЕ</t>
        </is>
      </c>
      <c r="C133" s="27">
        <f>SUM(C9:C132)</f>
        <v/>
      </c>
      <c r="D133" s="28" t="inlineStr">
        <is>
          <t>сходится с суммой выше</t>
        </is>
      </c>
      <c r="E133" s="16" t="n"/>
    </row>
    <row r="135">
      <c r="B135" s="20" t="inlineStr">
        <is>
          <t>Итоги</t>
        </is>
      </c>
    </row>
    <row r="136" ht="26" customHeight="1">
      <c r="B136" s="4" t="inlineStr">
        <is>
          <t>Показатель</t>
        </is>
      </c>
      <c r="C136" s="4" t="inlineStr">
        <is>
          <t>Сумма</t>
        </is>
      </c>
      <c r="D136" s="4" t="inlineStr">
        <is>
          <t>Контрагентов</t>
        </is>
      </c>
      <c r="E136" s="4" t="inlineStr">
        <is>
          <t>Комментарий</t>
        </is>
      </c>
    </row>
    <row r="137">
      <c r="B137" s="6" t="inlineStr">
        <is>
          <t>медицинские</t>
        </is>
      </c>
      <c r="C137" s="7">
        <f>SUMIF(Контрагенты!$E$6:$E$124,B137,Контрагенты!$C$6:$C$124)</f>
        <v/>
      </c>
      <c r="D137" s="29">
        <f>COUNTIF(Контрагенты!$E$6:$E$124,B137)</f>
        <v/>
      </c>
      <c r="E137" s="30" t="n"/>
    </row>
    <row r="138">
      <c r="B138" s="6" t="inlineStr">
        <is>
          <t>управленческие</t>
        </is>
      </c>
      <c r="C138" s="7">
        <f>SUMIF(Контрагенты!$E$6:$E$124,B138,Контрагенты!$C$6:$C$124)</f>
        <v/>
      </c>
      <c r="D138" s="29">
        <f>COUNTIF(Контрагенты!$E$6:$E$124,B138)</f>
        <v/>
      </c>
      <c r="E138" s="30" t="n"/>
    </row>
    <row r="139">
      <c r="B139" s="26" t="inlineStr">
        <is>
          <t>Сумма по контрагентам</t>
        </is>
      </c>
      <c r="C139" s="27">
        <f>SUM(C137:C138)</f>
        <v/>
      </c>
      <c r="D139" s="16" t="n"/>
      <c r="E139" s="16" t="n"/>
    </row>
    <row r="140">
      <c r="B140" s="12" t="inlineStr">
        <is>
          <t>Корректировка 1</t>
        </is>
      </c>
      <c r="C140" s="13">
        <f>Контрагенты!C126</f>
        <v/>
      </c>
      <c r="E140" s="2" t="inlineStr">
        <is>
          <t>ручная поправка бухгалтерии</t>
        </is>
      </c>
    </row>
    <row r="141">
      <c r="B141" s="12" t="inlineStr">
        <is>
          <t>Корректировка 2</t>
        </is>
      </c>
      <c r="C141" s="13">
        <f>Контрагенты!C127</f>
        <v/>
      </c>
      <c r="E141" s="2" t="inlineStr">
        <is>
          <t>ручная поправка бухгалтерии</t>
        </is>
      </c>
    </row>
    <row r="142">
      <c r="B142" s="12" t="inlineStr">
        <is>
          <t>Корректировка 3</t>
        </is>
      </c>
      <c r="C142" s="13">
        <f>Контрагенты!C128</f>
        <v/>
      </c>
      <c r="E142" s="2" t="inlineStr">
        <is>
          <t>ручная поправка бухгалтерии</t>
        </is>
      </c>
    </row>
    <row r="143">
      <c r="B143" s="31" t="inlineStr">
        <is>
          <t>В РАСХОДЫ УЧРЕДИТЕЛЕЙ</t>
        </is>
      </c>
      <c r="C143" s="32">
        <f>Контрагенты!C129</f>
        <v/>
      </c>
      <c r="D143" s="16" t="n"/>
      <c r="E143" s="16" t="n"/>
    </row>
    <row r="145">
      <c r="B145" s="22" t="inlineStr">
        <is>
          <t>Ремонт Самокатная 1 стр.12</t>
        </is>
      </c>
      <c r="C145" s="33" t="n">
        <v>11000000</v>
      </c>
      <c r="E145" s="2" t="inlineStr">
        <is>
          <t>за суммой, в расходы не входит</t>
        </is>
      </c>
    </row>
  </sheetData>
  <dataValidations count="1">
    <dataValidation sqref="C5" showDropDown="0" showInputMessage="0" showErrorMessage="0" allowBlank="0" type="list">
      <formula1>=Списки!$A$1:$A$73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84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18" customWidth="1" min="4" max="4"/>
    <col width="10" customWidth="1" min="5" max="5"/>
    <col width="14" customWidth="1" min="6" max="6"/>
  </cols>
  <sheetData>
    <row r="2">
      <c r="B2" s="1" t="inlineStr">
        <is>
          <t>Статьи расходов</t>
        </is>
      </c>
    </row>
    <row r="3">
      <c r="B3" s="2" t="inlineStr">
        <is>
          <t>Сумма статьи — SUMIF по листу «Контрагенты». База для доли переключается в C4.</t>
        </is>
      </c>
      <c r="C3" s="34">
        <f>IF($C$4="суммы по контрагентам",Контрагенты!$C$125,Свод!$C$143)</f>
        <v/>
      </c>
    </row>
    <row r="4">
      <c r="B4" s="22" t="inlineStr">
        <is>
          <t>Доля считается от:</t>
        </is>
      </c>
      <c r="C4" s="35" t="inlineStr">
        <is>
          <t>расходов учредителей</t>
        </is>
      </c>
    </row>
    <row r="6" ht="26" customHeight="1">
      <c r="B6" s="4" t="inlineStr">
        <is>
          <t>Статья</t>
        </is>
      </c>
      <c r="C6" s="4" t="inlineStr">
        <is>
          <t>Блок</t>
        </is>
      </c>
      <c r="D6" s="4" t="inlineStr">
        <is>
          <t>Сумма</t>
        </is>
      </c>
      <c r="E6" s="4" t="inlineStr">
        <is>
          <t>Доля</t>
        </is>
      </c>
      <c r="F6" s="4" t="inlineStr">
        <is>
          <t>Контрагентов</t>
        </is>
      </c>
    </row>
    <row r="7">
      <c r="B7" s="36" t="inlineStr">
        <is>
          <t>МЕДИЦИНСКИЕ</t>
        </is>
      </c>
    </row>
    <row r="8">
      <c r="B8" s="37" t="inlineStr">
        <is>
          <t>Анализы</t>
        </is>
      </c>
      <c r="C8" s="29" t="inlineStr">
        <is>
          <t>медицинские</t>
        </is>
      </c>
      <c r="D8" s="7">
        <f>SUMIF(Контрагенты!$D$6:$D$124,B8&amp;"",Контрагенты!$C$6:$C$124)</f>
        <v/>
      </c>
      <c r="E8" s="38">
        <f>IF($C$3=0,0,D8/$C$3)</f>
        <v/>
      </c>
      <c r="F8" s="29">
        <f>COUNTIF(Контрагенты!$D$6:$D$124,B8&amp;"")</f>
        <v/>
      </c>
    </row>
    <row r="9">
      <c r="B9" s="37" t="inlineStr">
        <is>
          <t>Аренда Inmode</t>
        </is>
      </c>
      <c r="C9" s="29" t="inlineStr">
        <is>
          <t>медицинские</t>
        </is>
      </c>
      <c r="D9" s="7">
        <f>SUMIF(Контрагенты!$D$6:$D$124,B9&amp;"",Контрагенты!$C$6:$C$124)</f>
        <v/>
      </c>
      <c r="E9" s="38">
        <f>IF($C$3=0,0,D9/$C$3)</f>
        <v/>
      </c>
      <c r="F9" s="29">
        <f>COUNTIF(Контрагенты!$D$6:$D$124,B9&amp;"")</f>
        <v/>
      </c>
    </row>
    <row r="10">
      <c r="B10" s="37" t="inlineStr">
        <is>
          <t>Белье</t>
        </is>
      </c>
      <c r="C10" s="29" t="inlineStr">
        <is>
          <t>медицинские</t>
        </is>
      </c>
      <c r="D10" s="7">
        <f>SUMIF(Контрагенты!$D$6:$D$124,B10&amp;"",Контрагенты!$C$6:$C$124)</f>
        <v/>
      </c>
      <c r="E10" s="38">
        <f>IF($C$3=0,0,D10/$C$3)</f>
        <v/>
      </c>
      <c r="F10" s="29">
        <f>COUNTIF(Контрагенты!$D$6:$D$124,B10&amp;"")</f>
        <v/>
      </c>
    </row>
    <row r="11">
      <c r="B11" s="37" t="inlineStr">
        <is>
          <t>Бланки, мед.журналы, мед.книжки</t>
        </is>
      </c>
      <c r="C11" s="29" t="inlineStr">
        <is>
          <t>медицинские</t>
        </is>
      </c>
      <c r="D11" s="7">
        <f>SUMIF(Контрагенты!$D$6:$D$124,B11&amp;"",Контрагенты!$C$6:$C$124)</f>
        <v/>
      </c>
      <c r="E11" s="38">
        <f>IF($C$3=0,0,D11/$C$3)</f>
        <v/>
      </c>
      <c r="F11" s="29">
        <f>COUNTIF(Контрагенты!$D$6:$D$124,B11&amp;"")</f>
        <v/>
      </c>
    </row>
    <row r="12">
      <c r="B12" s="37" t="inlineStr">
        <is>
          <t>Вывоз ТКО и мед отходов</t>
        </is>
      </c>
      <c r="C12" s="29" t="inlineStr">
        <is>
          <t>медицинские</t>
        </is>
      </c>
      <c r="D12" s="7">
        <f>SUMIF(Контрагенты!$D$6:$D$124,B12&amp;"",Контрагенты!$C$6:$C$124)</f>
        <v/>
      </c>
      <c r="E12" s="38">
        <f>IF($C$3=0,0,D12/$C$3)</f>
        <v/>
      </c>
      <c r="F12" s="29">
        <f>COUNTIF(Контрагенты!$D$6:$D$124,B12&amp;"")</f>
        <v/>
      </c>
    </row>
    <row r="13">
      <c r="B13" s="37" t="inlineStr">
        <is>
          <t>Гонорары ИП хирургов</t>
        </is>
      </c>
      <c r="C13" s="29" t="inlineStr">
        <is>
          <t>медицинские</t>
        </is>
      </c>
      <c r="D13" s="7">
        <f>SUMIF(Контрагенты!$D$6:$D$124,B13&amp;"",Контрагенты!$C$6:$C$124)</f>
        <v/>
      </c>
      <c r="E13" s="38">
        <f>IF($C$3=0,0,D13/$C$3)</f>
        <v/>
      </c>
      <c r="F13" s="29">
        <f>COUNTIF(Контрагенты!$D$6:$D$124,B13&amp;"")</f>
        <v/>
      </c>
    </row>
    <row r="14">
      <c r="B14" s="37" t="inlineStr">
        <is>
          <t>ИП Завиркин А.В.</t>
        </is>
      </c>
      <c r="C14" s="29" t="inlineStr">
        <is>
          <t>медицинские</t>
        </is>
      </c>
      <c r="D14" s="7">
        <f>SUMIF(Контрагенты!$D$6:$D$124,B14&amp;"",Контрагенты!$C$6:$C$124)</f>
        <v/>
      </c>
      <c r="E14" s="38">
        <f>IF($C$3=0,0,D14/$C$3)</f>
        <v/>
      </c>
      <c r="F14" s="29">
        <f>COUNTIF(Контрагенты!$D$6:$D$124,B14&amp;"")</f>
        <v/>
      </c>
    </row>
    <row r="15">
      <c r="B15" s="37" t="inlineStr">
        <is>
          <t>ИП Чугуевская (ЗП Заведягин ОН)</t>
        </is>
      </c>
      <c r="C15" s="29" t="inlineStr">
        <is>
          <t>медицинские</t>
        </is>
      </c>
      <c r="D15" s="7">
        <f>SUMIF(Контрагенты!$D$6:$D$124,B15&amp;"",Контрагенты!$C$6:$C$124)</f>
        <v/>
      </c>
      <c r="E15" s="38">
        <f>IF($C$3=0,0,D15/$C$3)</f>
        <v/>
      </c>
      <c r="F15" s="29">
        <f>COUNTIF(Контрагенты!$D$6:$D$124,B15&amp;"")</f>
        <v/>
      </c>
    </row>
    <row r="16">
      <c r="B16" s="37" t="inlineStr">
        <is>
          <t>Импланты</t>
        </is>
      </c>
      <c r="C16" s="29" t="inlineStr">
        <is>
          <t>медицинские</t>
        </is>
      </c>
      <c r="D16" s="7">
        <f>SUMIF(Контрагенты!$D$6:$D$124,B16&amp;"",Контрагенты!$C$6:$C$124)</f>
        <v/>
      </c>
      <c r="E16" s="38">
        <f>IF($C$3=0,0,D16/$C$3)</f>
        <v/>
      </c>
      <c r="F16" s="29">
        <f>COUNTIF(Контрагенты!$D$6:$D$124,B16&amp;"")</f>
        <v/>
      </c>
    </row>
    <row r="17">
      <c r="B17" s="37" t="inlineStr">
        <is>
          <t>Кровь</t>
        </is>
      </c>
      <c r="C17" s="29" t="inlineStr">
        <is>
          <t>медицинские</t>
        </is>
      </c>
      <c r="D17" s="7">
        <f>SUMIF(Контрагенты!$D$6:$D$124,B17&amp;"",Контрагенты!$C$6:$C$124)</f>
        <v/>
      </c>
      <c r="E17" s="38">
        <f>IF($C$3=0,0,D17/$C$3)</f>
        <v/>
      </c>
      <c r="F17" s="29">
        <f>COUNTIF(Контрагенты!$D$6:$D$124,B17&amp;"")</f>
        <v/>
      </c>
    </row>
    <row r="18">
      <c r="B18" s="37" t="inlineStr">
        <is>
          <t>Лекарства</t>
        </is>
      </c>
      <c r="C18" s="29" t="inlineStr">
        <is>
          <t>медицинские</t>
        </is>
      </c>
      <c r="D18" s="7">
        <f>SUMIF(Контрагенты!$D$6:$D$124,B18&amp;"",Контрагенты!$C$6:$C$124)</f>
        <v/>
      </c>
      <c r="E18" s="38">
        <f>IF($C$3=0,0,D18/$C$3)</f>
        <v/>
      </c>
      <c r="F18" s="29">
        <f>COUNTIF(Контрагенты!$D$6:$D$124,B18&amp;"")</f>
        <v/>
      </c>
    </row>
    <row r="19">
      <c r="B19" s="37" t="inlineStr">
        <is>
          <t>Мед.инструмент</t>
        </is>
      </c>
      <c r="C19" s="29" t="inlineStr">
        <is>
          <t>медицинские</t>
        </is>
      </c>
      <c r="D19" s="7">
        <f>SUMIF(Контрагенты!$D$6:$D$124,B19&amp;"",Контрагенты!$C$6:$C$124)</f>
        <v/>
      </c>
      <c r="E19" s="38">
        <f>IF($C$3=0,0,D19/$C$3)</f>
        <v/>
      </c>
      <c r="F19" s="29">
        <f>COUNTIF(Контрагенты!$D$6:$D$124,B19&amp;"")</f>
        <v/>
      </c>
    </row>
    <row r="20">
      <c r="B20" s="37" t="inlineStr">
        <is>
          <t>Мед.мебель</t>
        </is>
      </c>
      <c r="C20" s="29" t="inlineStr">
        <is>
          <t>медицинские</t>
        </is>
      </c>
      <c r="D20" s="7">
        <f>SUMIF(Контрагенты!$D$6:$D$124,B20&amp;"",Контрагенты!$C$6:$C$124)</f>
        <v/>
      </c>
      <c r="E20" s="38">
        <f>IF($C$3=0,0,D20/$C$3)</f>
        <v/>
      </c>
      <c r="F20" s="29">
        <f>COUNTIF(Контрагенты!$D$6:$D$124,B20&amp;"")</f>
        <v/>
      </c>
    </row>
    <row r="21">
      <c r="B21" s="37" t="inlineStr">
        <is>
          <t>Медицинские материалы</t>
        </is>
      </c>
      <c r="C21" s="29" t="inlineStr">
        <is>
          <t>медицинские</t>
        </is>
      </c>
      <c r="D21" s="7">
        <f>SUMIF(Контрагенты!$D$6:$D$124,B21&amp;"",Контрагенты!$C$6:$C$124)</f>
        <v/>
      </c>
      <c r="E21" s="38">
        <f>IF($C$3=0,0,D21/$C$3)</f>
        <v/>
      </c>
      <c r="F21" s="29">
        <f>COUNTIF(Контрагенты!$D$6:$D$124,B21&amp;"")</f>
        <v/>
      </c>
    </row>
    <row r="22">
      <c r="B22" s="37" t="inlineStr">
        <is>
          <t>Медоборудование</t>
        </is>
      </c>
      <c r="C22" s="29" t="inlineStr">
        <is>
          <t>медицинские</t>
        </is>
      </c>
      <c r="D22" s="7">
        <f>SUMIF(Контрагенты!$D$6:$D$124,B22&amp;"",Контрагенты!$C$6:$C$124)</f>
        <v/>
      </c>
      <c r="E22" s="38">
        <f>IF($C$3=0,0,D22/$C$3)</f>
        <v/>
      </c>
      <c r="F22" s="29">
        <f>COUNTIF(Контрагенты!$D$6:$D$124,B22&amp;"")</f>
        <v/>
      </c>
    </row>
    <row r="23">
      <c r="B23" s="37" t="inlineStr">
        <is>
          <t>Медоборудование 320588 и расходники 194940</t>
        </is>
      </c>
      <c r="C23" s="29" t="inlineStr">
        <is>
          <t>медицинские</t>
        </is>
      </c>
      <c r="D23" s="7">
        <f>SUMIF(Контрагенты!$D$6:$D$124,B23&amp;"",Контрагенты!$C$6:$C$124)</f>
        <v/>
      </c>
      <c r="E23" s="38">
        <f>IF($C$3=0,0,D23/$C$3)</f>
        <v/>
      </c>
      <c r="F23" s="29">
        <f>COUNTIF(Контрагенты!$D$6:$D$124,B23&amp;"")</f>
        <v/>
      </c>
    </row>
    <row r="24">
      <c r="B24" s="37" t="inlineStr">
        <is>
          <t>Наркотики</t>
        </is>
      </c>
      <c r="C24" s="29" t="inlineStr">
        <is>
          <t>медицинские</t>
        </is>
      </c>
      <c r="D24" s="7">
        <f>SUMIF(Контрагенты!$D$6:$D$124,B24&amp;"",Контрагенты!$C$6:$C$124)</f>
        <v/>
      </c>
      <c r="E24" s="38">
        <f>IF($C$3=0,0,D24/$C$3)</f>
        <v/>
      </c>
      <c r="F24" s="29">
        <f>COUNTIF(Контрагенты!$D$6:$D$124,B24&amp;"")</f>
        <v/>
      </c>
    </row>
    <row r="25">
      <c r="B25" s="37" t="inlineStr">
        <is>
          <t>Питание</t>
        </is>
      </c>
      <c r="C25" s="29" t="inlineStr">
        <is>
          <t>медицинские</t>
        </is>
      </c>
      <c r="D25" s="7">
        <f>SUMIF(Контрагенты!$D$6:$D$124,B25&amp;"",Контрагенты!$C$6:$C$124)</f>
        <v/>
      </c>
      <c r="E25" s="38">
        <f>IF($C$3=0,0,D25/$C$3)</f>
        <v/>
      </c>
      <c r="F25" s="29">
        <f>COUNTIF(Контрагенты!$D$6:$D$124,B25&amp;"")</f>
        <v/>
      </c>
    </row>
    <row r="26">
      <c r="B26" s="37" t="inlineStr">
        <is>
          <t>Расходка</t>
        </is>
      </c>
      <c r="C26" s="29" t="inlineStr">
        <is>
          <t>медицинские</t>
        </is>
      </c>
      <c r="D26" s="7">
        <f>SUMIF(Контрагенты!$D$6:$D$124,B26&amp;"",Контрагенты!$C$6:$C$124)</f>
        <v/>
      </c>
      <c r="E26" s="38">
        <f>IF($C$3=0,0,D26/$C$3)</f>
        <v/>
      </c>
      <c r="F26" s="29">
        <f>COUNTIF(Контрагенты!$D$6:$D$124,B26&amp;"")</f>
        <v/>
      </c>
    </row>
    <row r="27">
      <c r="B27" s="37" t="inlineStr">
        <is>
          <t>Стиральный порошок</t>
        </is>
      </c>
      <c r="C27" s="29" t="inlineStr">
        <is>
          <t>медицинские</t>
        </is>
      </c>
      <c r="D27" s="7">
        <f>SUMIF(Контрагенты!$D$6:$D$124,B27&amp;"",Контрагенты!$C$6:$C$124)</f>
        <v/>
      </c>
      <c r="E27" s="38">
        <f>IF($C$3=0,0,D27/$C$3)</f>
        <v/>
      </c>
      <c r="F27" s="29">
        <f>COUNTIF(Контрагенты!$D$6:$D$124,B27&amp;"")</f>
        <v/>
      </c>
    </row>
    <row r="28">
      <c r="B28" s="37" t="inlineStr">
        <is>
          <t>Утилизация медотходов</t>
        </is>
      </c>
      <c r="C28" s="29" t="inlineStr">
        <is>
          <t>медицинские</t>
        </is>
      </c>
      <c r="D28" s="7">
        <f>SUMIF(Контрагенты!$D$6:$D$124,B28&amp;"",Контрагенты!$C$6:$C$124)</f>
        <v/>
      </c>
      <c r="E28" s="38">
        <f>IF($C$3=0,0,D28/$C$3)</f>
        <v/>
      </c>
      <c r="F28" s="29">
        <f>COUNTIF(Контрагенты!$D$6:$D$124,B28&amp;"")</f>
        <v/>
      </c>
    </row>
    <row r="29">
      <c r="B29" s="26" t="inlineStr">
        <is>
          <t>Итого «медицинские»</t>
        </is>
      </c>
      <c r="C29" s="16" t="n"/>
      <c r="D29" s="27">
        <f>SUM(D8:D28)</f>
        <v/>
      </c>
      <c r="E29" s="39">
        <f>IF($C$3=0,0,D29/$C$3)</f>
        <v/>
      </c>
      <c r="F29" s="16" t="n"/>
    </row>
    <row r="31">
      <c r="B31" s="36" t="inlineStr">
        <is>
          <t>УПРАВЛЕНЧЕСКИЕ</t>
        </is>
      </c>
    </row>
    <row r="32">
      <c r="B32" s="37" t="inlineStr">
        <is>
          <t>IT услуги</t>
        </is>
      </c>
      <c r="C32" s="29" t="inlineStr">
        <is>
          <t>управленческие</t>
        </is>
      </c>
      <c r="D32" s="7">
        <f>SUMIF(Контрагенты!$D$6:$D$124,B32&amp;"",Контрагенты!$C$6:$C$124)</f>
        <v/>
      </c>
      <c r="E32" s="38">
        <f>IF($C$3=0,0,D32/$C$3)</f>
        <v/>
      </c>
      <c r="F32" s="29">
        <f>COUNTIF(Контрагенты!$D$6:$D$124,B32&amp;"")</f>
        <v/>
      </c>
    </row>
    <row r="33">
      <c r="B33" s="37" t="inlineStr">
        <is>
          <t>Аренда Самокатная 1 стр1</t>
        </is>
      </c>
      <c r="C33" s="29" t="inlineStr">
        <is>
          <t>управленческие</t>
        </is>
      </c>
      <c r="D33" s="7">
        <f>SUMIF(Контрагенты!$D$6:$D$124,B33&amp;"",Контрагенты!$C$6:$C$124)</f>
        <v/>
      </c>
      <c r="E33" s="38">
        <f>IF($C$3=0,0,D33/$C$3)</f>
        <v/>
      </c>
      <c r="F33" s="29">
        <f>COUNTIF(Контрагенты!$D$6:$D$124,B33&amp;"")</f>
        <v/>
      </c>
    </row>
    <row r="34">
      <c r="B34" s="37" t="inlineStr">
        <is>
          <t>Аренда кофемашины</t>
        </is>
      </c>
      <c r="C34" s="29" t="inlineStr">
        <is>
          <t>управленческие</t>
        </is>
      </c>
      <c r="D34" s="7">
        <f>SUMIF(Контрагенты!$D$6:$D$124,B34&amp;"",Контрагенты!$C$6:$C$124)</f>
        <v/>
      </c>
      <c r="E34" s="38">
        <f>IF($C$3=0,0,D34/$C$3)</f>
        <v/>
      </c>
      <c r="F34" s="29">
        <f>COUNTIF(Контрагенты!$D$6:$D$124,B34&amp;"")</f>
        <v/>
      </c>
    </row>
    <row r="35">
      <c r="B35" s="37" t="inlineStr">
        <is>
          <t>Битрикс 24</t>
        </is>
      </c>
      <c r="C35" s="29" t="inlineStr">
        <is>
          <t>управленческие</t>
        </is>
      </c>
      <c r="D35" s="7">
        <f>SUMIF(Контрагенты!$D$6:$D$124,B35&amp;"",Контрагенты!$C$6:$C$124)</f>
        <v/>
      </c>
      <c r="E35" s="38">
        <f>IF($C$3=0,0,D35/$C$3)</f>
        <v/>
      </c>
      <c r="F35" s="29">
        <f>COUNTIF(Контрагенты!$D$6:$D$124,B35&amp;"")</f>
        <v/>
      </c>
    </row>
    <row r="36">
      <c r="B36" s="37" t="inlineStr">
        <is>
          <t>Внедрение финансового учёта</t>
        </is>
      </c>
      <c r="C36" s="29" t="inlineStr">
        <is>
          <t>управленческие</t>
        </is>
      </c>
      <c r="D36" s="7">
        <f>SUMIF(Контрагенты!$D$6:$D$124,B36&amp;"",Контрагенты!$C$6:$C$124)</f>
        <v/>
      </c>
      <c r="E36" s="38">
        <f>IF($C$3=0,0,D36/$C$3)</f>
        <v/>
      </c>
      <c r="F36" s="29">
        <f>COUNTIF(Контрагенты!$D$6:$D$124,B36&amp;"")</f>
        <v/>
      </c>
    </row>
    <row r="37">
      <c r="B37" s="37" t="inlineStr">
        <is>
          <t>Вода</t>
        </is>
      </c>
      <c r="C37" s="29" t="inlineStr">
        <is>
          <t>управленческие</t>
        </is>
      </c>
      <c r="D37" s="7">
        <f>SUMIF(Контрагенты!$D$6:$D$124,B37&amp;"",Контрагенты!$C$6:$C$124)</f>
        <v/>
      </c>
      <c r="E37" s="38">
        <f>IF($C$3=0,0,D37/$C$3)</f>
        <v/>
      </c>
      <c r="F37" s="29">
        <f>COUNTIF(Контрагенты!$D$6:$D$124,B37&amp;"")</f>
        <v/>
      </c>
    </row>
    <row r="38">
      <c r="B38" s="37" t="inlineStr">
        <is>
          <t>Дизайн-услуги</t>
        </is>
      </c>
      <c r="C38" s="29" t="inlineStr">
        <is>
          <t>управленческие</t>
        </is>
      </c>
      <c r="D38" s="7">
        <f>SUMIF(Контрагенты!$D$6:$D$124,B38&amp;"",Контрагенты!$C$6:$C$124)</f>
        <v/>
      </c>
      <c r="E38" s="38">
        <f>IF($C$3=0,0,D38/$C$3)</f>
        <v/>
      </c>
      <c r="F38" s="29">
        <f>COUNTIF(Контрагенты!$D$6:$D$124,B38&amp;"")</f>
        <v/>
      </c>
    </row>
    <row r="39">
      <c r="B39" s="37" t="inlineStr">
        <is>
          <t>Доставка</t>
        </is>
      </c>
      <c r="C39" s="29" t="inlineStr">
        <is>
          <t>управленческие</t>
        </is>
      </c>
      <c r="D39" s="7">
        <f>SUMIF(Контрагенты!$D$6:$D$124,B39&amp;"",Контрагенты!$C$6:$C$124)</f>
        <v/>
      </c>
      <c r="E39" s="38">
        <f>IF($C$3=0,0,D39/$C$3)</f>
        <v/>
      </c>
      <c r="F39" s="29">
        <f>COUNTIF(Контрагенты!$D$6:$D$124,B39&amp;"")</f>
        <v/>
      </c>
    </row>
    <row r="40">
      <c r="B40" s="37" t="inlineStr">
        <is>
          <t>Интернет</t>
        </is>
      </c>
      <c r="C40" s="29" t="inlineStr">
        <is>
          <t>управленческие</t>
        </is>
      </c>
      <c r="D40" s="7">
        <f>SUMIF(Контрагенты!$D$6:$D$124,B40&amp;"",Контрагенты!$C$6:$C$124)</f>
        <v/>
      </c>
      <c r="E40" s="38">
        <f>IF($C$3=0,0,D40/$C$3)</f>
        <v/>
      </c>
      <c r="F40" s="29">
        <f>COUNTIF(Контрагенты!$D$6:$D$124,B40&amp;"")</f>
        <v/>
      </c>
    </row>
    <row r="41">
      <c r="B41" s="37" t="inlineStr">
        <is>
          <t>Канц и хоз расходы</t>
        </is>
      </c>
      <c r="C41" s="29" t="inlineStr">
        <is>
          <t>управленческие</t>
        </is>
      </c>
      <c r="D41" s="7">
        <f>SUMIF(Контрагенты!$D$6:$D$124,B41&amp;"",Контрагенты!$C$6:$C$124)</f>
        <v/>
      </c>
      <c r="E41" s="38">
        <f>IF($C$3=0,0,D41/$C$3)</f>
        <v/>
      </c>
      <c r="F41" s="29">
        <f>COUNTIF(Контрагенты!$D$6:$D$124,B41&amp;"")</f>
        <v/>
      </c>
    </row>
    <row r="42">
      <c r="B42" s="37" t="inlineStr">
        <is>
          <t>Консультационные услуги</t>
        </is>
      </c>
      <c r="C42" s="29" t="inlineStr">
        <is>
          <t>управленческие</t>
        </is>
      </c>
      <c r="D42" s="7">
        <f>SUMIF(Контрагенты!$D$6:$D$124,B42&amp;"",Контрагенты!$C$6:$C$124)</f>
        <v/>
      </c>
      <c r="E42" s="38">
        <f>IF($C$3=0,0,D42/$C$3)</f>
        <v/>
      </c>
      <c r="F42" s="29">
        <f>COUNTIF(Контрагенты!$D$6:$D$124,B42&amp;"")</f>
        <v/>
      </c>
    </row>
    <row r="43">
      <c r="B43" s="37" t="inlineStr">
        <is>
          <t>Косметология</t>
        </is>
      </c>
      <c r="C43" s="29" t="inlineStr">
        <is>
          <t>управленческие</t>
        </is>
      </c>
      <c r="D43" s="7">
        <f>SUMIF(Контрагенты!$D$6:$D$124,B43&amp;"",Контрагенты!$C$6:$C$124)</f>
        <v/>
      </c>
      <c r="E43" s="38">
        <f>IF($C$3=0,0,D43/$C$3)</f>
        <v/>
      </c>
      <c r="F43" s="29">
        <f>COUNTIF(Контрагенты!$D$6:$D$124,B43&amp;"")</f>
        <v/>
      </c>
    </row>
    <row r="44">
      <c r="B44" s="37" t="inlineStr">
        <is>
          <t>Кофе</t>
        </is>
      </c>
      <c r="C44" s="29" t="inlineStr">
        <is>
          <t>управленческие</t>
        </is>
      </c>
      <c r="D44" s="7">
        <f>SUMIF(Контрагенты!$D$6:$D$124,B44&amp;"",Контрагенты!$C$6:$C$124)</f>
        <v/>
      </c>
      <c r="E44" s="38">
        <f>IF($C$3=0,0,D44/$C$3)</f>
        <v/>
      </c>
      <c r="F44" s="29">
        <f>COUNTIF(Контрагенты!$D$6:$D$124,B44&amp;"")</f>
        <v/>
      </c>
    </row>
    <row r="45">
      <c r="B45" s="37" t="inlineStr">
        <is>
          <t>Краснодар</t>
        </is>
      </c>
      <c r="C45" s="29" t="inlineStr">
        <is>
          <t>управленческие</t>
        </is>
      </c>
      <c r="D45" s="7">
        <f>SUMIF(Контрагенты!$D$6:$D$124,B45&amp;"",Контрагенты!$C$6:$C$124)</f>
        <v/>
      </c>
      <c r="E45" s="38">
        <f>IF($C$3=0,0,D45/$C$3)</f>
        <v/>
      </c>
      <c r="F45" s="29">
        <f>COUNTIF(Контрагенты!$D$6:$D$124,B45&amp;"")</f>
        <v/>
      </c>
    </row>
    <row r="46">
      <c r="B46" s="37" t="inlineStr">
        <is>
          <t>Маркетинговые услуги</t>
        </is>
      </c>
      <c r="C46" s="29" t="inlineStr">
        <is>
          <t>управленческие</t>
        </is>
      </c>
      <c r="D46" s="7">
        <f>SUMIF(Контрагенты!$D$6:$D$124,B46&amp;"",Контрагенты!$C$6:$C$124)</f>
        <v/>
      </c>
      <c r="E46" s="38">
        <f>IF($C$3=0,0,D46/$C$3)</f>
        <v/>
      </c>
      <c r="F46" s="29">
        <f>COUNTIF(Контрагенты!$D$6:$D$124,B46&amp;"")</f>
        <v/>
      </c>
    </row>
    <row r="47">
      <c r="B47" s="37" t="inlineStr">
        <is>
          <t>Мебель, инвентарь</t>
        </is>
      </c>
      <c r="C47" s="29" t="inlineStr">
        <is>
          <t>управленческие</t>
        </is>
      </c>
      <c r="D47" s="7">
        <f>SUMIF(Контрагенты!$D$6:$D$124,B47&amp;"",Контрагенты!$C$6:$C$124)</f>
        <v/>
      </c>
      <c r="E47" s="38">
        <f>IF($C$3=0,0,D47/$C$3)</f>
        <v/>
      </c>
      <c r="F47" s="29">
        <f>COUNTIF(Контрагенты!$D$6:$D$124,B47&amp;"")</f>
        <v/>
      </c>
    </row>
    <row r="48">
      <c r="B48" s="37" t="inlineStr">
        <is>
          <t>Обслуживание 1СПредприятие</t>
        </is>
      </c>
      <c r="C48" s="29" t="inlineStr">
        <is>
          <t>управленческие</t>
        </is>
      </c>
      <c r="D48" s="7">
        <f>SUMIF(Контрагенты!$D$6:$D$124,B48&amp;"",Контрагенты!$C$6:$C$124)</f>
        <v/>
      </c>
      <c r="E48" s="38">
        <f>IF($C$3=0,0,D48/$C$3)</f>
        <v/>
      </c>
      <c r="F48" s="29">
        <f>COUNTIF(Контрагенты!$D$6:$D$124,B48&amp;"")</f>
        <v/>
      </c>
    </row>
    <row r="49">
      <c r="B49" s="37" t="inlineStr">
        <is>
          <t>Обслуживание 1СУправление</t>
        </is>
      </c>
      <c r="C49" s="29" t="inlineStr">
        <is>
          <t>управленческие</t>
        </is>
      </c>
      <c r="D49" s="7">
        <f>SUMIF(Контрагенты!$D$6:$D$124,B49&amp;"",Контрагенты!$C$6:$C$124)</f>
        <v/>
      </c>
      <c r="E49" s="38">
        <f>IF($C$3=0,0,D49/$C$3)</f>
        <v/>
      </c>
      <c r="F49" s="29">
        <f>COUNTIF(Контрагенты!$D$6:$D$124,B49&amp;"")</f>
        <v/>
      </c>
    </row>
    <row r="50">
      <c r="B50" s="37" t="inlineStr">
        <is>
          <t>Обслуживание ККТ</t>
        </is>
      </c>
      <c r="C50" s="29" t="inlineStr">
        <is>
          <t>управленческие</t>
        </is>
      </c>
      <c r="D50" s="7">
        <f>SUMIF(Контрагенты!$D$6:$D$124,B50&amp;"",Контрагенты!$C$6:$C$124)</f>
        <v/>
      </c>
      <c r="E50" s="38">
        <f>IF($C$3=0,0,D50/$C$3)</f>
        <v/>
      </c>
      <c r="F50" s="29">
        <f>COUNTIF(Контрагенты!$D$6:$D$124,B50&amp;"")</f>
        <v/>
      </c>
    </row>
    <row r="51">
      <c r="B51" s="37" t="inlineStr">
        <is>
          <t>Обслуживание аквариума</t>
        </is>
      </c>
      <c r="C51" s="29" t="inlineStr">
        <is>
          <t>управленческие</t>
        </is>
      </c>
      <c r="D51" s="7">
        <f>SUMIF(Контрагенты!$D$6:$D$124,B51&amp;"",Контрагенты!$C$6:$C$124)</f>
        <v/>
      </c>
      <c r="E51" s="38">
        <f>IF($C$3=0,0,D51/$C$3)</f>
        <v/>
      </c>
      <c r="F51" s="29">
        <f>COUNTIF(Контрагенты!$D$6:$D$124,B51&amp;"")</f>
        <v/>
      </c>
    </row>
    <row r="52">
      <c r="B52" s="37" t="inlineStr">
        <is>
          <t>Обучение персонала</t>
        </is>
      </c>
      <c r="C52" s="29" t="inlineStr">
        <is>
          <t>управленческие</t>
        </is>
      </c>
      <c r="D52" s="7">
        <f>SUMIF(Контрагенты!$D$6:$D$124,B52&amp;"",Контрагенты!$C$6:$C$124)</f>
        <v/>
      </c>
      <c r="E52" s="38">
        <f>IF($C$3=0,0,D52/$C$3)</f>
        <v/>
      </c>
      <c r="F52" s="29">
        <f>COUNTIF(Контрагенты!$D$6:$D$124,B52&amp;"")</f>
        <v/>
      </c>
    </row>
    <row r="53">
      <c r="B53" s="37" t="inlineStr">
        <is>
          <t>Общехоз.расходы прочие</t>
        </is>
      </c>
      <c r="C53" s="29" t="inlineStr">
        <is>
          <t>управленческие</t>
        </is>
      </c>
      <c r="D53" s="7">
        <f>SUMIF(Контрагенты!$D$6:$D$124,B53&amp;"",Контрагенты!$C$6:$C$124)</f>
        <v/>
      </c>
      <c r="E53" s="38">
        <f>IF($C$3=0,0,D53/$C$3)</f>
        <v/>
      </c>
      <c r="F53" s="29">
        <f>COUNTIF(Контрагенты!$D$6:$D$124,B53&amp;"")</f>
        <v/>
      </c>
    </row>
    <row r="54">
      <c r="B54" s="37" t="inlineStr">
        <is>
          <t>Общехозяйственные</t>
        </is>
      </c>
      <c r="C54" s="29" t="inlineStr">
        <is>
          <t>управленческие</t>
        </is>
      </c>
      <c r="D54" s="7">
        <f>SUMIF(Контрагенты!$D$6:$D$124,B54&amp;"",Контрагенты!$C$6:$C$124)</f>
        <v/>
      </c>
      <c r="E54" s="38">
        <f>IF($C$3=0,0,D54/$C$3)</f>
        <v/>
      </c>
      <c r="F54" s="29">
        <f>COUNTIF(Контрагенты!$D$6:$D$124,B54&amp;"")</f>
        <v/>
      </c>
    </row>
    <row r="55">
      <c r="B55" s="37" t="inlineStr">
        <is>
          <t>Оргтехника</t>
        </is>
      </c>
      <c r="C55" s="29" t="inlineStr">
        <is>
          <t>управленческие</t>
        </is>
      </c>
      <c r="D55" s="7">
        <f>SUMIF(Контрагенты!$D$6:$D$124,B55&amp;"",Контрагенты!$C$6:$C$124)</f>
        <v/>
      </c>
      <c r="E55" s="38">
        <f>IF($C$3=0,0,D55/$C$3)</f>
        <v/>
      </c>
      <c r="F55" s="29">
        <f>COUNTIF(Контрагенты!$D$6:$D$124,B55&amp;"")</f>
        <v/>
      </c>
    </row>
    <row r="56">
      <c r="B56" s="37" t="inlineStr">
        <is>
          <t>Охрана</t>
        </is>
      </c>
      <c r="C56" s="29" t="inlineStr">
        <is>
          <t>управленческие</t>
        </is>
      </c>
      <c r="D56" s="7">
        <f>SUMIF(Контрагенты!$D$6:$D$124,B56&amp;"",Контрагенты!$C$6:$C$124)</f>
        <v/>
      </c>
      <c r="E56" s="38">
        <f>IF($C$3=0,0,D56/$C$3)</f>
        <v/>
      </c>
      <c r="F56" s="29">
        <f>COUNTIF(Контрагенты!$D$6:$D$124,B56&amp;"")</f>
        <v/>
      </c>
    </row>
    <row r="57">
      <c r="B57" s="37" t="inlineStr">
        <is>
          <t>ПО и IT-сервисы</t>
        </is>
      </c>
      <c r="C57" s="29" t="inlineStr">
        <is>
          <t>управленческие</t>
        </is>
      </c>
      <c r="D57" s="7">
        <f>SUMIF(Контрагенты!$D$6:$D$124,B57&amp;"",Контрагенты!$C$6:$C$124)</f>
        <v/>
      </c>
      <c r="E57" s="38">
        <f>IF($C$3=0,0,D57/$C$3)</f>
        <v/>
      </c>
      <c r="F57" s="29">
        <f>COUNTIF(Контрагенты!$D$6:$D$124,B57&amp;"")</f>
        <v/>
      </c>
    </row>
    <row r="58">
      <c r="B58" s="37" t="inlineStr">
        <is>
          <t>Подбор персонала</t>
        </is>
      </c>
      <c r="C58" s="29" t="inlineStr">
        <is>
          <t>управленческие</t>
        </is>
      </c>
      <c r="D58" s="7">
        <f>SUMIF(Контрагенты!$D$6:$D$124,B58&amp;"",Контрагенты!$C$6:$C$124)</f>
        <v/>
      </c>
      <c r="E58" s="38">
        <f>IF($C$3=0,0,D58/$C$3)</f>
        <v/>
      </c>
      <c r="F58" s="29">
        <f>COUNTIF(Контрагенты!$D$6:$D$124,B58&amp;"")</f>
        <v/>
      </c>
    </row>
    <row r="59">
      <c r="B59" s="37" t="inlineStr">
        <is>
          <t>ПроДокторов</t>
        </is>
      </c>
      <c r="C59" s="29" t="inlineStr">
        <is>
          <t>управленческие</t>
        </is>
      </c>
      <c r="D59" s="7">
        <f>SUMIF(Контрагенты!$D$6:$D$124,B59&amp;"",Контрагенты!$C$6:$C$124)</f>
        <v/>
      </c>
      <c r="E59" s="38">
        <f>IF($C$3=0,0,D59/$C$3)</f>
        <v/>
      </c>
      <c r="F59" s="29">
        <f>COUNTIF(Контрагенты!$D$6:$D$124,B59&amp;"")</f>
        <v/>
      </c>
    </row>
    <row r="60">
      <c r="B60" s="37" t="inlineStr">
        <is>
          <t>Программное обнспечение</t>
        </is>
      </c>
      <c r="C60" s="29" t="inlineStr">
        <is>
          <t>управленческие</t>
        </is>
      </c>
      <c r="D60" s="7">
        <f>SUMIF(Контрагенты!$D$6:$D$124,B60&amp;"",Контрагенты!$C$6:$C$124)</f>
        <v/>
      </c>
      <c r="E60" s="38">
        <f>IF($C$3=0,0,D60/$C$3)</f>
        <v/>
      </c>
      <c r="F60" s="29">
        <f>COUNTIF(Контрагенты!$D$6:$D$124,B60&amp;"")</f>
        <v/>
      </c>
    </row>
    <row r="61">
      <c r="B61" s="37" t="inlineStr">
        <is>
          <t>Расходник</t>
        </is>
      </c>
      <c r="C61" s="29" t="inlineStr">
        <is>
          <t>управленческие</t>
        </is>
      </c>
      <c r="D61" s="7">
        <f>SUMIF(Контрагенты!$D$6:$D$124,B61&amp;"",Контрагенты!$C$6:$C$124)</f>
        <v/>
      </c>
      <c r="E61" s="38">
        <f>IF($C$3=0,0,D61/$C$3)</f>
        <v/>
      </c>
      <c r="F61" s="29">
        <f>COUNTIF(Контрагенты!$D$6:$D$124,B61&amp;"")</f>
        <v/>
      </c>
    </row>
    <row r="62">
      <c r="B62" s="37" t="inlineStr">
        <is>
          <t>Реклама</t>
        </is>
      </c>
      <c r="C62" s="29" t="inlineStr">
        <is>
          <t>управленческие</t>
        </is>
      </c>
      <c r="D62" s="7">
        <f>SUMIF(Контрагенты!$D$6:$D$124,B62&amp;"",Контрагенты!$C$6:$C$124)</f>
        <v/>
      </c>
      <c r="E62" s="38">
        <f>IF($C$3=0,0,D62/$C$3)</f>
        <v/>
      </c>
      <c r="F62" s="29">
        <f>COUNTIF(Контрагенты!$D$6:$D$124,B62&amp;"")</f>
        <v/>
      </c>
    </row>
    <row r="63">
      <c r="B63" s="37" t="inlineStr">
        <is>
          <t>Ремонт</t>
        </is>
      </c>
      <c r="C63" s="29" t="inlineStr">
        <is>
          <t>управленческие</t>
        </is>
      </c>
      <c r="D63" s="7">
        <f>SUMIF(Контрагенты!$D$6:$D$124,B63&amp;"",Контрагенты!$C$6:$C$124)</f>
        <v/>
      </c>
      <c r="E63" s="38">
        <f>IF($C$3=0,0,D63/$C$3)</f>
        <v/>
      </c>
      <c r="F63" s="29">
        <f>COUNTIF(Контрагенты!$D$6:$D$124,B63&amp;"")</f>
        <v/>
      </c>
    </row>
    <row r="64">
      <c r="B64" s="37" t="inlineStr">
        <is>
          <t>Ремонт Самокатная 1 стр.12</t>
        </is>
      </c>
      <c r="C64" s="29" t="inlineStr">
        <is>
          <t>управленческие</t>
        </is>
      </c>
      <c r="D64" s="7">
        <f>SUMIF(Контрагенты!$D$6:$D$124,B64&amp;"",Контрагенты!$C$6:$C$124)</f>
        <v/>
      </c>
      <c r="E64" s="38">
        <f>IF($C$3=0,0,D64/$C$3)</f>
        <v/>
      </c>
      <c r="F64" s="29">
        <f>COUNTIF(Контрагенты!$D$6:$D$124,B64&amp;"")</f>
        <v/>
      </c>
    </row>
    <row r="65">
      <c r="B65" s="37" t="inlineStr">
        <is>
          <t>Ремонт керамогранит</t>
        </is>
      </c>
      <c r="C65" s="29" t="inlineStr">
        <is>
          <t>управленческие</t>
        </is>
      </c>
      <c r="D65" s="7">
        <f>SUMIF(Контрагенты!$D$6:$D$124,B65&amp;"",Контрагенты!$C$6:$C$124)</f>
        <v/>
      </c>
      <c r="E65" s="38">
        <f>IF($C$3=0,0,D65/$C$3)</f>
        <v/>
      </c>
      <c r="F65" s="29">
        <f>COUNTIF(Контрагенты!$D$6:$D$124,B65&amp;"")</f>
        <v/>
      </c>
    </row>
    <row r="66">
      <c r="B66" s="37" t="inlineStr">
        <is>
          <t>Сайт</t>
        </is>
      </c>
      <c r="C66" s="29" t="inlineStr">
        <is>
          <t>управленческие</t>
        </is>
      </c>
      <c r="D66" s="7">
        <f>SUMIF(Контрагенты!$D$6:$D$124,B66&amp;"",Контрагенты!$C$6:$C$124)</f>
        <v/>
      </c>
      <c r="E66" s="38">
        <f>IF($C$3=0,0,D66/$C$3)</f>
        <v/>
      </c>
      <c r="F66" s="29">
        <f>COUNTIF(Контрагенты!$D$6:$D$124,B66&amp;"")</f>
        <v/>
      </c>
    </row>
    <row r="67">
      <c r="B67" s="37" t="inlineStr">
        <is>
          <t>Светильники и оборудование</t>
        </is>
      </c>
      <c r="C67" s="29" t="inlineStr">
        <is>
          <t>управленческие</t>
        </is>
      </c>
      <c r="D67" s="7">
        <f>SUMIF(Контрагенты!$D$6:$D$124,B67&amp;"",Контрагенты!$C$6:$C$124)</f>
        <v/>
      </c>
      <c r="E67" s="38">
        <f>IF($C$3=0,0,D67/$C$3)</f>
        <v/>
      </c>
      <c r="F67" s="29">
        <f>COUNTIF(Контрагенты!$D$6:$D$124,B67&amp;"")</f>
        <v/>
      </c>
    </row>
    <row r="68">
      <c r="B68" s="37" t="inlineStr">
        <is>
          <t>Связь</t>
        </is>
      </c>
      <c r="C68" s="29" t="inlineStr">
        <is>
          <t>управленческие</t>
        </is>
      </c>
      <c r="D68" s="7">
        <f>SUMIF(Контрагенты!$D$6:$D$124,B68&amp;"",Контрагенты!$C$6:$C$124)</f>
        <v/>
      </c>
      <c r="E68" s="38">
        <f>IF($C$3=0,0,D68/$C$3)</f>
        <v/>
      </c>
      <c r="F68" s="29">
        <f>COUNTIF(Контрагенты!$D$6:$D$124,B68&amp;"")</f>
        <v/>
      </c>
    </row>
    <row r="69">
      <c r="B69" s="37" t="inlineStr">
        <is>
          <t>Сервис речевой аналитики</t>
        </is>
      </c>
      <c r="C69" s="29" t="inlineStr">
        <is>
          <t>управленческие</t>
        </is>
      </c>
      <c r="D69" s="7">
        <f>SUMIF(Контрагенты!$D$6:$D$124,B69&amp;"",Контрагенты!$C$6:$C$124)</f>
        <v/>
      </c>
      <c r="E69" s="38">
        <f>IF($C$3=0,0,D69/$C$3)</f>
        <v/>
      </c>
      <c r="F69" s="29">
        <f>COUNTIF(Контрагенты!$D$6:$D$124,B69&amp;"")</f>
        <v/>
      </c>
    </row>
    <row r="70">
      <c r="B70" s="37" t="inlineStr">
        <is>
          <t>Складской учет</t>
        </is>
      </c>
      <c r="C70" s="29" t="inlineStr">
        <is>
          <t>управленческие</t>
        </is>
      </c>
      <c r="D70" s="7">
        <f>SUMIF(Контрагенты!$D$6:$D$124,B70&amp;"",Контрагенты!$C$6:$C$124)</f>
        <v/>
      </c>
      <c r="E70" s="38">
        <f>IF($C$3=0,0,D70/$C$3)</f>
        <v/>
      </c>
      <c r="F70" s="29">
        <f>COUNTIF(Контрагенты!$D$6:$D$124,B70&amp;"")</f>
        <v/>
      </c>
    </row>
    <row r="71">
      <c r="B71" s="37" t="inlineStr">
        <is>
          <t>Средства гигиены</t>
        </is>
      </c>
      <c r="C71" s="29" t="inlineStr">
        <is>
          <t>управленческие</t>
        </is>
      </c>
      <c r="D71" s="7">
        <f>SUMIF(Контрагенты!$D$6:$D$124,B71&amp;"",Контрагенты!$C$6:$C$124)</f>
        <v/>
      </c>
      <c r="E71" s="38">
        <f>IF($C$3=0,0,D71/$C$3)</f>
        <v/>
      </c>
      <c r="F71" s="29">
        <f>COUNTIF(Контрагенты!$D$6:$D$124,B71&amp;"")</f>
        <v/>
      </c>
    </row>
    <row r="72">
      <c r="B72" s="37" t="inlineStr">
        <is>
          <t>ТО СКУД, пожарной сигнализации</t>
        </is>
      </c>
      <c r="C72" s="29" t="inlineStr">
        <is>
          <t>управленческие</t>
        </is>
      </c>
      <c r="D72" s="7">
        <f>SUMIF(Контрагенты!$D$6:$D$124,B72&amp;"",Контрагенты!$C$6:$C$124)</f>
        <v/>
      </c>
      <c r="E72" s="38">
        <f>IF($C$3=0,0,D72/$C$3)</f>
        <v/>
      </c>
      <c r="F72" s="29">
        <f>COUNTIF(Контрагенты!$D$6:$D$124,B72&amp;"")</f>
        <v/>
      </c>
    </row>
    <row r="73">
      <c r="B73" s="37" t="inlineStr">
        <is>
          <t>Такси</t>
        </is>
      </c>
      <c r="C73" s="29" t="inlineStr">
        <is>
          <t>управленческие</t>
        </is>
      </c>
      <c r="D73" s="7">
        <f>SUMIF(Контрагенты!$D$6:$D$124,B73&amp;"",Контрагенты!$C$6:$C$124)</f>
        <v/>
      </c>
      <c r="E73" s="38">
        <f>IF($C$3=0,0,D73/$C$3)</f>
        <v/>
      </c>
      <c r="F73" s="29">
        <f>COUNTIF(Контрагенты!$D$6:$D$124,B73&amp;"")</f>
        <v/>
      </c>
    </row>
    <row r="74">
      <c r="B74" s="37" t="inlineStr">
        <is>
          <t>Техподдержка ККТ</t>
        </is>
      </c>
      <c r="C74" s="29" t="inlineStr">
        <is>
          <t>управленческие</t>
        </is>
      </c>
      <c r="D74" s="7">
        <f>SUMIF(Контрагенты!$D$6:$D$124,B74&amp;"",Контрагенты!$C$6:$C$124)</f>
        <v/>
      </c>
      <c r="E74" s="38">
        <f>IF($C$3=0,0,D74/$C$3)</f>
        <v/>
      </c>
      <c r="F74" s="29">
        <f>COUNTIF(Контрагенты!$D$6:$D$124,B74&amp;"")</f>
        <v/>
      </c>
    </row>
    <row r="75">
      <c r="B75" s="37" t="inlineStr">
        <is>
          <t>Урегулирование досудебного спора</t>
        </is>
      </c>
      <c r="C75" s="29" t="inlineStr">
        <is>
          <t>управленческие</t>
        </is>
      </c>
      <c r="D75" s="7">
        <f>SUMIF(Контрагенты!$D$6:$D$124,B75&amp;"",Контрагенты!$C$6:$C$124)</f>
        <v/>
      </c>
      <c r="E75" s="38">
        <f>IF($C$3=0,0,D75/$C$3)</f>
        <v/>
      </c>
      <c r="F75" s="29">
        <f>COUNTIF(Контрагенты!$D$6:$D$124,B75&amp;"")</f>
        <v/>
      </c>
    </row>
    <row r="76">
      <c r="B76" s="37" t="inlineStr">
        <is>
          <t>Услуги инженера</t>
        </is>
      </c>
      <c r="C76" s="29" t="inlineStr">
        <is>
          <t>управленческие</t>
        </is>
      </c>
      <c r="D76" s="7">
        <f>SUMIF(Контрагенты!$D$6:$D$124,B76&amp;"",Контрагенты!$C$6:$C$124)</f>
        <v/>
      </c>
      <c r="E76" s="38">
        <f>IF($C$3=0,0,D76/$C$3)</f>
        <v/>
      </c>
      <c r="F76" s="29">
        <f>COUNTIF(Контрагенты!$D$6:$D$124,B76&amp;"")</f>
        <v/>
      </c>
    </row>
    <row r="77">
      <c r="B77" s="37" t="inlineStr">
        <is>
          <t>Услуги юриста</t>
        </is>
      </c>
      <c r="C77" s="29" t="inlineStr">
        <is>
          <t>управленческие</t>
        </is>
      </c>
      <c r="D77" s="7">
        <f>SUMIF(Контрагенты!$D$6:$D$124,B77&amp;"",Контрагенты!$C$6:$C$124)</f>
        <v/>
      </c>
      <c r="E77" s="38">
        <f>IF($C$3=0,0,D77/$C$3)</f>
        <v/>
      </c>
      <c r="F77" s="29">
        <f>COUNTIF(Контрагенты!$D$6:$D$124,B77&amp;"")</f>
        <v/>
      </c>
    </row>
    <row r="78">
      <c r="B78" s="37" t="inlineStr">
        <is>
          <t>Фото видео</t>
        </is>
      </c>
      <c r="C78" s="29" t="inlineStr">
        <is>
          <t>управленческие</t>
        </is>
      </c>
      <c r="D78" s="7">
        <f>SUMIF(Контрагенты!$D$6:$D$124,B78&amp;"",Контрагенты!$C$6:$C$124)</f>
        <v/>
      </c>
      <c r="E78" s="38">
        <f>IF($C$3=0,0,D78/$C$3)</f>
        <v/>
      </c>
      <c r="F78" s="29">
        <f>COUNTIF(Контрагенты!$D$6:$D$124,B78&amp;"")</f>
        <v/>
      </c>
    </row>
    <row r="79">
      <c r="B79" s="37" t="inlineStr">
        <is>
          <t>Хоз расходы</t>
        </is>
      </c>
      <c r="C79" s="29" t="inlineStr">
        <is>
          <t>управленческие</t>
        </is>
      </c>
      <c r="D79" s="7">
        <f>SUMIF(Контрагенты!$D$6:$D$124,B79&amp;"",Контрагенты!$C$6:$C$124)</f>
        <v/>
      </c>
      <c r="E79" s="38">
        <f>IF($C$3=0,0,D79/$C$3)</f>
        <v/>
      </c>
      <c r="F79" s="29">
        <f>COUNTIF(Контрагенты!$D$6:$D$124,B79&amp;"")</f>
        <v/>
      </c>
    </row>
    <row r="80">
      <c r="B80" s="37" t="inlineStr">
        <is>
          <t>Цветы</t>
        </is>
      </c>
      <c r="C80" s="29" t="inlineStr">
        <is>
          <t>управленческие</t>
        </is>
      </c>
      <c r="D80" s="7">
        <f>SUMIF(Контрагенты!$D$6:$D$124,B80&amp;"",Контрагенты!$C$6:$C$124)</f>
        <v/>
      </c>
      <c r="E80" s="38">
        <f>IF($C$3=0,0,D80/$C$3)</f>
        <v/>
      </c>
      <c r="F80" s="29">
        <f>COUNTIF(Контрагенты!$D$6:$D$124,B80&amp;"")</f>
        <v/>
      </c>
    </row>
    <row r="81">
      <c r="B81" s="37" t="inlineStr">
        <is>
          <t>Электрооборудование</t>
        </is>
      </c>
      <c r="C81" s="29" t="inlineStr">
        <is>
          <t>управленческие</t>
        </is>
      </c>
      <c r="D81" s="7">
        <f>SUMIF(Контрагенты!$D$6:$D$124,B81&amp;"",Контрагенты!$C$6:$C$124)</f>
        <v/>
      </c>
      <c r="E81" s="38">
        <f>IF($C$3=0,0,D81/$C$3)</f>
        <v/>
      </c>
      <c r="F81" s="29">
        <f>COUNTIF(Контрагенты!$D$6:$D$124,B81&amp;"")</f>
        <v/>
      </c>
    </row>
    <row r="82">
      <c r="B82" s="26" t="inlineStr">
        <is>
          <t>Итого «управленческие»</t>
        </is>
      </c>
      <c r="C82" s="16" t="n"/>
      <c r="D82" s="27">
        <f>SUM(D32:D81)</f>
        <v/>
      </c>
      <c r="E82" s="39">
        <f>IF($C$3=0,0,D82/$C$3)</f>
        <v/>
      </c>
      <c r="F82" s="16" t="n"/>
    </row>
    <row r="84">
      <c r="B84" s="20" t="inlineStr">
        <is>
          <t>ВСЕГО ПО СТАТЬЯМ</t>
        </is>
      </c>
      <c r="D84" s="40">
        <f>D29+D82</f>
        <v/>
      </c>
      <c r="F84" s="2" t="inlineStr">
        <is>
          <t>должно совпасть с суммой по контрагентам</t>
        </is>
      </c>
    </row>
  </sheetData>
  <dataValidations count="1">
    <dataValidation sqref="C4" showDropDown="0" showInputMessage="0" showErrorMessage="0" allowBlank="0" type="list">
      <formula1>"расходов учредителей,суммы по контрагентам"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2026-09-10T14:48:26Z</dcterms:created>
  <dcterms:modified xsi:type="dcterms:W3CDTF">2026-09-10T14:48:26Z</dcterms:modified>
</cp:coreProperties>
</file>