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07A70"/>
      <sz val="11"/>
    </font>
    <font>
      <color rgb="008A735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164" fontId="7" fillId="0" borderId="1" applyAlignment="1" pivotButton="0" quotePrefix="0" xfId="0">
      <alignment horizontal="right"/>
    </xf>
    <xf numFmtId="0" fontId="10" fillId="0" borderId="1" pivotButton="0" quotePrefix="0" xfId="0"/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0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153295343.14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Налоги</t>
        </is>
      </c>
      <c r="C23" s="7" t="n">
        <v>7871244.91</v>
      </c>
      <c r="D23" s="8" t="n"/>
      <c r="E23" s="8" t="n"/>
      <c r="F23" s="8" t="n"/>
      <c r="G23" s="8" t="n"/>
      <c r="H23" s="8" t="n"/>
      <c r="I23" s="10" t="inlineStr">
        <is>
          <t>кор. счёт 68</t>
        </is>
      </c>
    </row>
    <row r="24">
      <c r="B24" s="6" t="inlineStr">
        <is>
          <t xml:space="preserve">    Страховые взносы</t>
        </is>
      </c>
      <c r="C24" s="7" t="n">
        <v>29253.37</v>
      </c>
      <c r="D24" s="8" t="n"/>
      <c r="E24" s="8" t="n"/>
      <c r="F24" s="8" t="n"/>
      <c r="G24" s="8" t="n"/>
      <c r="H24" s="8" t="n"/>
      <c r="I24" s="10" t="inlineStr">
        <is>
          <t>кор. счёт 69</t>
        </is>
      </c>
    </row>
    <row r="25">
      <c r="B25" s="6" t="inlineStr">
        <is>
          <t xml:space="preserve">    Зарплата</t>
        </is>
      </c>
      <c r="C25" s="7" t="n">
        <v>12490831.85</v>
      </c>
      <c r="D25" s="8" t="n"/>
      <c r="E25" s="8" t="n"/>
      <c r="F25" s="8" t="n"/>
      <c r="G25" s="8" t="n"/>
      <c r="H25" s="8" t="n"/>
      <c r="I25" s="10" t="inlineStr">
        <is>
          <t>кор. счёт 70</t>
        </is>
      </c>
    </row>
    <row r="26">
      <c r="B26" s="6" t="inlineStr">
        <is>
          <t xml:space="preserve">    Выплата дивидендов</t>
        </is>
      </c>
      <c r="C26" s="7" t="n">
        <v>10000000</v>
      </c>
      <c r="D26" s="8" t="n"/>
      <c r="E26" s="8" t="n"/>
      <c r="F26" s="8" t="n"/>
      <c r="G26" s="8" t="n"/>
      <c r="H26" s="8" t="n"/>
      <c r="I26" s="10" t="inlineStr">
        <is>
          <t>кор. счёт 75</t>
        </is>
      </c>
    </row>
    <row r="27">
      <c r="B27" s="6" t="inlineStr">
        <is>
          <t xml:space="preserve">    Алименты</t>
        </is>
      </c>
      <c r="C27" s="7" t="n">
        <v>38726.66</v>
      </c>
      <c r="D27" s="8" t="n"/>
      <c r="E27" s="8" t="n"/>
      <c r="F27" s="8" t="n"/>
      <c r="G27" s="8" t="n"/>
      <c r="H27" s="8" t="n"/>
      <c r="I27" s="10" t="inlineStr">
        <is>
          <t>кор. счёт 76</t>
        </is>
      </c>
    </row>
    <row r="28">
      <c r="B28" s="6" t="inlineStr">
        <is>
          <t xml:space="preserve">    Услуги банка</t>
        </is>
      </c>
      <c r="C28" s="7" t="n">
        <v>137448.82</v>
      </c>
      <c r="D28" s="8" t="n"/>
      <c r="E28" s="8" t="n"/>
      <c r="F28" s="8" t="n"/>
      <c r="G28" s="8" t="n"/>
      <c r="H28" s="8" t="n"/>
      <c r="I28" s="10" t="inlineStr">
        <is>
          <t>кор. счёт 91</t>
        </is>
      </c>
    </row>
    <row r="29">
      <c r="B29" s="11" t="inlineStr">
        <is>
          <t>Итого списания</t>
        </is>
      </c>
      <c r="C29" s="12">
        <f>SUM(C19:C28)</f>
        <v/>
      </c>
      <c r="D29" s="13" t="n"/>
      <c r="E29" s="13" t="n"/>
      <c r="F29" s="13" t="n"/>
      <c r="G29" s="13" t="n"/>
      <c r="H29" s="13" t="n"/>
      <c r="I29" s="13" t="n"/>
    </row>
    <row r="30">
      <c r="B30" s="14" t="inlineStr">
        <is>
          <t>Остаток на конец месяца</t>
        </is>
      </c>
      <c r="C30" s="15">
        <f>C7+C16-C29</f>
        <v/>
      </c>
      <c r="D30" s="16" t="n"/>
      <c r="E30" s="16" t="n"/>
      <c r="F30" s="16" t="n"/>
      <c r="G30" s="16" t="n"/>
      <c r="H30" s="16" t="n"/>
      <c r="I30" s="17" t="inlineStr">
        <is>
          <t>начальный остаток + поступления − списания</t>
        </is>
      </c>
    </row>
    <row r="32" ht="22" customHeight="1">
      <c r="B32" s="3" t="inlineStr">
        <is>
          <t>2. ВЫРУЧКА</t>
        </is>
      </c>
      <c r="C32" s="4" t="n"/>
      <c r="D32" s="4" t="n"/>
      <c r="E32" s="4" t="n"/>
      <c r="F32" s="4" t="n"/>
      <c r="G32" s="4" t="n"/>
      <c r="H32" s="4" t="n"/>
      <c r="I32" s="4" t="inlineStr">
        <is>
          <t>деньги, поступившие от пациентов за месяц</t>
        </is>
      </c>
    </row>
    <row r="33" ht="26" customHeight="1">
      <c r="B33" s="5" t="inlineStr">
        <is>
          <t>Показатель</t>
        </is>
      </c>
      <c r="C33" s="5" t="inlineStr">
        <is>
          <t>Всего</t>
        </is>
      </c>
      <c r="D33" s="5" t="inlineStr">
        <is>
          <t>Маланичев</t>
        </is>
      </c>
      <c r="E33" s="5" t="inlineStr">
        <is>
          <t>Погосян</t>
        </is>
      </c>
      <c r="F33" s="5" t="inlineStr">
        <is>
          <t>Другие хирурги</t>
        </is>
      </c>
      <c r="G33" s="5" t="inlineStr">
        <is>
          <t>Прочие доходы</t>
        </is>
      </c>
      <c r="H33" s="5" t="inlineStr">
        <is>
          <t>Косметология</t>
        </is>
      </c>
      <c r="I33" s="5" t="inlineStr">
        <is>
          <t>Комментарий</t>
        </is>
      </c>
    </row>
    <row r="34">
      <c r="B34" s="14" t="inlineStr">
        <is>
          <t>ИТОГО ВЫРУЧКА ЗА МЕСЯЦ</t>
        </is>
      </c>
      <c r="C34" s="15">
        <f>SUM(D34:H34)</f>
        <v/>
      </c>
      <c r="D34" s="15" t="n">
        <v>4180781.46</v>
      </c>
      <c r="E34" s="15" t="n">
        <v>13054662.21</v>
      </c>
      <c r="F34" s="15" t="n">
        <v>77250611.63</v>
      </c>
      <c r="G34" s="15" t="n">
        <v>261238.64</v>
      </c>
      <c r="H34" s="15" t="n">
        <v>2960140.06</v>
      </c>
      <c r="I34" s="17" t="inlineStr">
        <is>
          <t>по группам врачей</t>
        </is>
      </c>
    </row>
    <row r="36">
      <c r="B36" s="9" t="inlineStr">
        <is>
          <t>В том числе по каналам поступления</t>
        </is>
      </c>
      <c r="C36" s="8" t="n"/>
      <c r="D36" s="8" t="n"/>
      <c r="E36" s="8" t="n"/>
      <c r="F36" s="8" t="n"/>
      <c r="G36" s="8" t="n"/>
      <c r="H36" s="8" t="n"/>
      <c r="I36" s="8" t="n"/>
    </row>
    <row r="37">
      <c r="B37" s="6" t="inlineStr">
        <is>
          <t xml:space="preserve">    Наличными</t>
        </is>
      </c>
      <c r="C37" s="7" t="n">
        <v>34981900</v>
      </c>
      <c r="D37" s="8" t="n"/>
      <c r="E37" s="8" t="n"/>
      <c r="F37" s="8" t="n"/>
      <c r="G37" s="8" t="n"/>
      <c r="H37" s="8" t="n"/>
      <c r="I37" s="10" t="inlineStr">
        <is>
          <t>01–10.08: 10 688 500; 11–31.08: 24 293 400</t>
        </is>
      </c>
    </row>
    <row r="38">
      <c r="B38" s="6" t="inlineStr">
        <is>
          <t xml:space="preserve">    Безналичными (эквайринг)</t>
        </is>
      </c>
      <c r="C38" s="7" t="n">
        <v>61654454</v>
      </c>
      <c r="D38" s="8" t="n"/>
      <c r="E38" s="8" t="n"/>
      <c r="F38" s="8" t="n"/>
      <c r="G38" s="8" t="n"/>
      <c r="H38" s="8" t="n"/>
      <c r="I38" s="10" t="inlineStr">
        <is>
          <t>01–10.08: 19 889 514; 11–31.08: 41 764 940</t>
        </is>
      </c>
    </row>
    <row r="39">
      <c r="B39" s="6" t="inlineStr">
        <is>
          <t xml:space="preserve">    Оплаты физлиц на расчётный счёт</t>
        </is>
      </c>
      <c r="C39" s="7" t="n">
        <v>1071080</v>
      </c>
      <c r="D39" s="8" t="n"/>
      <c r="E39" s="8" t="n"/>
      <c r="F39" s="8" t="n"/>
      <c r="G39" s="8" t="n"/>
      <c r="H39" s="8" t="n"/>
      <c r="I39" s="8" t="n"/>
    </row>
    <row r="40">
      <c r="B40" s="11" t="inlineStr">
        <is>
          <t>Итого по каналам</t>
        </is>
      </c>
      <c r="C40" s="12">
        <f>SUM(C37:C39)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 ht="22" customHeight="1">
      <c r="B42" s="3" t="inlineStr">
        <is>
          <t>3. РАСХОДЫ (оплаченные)</t>
        </is>
      </c>
      <c r="C42" s="4" t="n"/>
      <c r="D42" s="4" t="n"/>
      <c r="E42" s="4" t="n"/>
      <c r="F42" s="4" t="n"/>
      <c r="G42" s="4" t="n"/>
      <c r="H42" s="4" t="n"/>
      <c r="I42" s="4" t="inlineStr">
        <is>
          <t>делятся между учредителями 50/50</t>
        </is>
      </c>
    </row>
    <row r="43" ht="26" customHeight="1">
      <c r="B43" s="5" t="inlineStr">
        <is>
          <t>Статья</t>
        </is>
      </c>
      <c r="C43" s="5" t="inlineStr">
        <is>
          <t>Всего</t>
        </is>
      </c>
      <c r="D43" s="5" t="inlineStr">
        <is>
          <t>Маланичев</t>
        </is>
      </c>
      <c r="E43" s="5" t="inlineStr">
        <is>
          <t>Погосян</t>
        </is>
      </c>
      <c r="I43" s="5" t="inlineStr">
        <is>
          <t>Комментарий</t>
        </is>
      </c>
    </row>
    <row r="44">
      <c r="B44" s="6" t="inlineStr">
        <is>
          <t>Налоги с ФОТ (счета 68.90 и 69)</t>
        </is>
      </c>
      <c r="C44" s="7" t="n">
        <v>6135792.28</v>
      </c>
      <c r="D44" s="7">
        <f>C44/2</f>
        <v/>
      </c>
      <c r="E44" s="7">
        <f>C44/2</f>
        <v/>
      </c>
      <c r="F44" s="8" t="n"/>
      <c r="G44" s="8" t="n"/>
      <c r="H44" s="8" t="n"/>
      <c r="I44" s="8" t="n"/>
    </row>
    <row r="45">
      <c r="B45" s="6" t="inlineStr">
        <is>
          <t>Зарплата по банку</t>
        </is>
      </c>
      <c r="C45" s="7" t="n">
        <v>12490831.85</v>
      </c>
      <c r="D45" s="7">
        <f>C45/2</f>
        <v/>
      </c>
      <c r="E45" s="7">
        <f>C45/2</f>
        <v/>
      </c>
      <c r="F45" s="8" t="n"/>
      <c r="G45" s="8" t="n"/>
      <c r="H45" s="8" t="n"/>
      <c r="I45" s="8" t="n"/>
    </row>
    <row r="46">
      <c r="B46" s="6" t="inlineStr">
        <is>
          <t>Услуги банка (общие)</t>
        </is>
      </c>
      <c r="C46" s="7" t="n">
        <v>141281.46</v>
      </c>
      <c r="D46" s="7">
        <f>C46/2</f>
        <v/>
      </c>
      <c r="E46" s="7">
        <f>C46/2</f>
        <v/>
      </c>
      <c r="F46" s="8" t="n"/>
      <c r="G46" s="8" t="n"/>
      <c r="H46" s="8" t="n"/>
      <c r="I46" s="8" t="n"/>
    </row>
    <row r="47">
      <c r="B47" s="6" t="inlineStr">
        <is>
          <t>Услуги банка (эквайринг)</t>
        </is>
      </c>
      <c r="C47" s="7" t="n">
        <v>373487.16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Алименты (удержание из зарплаты)</t>
        </is>
      </c>
      <c r="C48" s="7" t="n">
        <v>38726.66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9" t="inlineStr">
        <is>
          <t>Поставщики и подрядчики (счёт 60)</t>
        </is>
      </c>
      <c r="C49" s="19" t="n">
        <v>69794048.05</v>
      </c>
      <c r="D49" s="19">
        <f>C49/2</f>
        <v/>
      </c>
      <c r="E49" s="19">
        <f>C49/2</f>
        <v/>
      </c>
      <c r="F49" s="8" t="n"/>
      <c r="G49" s="8" t="n"/>
      <c r="H49" s="8" t="n"/>
      <c r="I49" s="10" t="inlineStr">
        <is>
          <t>без оплаченного за счёт кредитной линии</t>
        </is>
      </c>
    </row>
    <row r="50">
      <c r="B50" s="20" t="inlineStr">
        <is>
          <t xml:space="preserve">        в том числе медицинские и гонорары:</t>
        </is>
      </c>
      <c r="C50" s="8" t="n"/>
      <c r="D50" s="8" t="n"/>
      <c r="E50" s="8" t="n"/>
      <c r="F50" s="8" t="n"/>
      <c r="G50" s="8" t="n"/>
      <c r="H50" s="8" t="n"/>
      <c r="I50" s="8" t="n"/>
    </row>
    <row r="51">
      <c r="B51" s="6" t="inlineStr">
        <is>
          <t xml:space="preserve">            Гонорары ИП хирургов</t>
        </is>
      </c>
      <c r="C51" s="7" t="n">
        <v>39819623</v>
      </c>
      <c r="D51" s="8" t="n"/>
      <c r="E51" s="8" t="n"/>
      <c r="F51" s="8" t="n"/>
      <c r="G51" s="8" t="n"/>
      <c r="H51" s="8" t="n"/>
      <c r="I51" s="8" t="n"/>
    </row>
    <row r="52">
      <c r="B52" s="6" t="inlineStr">
        <is>
          <t xml:space="preserve">            Импланты</t>
        </is>
      </c>
      <c r="C52" s="7" t="n">
        <v>4527900</v>
      </c>
      <c r="D52" s="8" t="n"/>
      <c r="E52" s="8" t="n"/>
      <c r="F52" s="8" t="n"/>
      <c r="G52" s="8" t="n"/>
      <c r="H52" s="8" t="n"/>
      <c r="I52" s="8" t="n"/>
    </row>
    <row r="53">
      <c r="B53" s="6" t="inlineStr">
        <is>
          <t xml:space="preserve">            Медицинские материалы</t>
        </is>
      </c>
      <c r="C53" s="7" t="n">
        <v>3298432.06</v>
      </c>
      <c r="D53" s="8" t="n"/>
      <c r="E53" s="8" t="n"/>
      <c r="F53" s="8" t="n"/>
      <c r="G53" s="8" t="n"/>
      <c r="H53" s="8" t="n"/>
      <c r="I53" s="8" t="n"/>
    </row>
    <row r="54">
      <c r="B54" s="6" t="inlineStr">
        <is>
          <t xml:space="preserve">            ИП Завиркин А.В.</t>
        </is>
      </c>
      <c r="C54" s="7" t="n">
        <v>2887658</v>
      </c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Расходка</t>
        </is>
      </c>
      <c r="C55" s="7" t="n">
        <v>2250790.16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Лекарства</t>
        </is>
      </c>
      <c r="C56" s="7" t="n">
        <v>827352.65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18550-расходка, 320588-мед.оборудованеи</t>
        </is>
      </c>
      <c r="C57" s="7" t="n">
        <v>515528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Питание</t>
        </is>
      </c>
      <c r="C58" s="7" t="n">
        <v>376950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Белье</t>
        </is>
      </c>
      <c r="C59" s="7" t="n">
        <v>345200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прочие статьи блока</t>
        </is>
      </c>
      <c r="C60" s="7" t="n">
        <v>582359.62</v>
      </c>
      <c r="D60" s="8" t="n"/>
      <c r="E60" s="8" t="n"/>
      <c r="F60" s="8" t="n"/>
      <c r="G60" s="8" t="n"/>
      <c r="H60" s="8" t="n"/>
      <c r="I60" s="8" t="n"/>
    </row>
    <row r="61">
      <c r="B61" s="20" t="inlineStr">
        <is>
          <t xml:space="preserve">        в том числе управленческие:</t>
        </is>
      </c>
      <c r="C61" s="8" t="n"/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Урегулирование досудебного спора</t>
        </is>
      </c>
      <c r="C62" s="7" t="n">
        <v>4692500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Маркетинговые услуги</t>
        </is>
      </c>
      <c r="C63" s="7" t="n">
        <v>2505800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Аренда Самокатная 1 стр1</t>
        </is>
      </c>
      <c r="C64" s="7" t="n">
        <v>1155000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Прочие управленческие</t>
        </is>
      </c>
      <c r="C65" s="7" t="n">
        <v>878789.77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ЗП Заведягин ОН</t>
        </is>
      </c>
      <c r="C66" s="7" t="n">
        <v>570005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Ремонт</t>
        </is>
      </c>
      <c r="C67" s="7" t="n">
        <v>516000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Обслуживание 1СУправление</t>
        </is>
      </c>
      <c r="C68" s="7" t="n">
        <v>435435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Фото видео</t>
        </is>
      </c>
      <c r="C69" s="7" t="n">
        <v>337440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Услуги юриста</t>
        </is>
      </c>
      <c r="C70" s="7" t="n">
        <v>330000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Складской учет</t>
        </is>
      </c>
      <c r="C71" s="7" t="n">
        <v>320000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прочие статьи блока</t>
        </is>
      </c>
      <c r="C72" s="7" t="n">
        <v>2621284.79</v>
      </c>
      <c r="D72" s="8" t="n"/>
      <c r="E72" s="8" t="n"/>
      <c r="F72" s="8" t="n"/>
      <c r="G72" s="8" t="n"/>
      <c r="H72" s="8" t="n"/>
      <c r="I72" s="8" t="n"/>
    </row>
    <row r="73">
      <c r="B73" s="14" t="inlineStr">
        <is>
          <t>ИТОГО РАСХОДЫ</t>
        </is>
      </c>
      <c r="C73" s="15">
        <f>SUM(C44:C49)</f>
        <v/>
      </c>
      <c r="D73" s="15">
        <f>SUM(D44:D49)</f>
        <v/>
      </c>
      <c r="E73" s="15">
        <f>SUM(E44:E49)</f>
        <v/>
      </c>
      <c r="F73" s="16" t="n"/>
      <c r="G73" s="16" t="n"/>
      <c r="H73" s="16" t="n"/>
      <c r="I73" s="17" t="inlineStr">
        <is>
          <t>строки «в том числе» в сумму не входят</t>
        </is>
      </c>
    </row>
    <row r="74">
      <c r="B74" s="21" t="inlineStr">
        <is>
          <t>Справочно: ремонт за счёт кредитной линии</t>
        </is>
      </c>
      <c r="C74" s="22" t="n">
        <v>11000000</v>
      </c>
      <c r="D74" s="8" t="n"/>
      <c r="E74" s="8" t="n"/>
      <c r="F74" s="8" t="n"/>
      <c r="G74" s="8" t="n"/>
      <c r="H74" s="8" t="n"/>
      <c r="I74" s="10" t="inlineStr">
        <is>
          <t>в расходы учредителей не входит — стройка идёт на заёмные</t>
        </is>
      </c>
    </row>
    <row r="76" ht="22" customHeight="1">
      <c r="B76" s="3" t="inlineStr">
        <is>
          <t>4. РАСЧЁТ ДОХОДА УЧРЕДИТЕЛЕЙ</t>
        </is>
      </c>
      <c r="C76" s="4" t="n"/>
      <c r="D76" s="4" t="n"/>
      <c r="E76" s="4" t="n"/>
      <c r="F76" s="4" t="n"/>
      <c r="G76" s="4" t="n"/>
      <c r="H76" s="4" t="n"/>
      <c r="I76" s="4" t="inlineStr">
        <is>
          <t>методика 50/50</t>
        </is>
      </c>
    </row>
    <row r="77" ht="26" customHeight="1">
      <c r="B77" s="5" t="inlineStr">
        <is>
          <t>Шаг</t>
        </is>
      </c>
      <c r="C77" s="5" t="inlineStr">
        <is>
          <t>Всего</t>
        </is>
      </c>
      <c r="D77" s="5" t="inlineStr">
        <is>
          <t>Маланичев</t>
        </is>
      </c>
      <c r="E77" s="5" t="inlineStr">
        <is>
          <t>Погосян</t>
        </is>
      </c>
      <c r="I77" s="5" t="inlineStr">
        <is>
          <t>Как считается</t>
        </is>
      </c>
    </row>
    <row r="78">
      <c r="B78" s="6" t="inlineStr">
        <is>
          <t>1. Личная выручка (свои операции)</t>
        </is>
      </c>
      <c r="C78" s="7">
        <f>D78+E78</f>
        <v/>
      </c>
      <c r="D78" s="7">
        <f>D34</f>
        <v/>
      </c>
      <c r="E78" s="7">
        <f>E34</f>
        <v/>
      </c>
      <c r="F78" s="8" t="n"/>
      <c r="G78" s="8" t="n"/>
      <c r="H78" s="8" t="n"/>
      <c r="I78" s="10" t="inlineStr">
        <is>
          <t>своя строка из блока «Выручка»</t>
        </is>
      </c>
    </row>
    <row r="79">
      <c r="B79" s="6" t="inlineStr">
        <is>
          <t>2. Половина выручки других хирургов</t>
        </is>
      </c>
      <c r="C79" s="7">
        <f>F34</f>
        <v/>
      </c>
      <c r="D79" s="7">
        <f>F34/2</f>
        <v/>
      </c>
      <c r="E79" s="7">
        <f>F34/2</f>
        <v/>
      </c>
      <c r="F79" s="8" t="n"/>
      <c r="G79" s="8" t="n"/>
      <c r="H79" s="8" t="n"/>
      <c r="I79" s="8" t="n"/>
    </row>
    <row r="80">
      <c r="B80" s="6" t="inlineStr">
        <is>
          <t>3. Половина выручки косметологии</t>
        </is>
      </c>
      <c r="C80" s="7">
        <f>H34</f>
        <v/>
      </c>
      <c r="D80" s="7">
        <f>H34/2</f>
        <v/>
      </c>
      <c r="E80" s="7">
        <f>H34/2</f>
        <v/>
      </c>
      <c r="F80" s="8" t="n"/>
      <c r="G80" s="8" t="n"/>
      <c r="H80" s="8" t="n"/>
      <c r="I80" s="8" t="n"/>
    </row>
    <row r="81">
      <c r="B81" s="6" t="inlineStr">
        <is>
          <t>4. Половина прочих доходов</t>
        </is>
      </c>
      <c r="C81" s="7">
        <f>G34</f>
        <v/>
      </c>
      <c r="D81" s="7">
        <f>G34/2</f>
        <v/>
      </c>
      <c r="E81" s="7">
        <f>G34/2</f>
        <v/>
      </c>
      <c r="F81" s="8" t="n"/>
      <c r="G81" s="8" t="n"/>
      <c r="H81" s="8" t="n"/>
      <c r="I81" s="8" t="n"/>
    </row>
    <row r="82">
      <c r="B82" s="6" t="inlineStr">
        <is>
          <t>5. Половина процентов по депозитам</t>
        </is>
      </c>
      <c r="C82" s="7" t="n">
        <v>396337.24</v>
      </c>
      <c r="D82" s="7">
        <f>C82/2</f>
        <v/>
      </c>
      <c r="E82" s="7">
        <f>C82/2</f>
        <v/>
      </c>
      <c r="F82" s="8" t="n"/>
      <c r="G82" s="8" t="n"/>
      <c r="H82" s="8" t="n"/>
      <c r="I82" s="10" t="inlineStr">
        <is>
          <t>начислены банком на остатки</t>
        </is>
      </c>
    </row>
    <row r="83">
      <c r="B83" s="23" t="inlineStr">
        <is>
          <t>6. Минус доля расходов</t>
        </is>
      </c>
      <c r="C83" s="24">
        <f>-C73</f>
        <v/>
      </c>
      <c r="D83" s="24">
        <f>-D73</f>
        <v/>
      </c>
      <c r="E83" s="24">
        <f>-E73</f>
        <v/>
      </c>
      <c r="F83" s="8" t="n"/>
      <c r="G83" s="8" t="n"/>
      <c r="H83" s="8" t="n"/>
      <c r="I83" s="10" t="inlineStr">
        <is>
          <t>итог блока «Расходы», пополам</t>
        </is>
      </c>
    </row>
    <row r="84">
      <c r="B84" s="14" t="inlineStr">
        <is>
          <t>ДОХОД ЗА МЕСЯЦ</t>
        </is>
      </c>
      <c r="C84" s="15">
        <f>SUM(C78:C83)</f>
        <v/>
      </c>
      <c r="D84" s="15">
        <f>SUM(D78:D83)</f>
        <v/>
      </c>
      <c r="E84" s="15">
        <f>SUM(E78:E83)</f>
        <v/>
      </c>
      <c r="F84" s="16" t="n"/>
      <c r="G84" s="16" t="n"/>
      <c r="H84" s="16" t="n"/>
      <c r="I84" s="16" t="n"/>
    </row>
    <row r="86" ht="22" customHeight="1">
      <c r="B86" s="3" t="inlineStr">
        <is>
          <t>5. К ВЫПЛАТЕ УЧРЕДИТЕЛЯМ</t>
        </is>
      </c>
      <c r="C86" s="4" t="n"/>
      <c r="D86" s="4" t="n"/>
      <c r="E86" s="4" t="n"/>
      <c r="F86" s="4" t="n"/>
      <c r="G86" s="4" t="n"/>
      <c r="H86" s="4" t="n"/>
      <c r="I86" s="4" t="inlineStr"/>
    </row>
    <row r="87" ht="26" customHeight="1">
      <c r="B87" s="5" t="inlineStr">
        <is>
          <t>Показатель</t>
        </is>
      </c>
      <c r="C87" s="5" t="inlineStr">
        <is>
          <t>Всего</t>
        </is>
      </c>
      <c r="D87" s="5" t="inlineStr">
        <is>
          <t>Маланичев</t>
        </is>
      </c>
      <c r="E87" s="5" t="inlineStr">
        <is>
          <t>Погосян</t>
        </is>
      </c>
      <c r="I87" s="5" t="inlineStr">
        <is>
          <t>Комментарий</t>
        </is>
      </c>
    </row>
    <row r="88">
      <c r="B88" s="6" t="inlineStr">
        <is>
          <t>Доход за месяц</t>
        </is>
      </c>
      <c r="C88" s="7">
        <f>C84</f>
        <v/>
      </c>
      <c r="D88" s="7">
        <f>D84</f>
        <v/>
      </c>
      <c r="E88" s="7">
        <f>E84</f>
        <v/>
      </c>
      <c r="F88" s="8" t="n"/>
      <c r="G88" s="8" t="n"/>
      <c r="H88" s="8" t="n"/>
      <c r="I88" s="8" t="n"/>
    </row>
    <row r="89">
      <c r="B89" s="6" t="inlineStr">
        <is>
          <t>Остаток с прошлого месяца</t>
        </is>
      </c>
      <c r="C89" s="7">
        <f>D89+E89</f>
        <v/>
      </c>
      <c r="D89" s="7" t="n">
        <v>30658896.02</v>
      </c>
      <c r="E89" s="7" t="n">
        <v>45275972.21</v>
      </c>
      <c r="F89" s="8" t="n"/>
      <c r="G89" s="8" t="n"/>
      <c r="H89" s="8" t="n"/>
      <c r="I89" s="10" t="inlineStr">
        <is>
          <t>ручной ввод бухгалтерии</t>
        </is>
      </c>
    </row>
    <row r="90">
      <c r="B90" s="23" t="inlineStr">
        <is>
          <t>Выплачены дивиденды</t>
        </is>
      </c>
      <c r="C90" s="24">
        <f>D90+E90</f>
        <v/>
      </c>
      <c r="D90" s="24" t="n">
        <v>-5882353</v>
      </c>
      <c r="E90" s="24" t="n">
        <v>-5882353</v>
      </c>
      <c r="F90" s="8" t="n"/>
      <c r="G90" s="8" t="n"/>
      <c r="H90" s="8" t="n"/>
      <c r="I90" s="10" t="inlineStr">
        <is>
          <t>начислено с НДФЛ</t>
        </is>
      </c>
    </row>
    <row r="91">
      <c r="B91" s="14" t="inlineStr">
        <is>
          <t>ИТОГО К ВЫПЛАТЕ НА 31.08.2026</t>
        </is>
      </c>
      <c r="C91" s="15">
        <f>SUM(C88:C90)</f>
        <v/>
      </c>
      <c r="D91" s="15">
        <f>SUM(D88:D90)</f>
        <v/>
      </c>
      <c r="E91" s="15">
        <f>SUM(E88:E90)</f>
        <v/>
      </c>
      <c r="F91" s="16" t="n"/>
      <c r="G91" s="16" t="n"/>
      <c r="H91" s="16" t="n"/>
      <c r="I91" s="16" t="n"/>
    </row>
    <row r="93" ht="22" customHeight="1">
      <c r="B93" s="3" t="inlineStr">
        <is>
          <t>6. СПРАВОЧНО</t>
        </is>
      </c>
      <c r="C93" s="4" t="n"/>
      <c r="D93" s="4" t="n"/>
      <c r="E93" s="4" t="n"/>
      <c r="F93" s="4" t="n"/>
      <c r="G93" s="4" t="n"/>
      <c r="H93" s="4" t="n"/>
      <c r="I93" s="4" t="inlineStr"/>
    </row>
    <row r="94" ht="26" customHeight="1">
      <c r="B94" s="5" t="inlineStr">
        <is>
          <t>Показатель</t>
        </is>
      </c>
      <c r="C94" s="5" t="inlineStr">
        <is>
          <t>Сумма</t>
        </is>
      </c>
      <c r="I94" s="5" t="inlineStr">
        <is>
          <t>Комментарий</t>
        </is>
      </c>
    </row>
    <row r="95">
      <c r="B95" s="6" t="inlineStr">
        <is>
          <t>Кредитная линия — лимит</t>
        </is>
      </c>
      <c r="C95" s="7" t="n">
        <v>30000000</v>
      </c>
      <c r="D95" s="8" t="n"/>
      <c r="E95" s="8" t="n"/>
      <c r="F95" s="8" t="n"/>
      <c r="G95" s="8" t="n"/>
      <c r="H95" s="8" t="n"/>
      <c r="I95" s="8" t="n"/>
    </row>
    <row r="96">
      <c r="B96" s="6" t="inlineStr">
        <is>
          <t>Кредитная линия — выбрано</t>
        </is>
      </c>
      <c r="C96" s="7" t="n">
        <v>27545367</v>
      </c>
      <c r="D96" s="8" t="n"/>
      <c r="E96" s="8" t="n"/>
      <c r="F96" s="8" t="n"/>
      <c r="G96" s="8" t="n"/>
      <c r="H96" s="8" t="n"/>
      <c r="I96" s="10" t="inlineStr">
        <is>
          <t>долг на дату отчёта</t>
        </is>
      </c>
    </row>
    <row r="97">
      <c r="B97" s="6" t="inlineStr">
        <is>
          <t>Кредитная линия — свободный остаток</t>
        </is>
      </c>
      <c r="C97" s="7" t="n">
        <v>2454633</v>
      </c>
      <c r="D97" s="8" t="n"/>
      <c r="E97" s="8" t="n"/>
      <c r="F97" s="8" t="n"/>
      <c r="G97" s="8" t="n"/>
      <c r="H97" s="8" t="n"/>
      <c r="I97" s="8" t="n"/>
    </row>
    <row r="98">
      <c r="B98" s="6" t="inlineStr">
        <is>
          <t>Проценты по депозитам за месяц</t>
        </is>
      </c>
      <c r="C98" s="7" t="n">
        <v>396337.24</v>
      </c>
      <c r="D98" s="8" t="n"/>
      <c r="E98" s="8" t="n"/>
      <c r="F98" s="8" t="n"/>
      <c r="G98" s="8" t="n"/>
      <c r="H98" s="8" t="n"/>
      <c r="I98" s="8" t="n"/>
    </row>
    <row r="99">
      <c r="B99" s="6" t="inlineStr">
        <is>
          <t>Остаток наличных в кассе</t>
        </is>
      </c>
      <c r="C99" s="7" t="n"/>
      <c r="D99" s="8" t="n"/>
      <c r="E99" s="8" t="n"/>
      <c r="F99" s="8" t="n"/>
      <c r="G99" s="8" t="n"/>
      <c r="H99" s="8" t="n"/>
      <c r="I99" s="10" t="inlineStr">
        <is>
          <t>не проставлен</t>
        </is>
      </c>
    </row>
    <row r="100">
      <c r="B100" s="6" t="inlineStr">
        <is>
          <t>Комиссия эквайринга</t>
        </is>
      </c>
      <c r="C100" s="7" t="n">
        <v>373487.16</v>
      </c>
      <c r="D100" s="8" t="n"/>
      <c r="E100" s="8" t="n"/>
      <c r="F100" s="8" t="n"/>
      <c r="G100" s="8" t="n"/>
      <c r="H100" s="8" t="n"/>
      <c r="I100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ЗП Заведягин ОН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18550-расходка, 320588-мед.оборудованеи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 отходов до июль-октябрь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4365745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2545000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4277000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4552200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2728594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1615200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3019500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3852280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1491000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3202575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2026-09-09T07:03:44Z</dcterms:created>
  <dcterms:modified xsi:type="dcterms:W3CDTF">2026-09-09T07:03:44Z</dcterms:modified>
</cp:coreProperties>
</file>