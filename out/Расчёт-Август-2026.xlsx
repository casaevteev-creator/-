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татьи расходов" sheetId="3" state="visible" r:id="rId3"/>
    <sheet name="Выручка по дням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164" fontId="11" fillId="0" borderId="1" applyAlignment="1" pivotButton="0" quotePrefix="0" xfId="0">
      <alignment horizontal="right"/>
    </xf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2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4728500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Аренда Inmode</t>
        </is>
      </c>
      <c r="C65" s="7" t="n">
        <v>210000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Кровь</t>
        </is>
      </c>
      <c r="C66" s="7" t="n">
        <v>181735.9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Медоборудование</t>
        </is>
      </c>
      <c r="C67" s="7" t="n">
        <v>173834.16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Анализы</t>
        </is>
      </c>
      <c r="C68" s="7" t="n">
        <v>102102</v>
      </c>
      <c r="D68" s="8" t="n"/>
      <c r="E68" s="8" t="n"/>
      <c r="F68" s="8" t="n"/>
      <c r="G68" s="8" t="n"/>
      <c r="H68" s="8" t="n"/>
      <c r="I68" s="8" t="n"/>
    </row>
    <row r="69">
      <c r="B69" s="22" t="inlineStr">
        <is>
          <t xml:space="preserve">            прочие статьи, 4 шт</t>
        </is>
      </c>
      <c r="C69" s="23" t="n">
        <v>152121.72</v>
      </c>
      <c r="D69" s="8" t="n"/>
      <c r="E69" s="8" t="n"/>
      <c r="F69" s="8" t="n"/>
      <c r="G69" s="8" t="n"/>
      <c r="H69" s="8" t="n"/>
      <c r="I69" s="10" t="inlineStr">
        <is>
          <t>полный список — лист «Статьи расходов»</t>
        </is>
      </c>
    </row>
    <row r="70">
      <c r="B70" s="22" t="inlineStr">
        <is>
          <t xml:space="preserve">        в том числе управленческие:</t>
        </is>
      </c>
      <c r="C70" s="8" t="n"/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Урегулирование досудебного спора</t>
        </is>
      </c>
      <c r="C71" s="7" t="n">
        <v>4692500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Маркетинговые услуги</t>
        </is>
      </c>
      <c r="C72" s="7" t="n">
        <v>2505800</v>
      </c>
      <c r="D72" s="8" t="n"/>
      <c r="E72" s="8" t="n"/>
      <c r="F72" s="8" t="n"/>
      <c r="G72" s="8" t="n"/>
      <c r="H72" s="8" t="n"/>
      <c r="I72" s="8" t="n"/>
    </row>
    <row r="73">
      <c r="B73" s="6" t="inlineStr">
        <is>
          <t xml:space="preserve">            Аренда Самокатная 1 стр1</t>
        </is>
      </c>
      <c r="C73" s="7" t="n">
        <v>1155000</v>
      </c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Ремонт</t>
        </is>
      </c>
      <c r="C74" s="7" t="n">
        <v>516000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Обслуживание 1СУправление</t>
        </is>
      </c>
      <c r="C75" s="7" t="n">
        <v>441570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Фото видео</t>
        </is>
      </c>
      <c r="C76" s="7" t="n">
        <v>337440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Услуги юриста</t>
        </is>
      </c>
      <c r="C77" s="7" t="n">
        <v>330000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Складской учет</t>
        </is>
      </c>
      <c r="C78" s="7" t="n">
        <v>320000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ПО и IT-сервисы</t>
        </is>
      </c>
      <c r="C79" s="7" t="n">
        <v>279349.86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Битрикс 24</t>
        </is>
      </c>
      <c r="C80" s="7" t="n">
        <v>264850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Сайт</t>
        </is>
      </c>
      <c r="C81" s="7" t="n">
        <v>254000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IT услуги</t>
        </is>
      </c>
      <c r="C82" s="7" t="n">
        <v>247935.06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Реклама</t>
        </is>
      </c>
      <c r="C83" s="7" t="n">
        <v>227800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Светильники и оборудование</t>
        </is>
      </c>
      <c r="C84" s="7" t="n">
        <v>179400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Услуги инженера</t>
        </is>
      </c>
      <c r="C85" s="7" t="n">
        <v>159575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Канц и хоз расходы</t>
        </is>
      </c>
      <c r="C86" s="7" t="n">
        <v>157671.72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Сервис речевой аналитики</t>
        </is>
      </c>
      <c r="C87" s="7" t="n">
        <v>152250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Общехозяйственные</t>
        </is>
      </c>
      <c r="C88" s="7" t="n">
        <v>137116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Косметология</t>
        </is>
      </c>
      <c r="C89" s="7" t="n">
        <v>114858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Такси</t>
        </is>
      </c>
      <c r="C90" s="7" t="n">
        <v>100000</v>
      </c>
      <c r="D90" s="8" t="n"/>
      <c r="E90" s="8" t="n"/>
      <c r="F90" s="8" t="n"/>
      <c r="G90" s="8" t="n"/>
      <c r="H90" s="8" t="n"/>
      <c r="I90" s="8" t="n"/>
    </row>
    <row r="91">
      <c r="B91" s="22" t="inlineStr">
        <is>
          <t xml:space="preserve">            прочие статьи, 28 шт</t>
        </is>
      </c>
      <c r="C91" s="23" t="n">
        <v>779881.2000000001</v>
      </c>
      <c r="D91" s="8" t="n"/>
      <c r="E91" s="8" t="n"/>
      <c r="F91" s="8" t="n"/>
      <c r="G91" s="8" t="n"/>
      <c r="H91" s="8" t="n"/>
      <c r="I91" s="10" t="inlineStr">
        <is>
          <t>полный список — лист «Статьи расходов»</t>
        </is>
      </c>
    </row>
    <row r="92">
      <c r="B92" s="14" t="inlineStr">
        <is>
          <t>ИТОГО РАСХОДЫ</t>
        </is>
      </c>
      <c r="C92" s="15">
        <f>SUM(C47:C53)</f>
        <v/>
      </c>
      <c r="D92" s="15">
        <f>SUM(D47:D53)</f>
        <v/>
      </c>
      <c r="E92" s="15">
        <f>SUM(E47:E53)</f>
        <v/>
      </c>
      <c r="F92" s="16" t="n"/>
      <c r="G92" s="16" t="n"/>
      <c r="H92" s="16" t="n"/>
      <c r="I92" s="17" t="inlineStr">
        <is>
          <t>строки «в том числе» в сумму не входят</t>
        </is>
      </c>
    </row>
    <row r="93">
      <c r="B93" s="19" t="inlineStr">
        <is>
          <t>Справочно: ремонт за счёт кредитной линии</t>
        </is>
      </c>
      <c r="C93" s="20" t="n">
        <v>11000000</v>
      </c>
      <c r="D93" s="8" t="n"/>
      <c r="E93" s="8" t="n"/>
      <c r="F93" s="8" t="n"/>
      <c r="G93" s="8" t="n"/>
      <c r="H93" s="8" t="n"/>
      <c r="I93" s="10" t="inlineStr">
        <is>
          <t>в расходы учредителей не входит — стройка идёт на заёмные</t>
        </is>
      </c>
    </row>
    <row r="94">
      <c r="B94" s="19" t="inlineStr">
        <is>
          <t>Справочно: из них личные расходы врачей</t>
        </is>
      </c>
      <c r="C94" s="20" t="n">
        <v>1658023.69</v>
      </c>
      <c r="D94" s="8" t="n"/>
      <c r="E94" s="8" t="n"/>
      <c r="F94" s="8" t="n"/>
      <c r="G94" s="8" t="n"/>
      <c r="H94" s="8" t="n"/>
      <c r="I94" s="10" t="inlineStr">
        <is>
          <t>пополам не делятся, отнесены каждому свои — см. шаг 7</t>
        </is>
      </c>
    </row>
    <row r="96" ht="22" customHeight="1">
      <c r="B96" s="3" t="inlineStr">
        <is>
          <t>4. РАСЧЁТ ДОХОДА УЧРЕДИТЕЛЕЙ</t>
        </is>
      </c>
      <c r="C96" s="4" t="n"/>
      <c r="D96" s="4" t="n"/>
      <c r="E96" s="4" t="n"/>
      <c r="F96" s="4" t="n"/>
      <c r="G96" s="4" t="n"/>
      <c r="H96" s="4" t="n"/>
      <c r="I96" s="4" t="inlineStr">
        <is>
          <t>методика 50/50</t>
        </is>
      </c>
    </row>
    <row r="97" ht="26" customHeight="1">
      <c r="B97" s="5" t="inlineStr">
        <is>
          <t>Шаг</t>
        </is>
      </c>
      <c r="C97" s="5" t="inlineStr">
        <is>
          <t>Всего</t>
        </is>
      </c>
      <c r="D97" s="5" t="inlineStr">
        <is>
          <t>Маланичев</t>
        </is>
      </c>
      <c r="E97" s="5" t="inlineStr">
        <is>
          <t>Погосян</t>
        </is>
      </c>
      <c r="I97" s="5" t="inlineStr">
        <is>
          <t>Как считается</t>
        </is>
      </c>
    </row>
    <row r="98">
      <c r="B98" s="6" t="inlineStr">
        <is>
          <t>1. Личная выручка (свои операции)</t>
        </is>
      </c>
      <c r="C98" s="7">
        <f>D98+E98</f>
        <v/>
      </c>
      <c r="D98" s="7">
        <f>D35</f>
        <v/>
      </c>
      <c r="E98" s="7">
        <f>E35</f>
        <v/>
      </c>
      <c r="F98" s="8" t="n"/>
      <c r="G98" s="8" t="n"/>
      <c r="H98" s="8" t="n"/>
      <c r="I98" s="10" t="inlineStr">
        <is>
          <t>своя строка из блока «Выручка»</t>
        </is>
      </c>
    </row>
    <row r="99">
      <c r="B99" s="6" t="inlineStr">
        <is>
          <t>2. Половина выручки других хирургов</t>
        </is>
      </c>
      <c r="C99" s="7">
        <f>F35</f>
        <v/>
      </c>
      <c r="D99" s="7">
        <f>F35/2</f>
        <v/>
      </c>
      <c r="E99" s="7">
        <f>F35/2</f>
        <v/>
      </c>
      <c r="F99" s="8" t="n"/>
      <c r="G99" s="8" t="n"/>
      <c r="H99" s="8" t="n"/>
      <c r="I99" s="8" t="n"/>
    </row>
    <row r="100">
      <c r="B100" s="6" t="inlineStr">
        <is>
          <t>3. Половина выручки косметологии</t>
        </is>
      </c>
      <c r="C100" s="7">
        <f>H35</f>
        <v/>
      </c>
      <c r="D100" s="7">
        <f>H35/2</f>
        <v/>
      </c>
      <c r="E100" s="7">
        <f>H35/2</f>
        <v/>
      </c>
      <c r="F100" s="8" t="n"/>
      <c r="G100" s="8" t="n"/>
      <c r="H100" s="8" t="n"/>
      <c r="I100" s="8" t="n"/>
    </row>
    <row r="101">
      <c r="B101" s="6" t="inlineStr">
        <is>
          <t>4. Половина прочих доходов</t>
        </is>
      </c>
      <c r="C101" s="7">
        <f>G35</f>
        <v/>
      </c>
      <c r="D101" s="7">
        <f>G35/2</f>
        <v/>
      </c>
      <c r="E101" s="7">
        <f>G35/2</f>
        <v/>
      </c>
      <c r="F101" s="8" t="n"/>
      <c r="G101" s="8" t="n"/>
      <c r="H101" s="8" t="n"/>
      <c r="I101" s="8" t="n"/>
    </row>
    <row r="102">
      <c r="B102" s="6" t="inlineStr">
        <is>
          <t>5. Половина процентов по депозитам</t>
        </is>
      </c>
      <c r="C102" s="7" t="n">
        <v>396337.24</v>
      </c>
      <c r="D102" s="7">
        <f>C102/2</f>
        <v/>
      </c>
      <c r="E102" s="7">
        <f>C102/2</f>
        <v/>
      </c>
      <c r="F102" s="8" t="n"/>
      <c r="G102" s="8" t="n"/>
      <c r="H102" s="8" t="n"/>
      <c r="I102" s="10" t="inlineStr">
        <is>
          <t>начислены банком на остатки</t>
        </is>
      </c>
    </row>
    <row r="103">
      <c r="B103" s="24" t="inlineStr">
        <is>
          <t>6. Минус ½ общих расходов</t>
        </is>
      </c>
      <c r="C103" s="25">
        <f>-(C92-C94)</f>
        <v/>
      </c>
      <c r="D103" s="25">
        <f>-(D92-C94/2)</f>
        <v/>
      </c>
      <c r="E103" s="25">
        <f>-(E92-C94/2)</f>
        <v/>
      </c>
      <c r="F103" s="8" t="n"/>
      <c r="G103" s="8" t="n"/>
      <c r="H103" s="8" t="n"/>
      <c r="I103" s="10" t="inlineStr">
        <is>
          <t>итог блока «Расходы» без личных, пополам</t>
        </is>
      </c>
    </row>
    <row r="104">
      <c r="B104" s="24" t="inlineStr">
        <is>
          <t>7. Минус личные расходы (каждый свои)</t>
        </is>
      </c>
      <c r="C104" s="25" t="n">
        <v>-1658023.69</v>
      </c>
      <c r="D104" s="25" t="n">
        <v>-170861.64</v>
      </c>
      <c r="E104" s="25" t="n">
        <v>-1487162.05</v>
      </c>
      <c r="F104" s="8" t="n"/>
      <c r="G104" s="8" t="n"/>
      <c r="H104" s="8" t="n"/>
      <c r="I104" s="10" t="inlineStr">
        <is>
          <t>заказано лично под врача, пополам не делится</t>
        </is>
      </c>
    </row>
    <row r="105">
      <c r="B105" s="22" t="inlineStr">
        <is>
          <t xml:space="preserve">        Анализы</t>
        </is>
      </c>
      <c r="C105" s="23" t="n">
        <v>-42868</v>
      </c>
      <c r="D105" s="23" t="n">
        <v>-30620</v>
      </c>
      <c r="E105" s="23" t="n">
        <v>-12248</v>
      </c>
      <c r="F105" s="8" t="n"/>
      <c r="G105" s="8" t="n"/>
      <c r="H105" s="8" t="n"/>
      <c r="I105" s="8" t="n"/>
    </row>
    <row r="106">
      <c r="B106" s="22" t="inlineStr">
        <is>
          <t xml:space="preserve">        Материалы за операции</t>
        </is>
      </c>
      <c r="C106" s="23" t="n">
        <v>-1615155.69</v>
      </c>
      <c r="D106" s="23" t="n">
        <v>-140241.64</v>
      </c>
      <c r="E106" s="23" t="n">
        <v>-1474914.05</v>
      </c>
      <c r="F106" s="8" t="n"/>
      <c r="G106" s="8" t="n"/>
      <c r="H106" s="8" t="n"/>
      <c r="I106" s="8" t="n"/>
    </row>
    <row r="107">
      <c r="B107" s="14" t="inlineStr">
        <is>
          <t>ДОХОД ЗА МЕСЯЦ</t>
        </is>
      </c>
      <c r="C107" s="15">
        <f>SUM(C98:C104)</f>
        <v/>
      </c>
      <c r="D107" s="15">
        <f>SUM(D98:D104)</f>
        <v/>
      </c>
      <c r="E107" s="15">
        <f>SUM(E98:E104)</f>
        <v/>
      </c>
      <c r="F107" s="16" t="n"/>
      <c r="G107" s="16" t="n"/>
      <c r="H107" s="16" t="n"/>
      <c r="I107" s="16" t="n"/>
    </row>
    <row r="109" ht="22" customHeight="1">
      <c r="B109" s="3" t="inlineStr">
        <is>
          <t>5. К ВЫПЛАТЕ УЧРЕДИТЕЛЯМ</t>
        </is>
      </c>
      <c r="C109" s="4" t="n"/>
      <c r="D109" s="4" t="n"/>
      <c r="E109" s="4" t="n"/>
      <c r="F109" s="4" t="n"/>
      <c r="G109" s="4" t="n"/>
      <c r="H109" s="4" t="n"/>
      <c r="I109" s="4" t="inlineStr"/>
    </row>
    <row r="110" ht="26" customHeight="1">
      <c r="B110" s="5" t="inlineStr">
        <is>
          <t>Показатель</t>
        </is>
      </c>
      <c r="C110" s="5" t="inlineStr">
        <is>
          <t>Всего</t>
        </is>
      </c>
      <c r="D110" s="5" t="inlineStr">
        <is>
          <t>Маланичев</t>
        </is>
      </c>
      <c r="E110" s="5" t="inlineStr">
        <is>
          <t>Погосян</t>
        </is>
      </c>
      <c r="I110" s="5" t="inlineStr">
        <is>
          <t>Комментарий</t>
        </is>
      </c>
    </row>
    <row r="111">
      <c r="B111" s="6" t="inlineStr">
        <is>
          <t>Доход за месяц</t>
        </is>
      </c>
      <c r="C111" s="7">
        <f>C107</f>
        <v/>
      </c>
      <c r="D111" s="7">
        <f>D107</f>
        <v/>
      </c>
      <c r="E111" s="7">
        <f>E107</f>
        <v/>
      </c>
      <c r="F111" s="8" t="n"/>
      <c r="G111" s="8" t="n"/>
      <c r="H111" s="8" t="n"/>
      <c r="I111" s="8" t="n"/>
    </row>
    <row r="112">
      <c r="B112" s="6" t="inlineStr">
        <is>
          <t>Остаток с прошлого месяца</t>
        </is>
      </c>
      <c r="C112" s="7">
        <f>D112+E112</f>
        <v/>
      </c>
      <c r="D112" s="7" t="n">
        <v>30658896.02</v>
      </c>
      <c r="E112" s="7" t="n">
        <v>45275972.21</v>
      </c>
      <c r="F112" s="8" t="n"/>
      <c r="G112" s="8" t="n"/>
      <c r="H112" s="8" t="n"/>
      <c r="I112" s="10" t="inlineStr">
        <is>
          <t>ручной ввод бухгалтерии</t>
        </is>
      </c>
    </row>
    <row r="113">
      <c r="B113" s="24" t="inlineStr">
        <is>
          <t>Выплачены дивиденды</t>
        </is>
      </c>
      <c r="C113" s="25">
        <f>D113+E113</f>
        <v/>
      </c>
      <c r="D113" s="25" t="n">
        <v>-5882353</v>
      </c>
      <c r="E113" s="25" t="n">
        <v>-5882353</v>
      </c>
      <c r="F113" s="8" t="n"/>
      <c r="G113" s="8" t="n"/>
      <c r="H113" s="8" t="n"/>
      <c r="I113" s="10" t="inlineStr">
        <is>
          <t>начислено с НДФЛ</t>
        </is>
      </c>
    </row>
    <row r="114">
      <c r="B114" s="14" t="inlineStr">
        <is>
          <t>ИТОГО К ВЫПЛАТЕ НА 31.08.2026</t>
        </is>
      </c>
      <c r="C114" s="15">
        <f>SUM(C111:C113)</f>
        <v/>
      </c>
      <c r="D114" s="15">
        <f>SUM(D111:D113)</f>
        <v/>
      </c>
      <c r="E114" s="15">
        <f>SUM(E111:E113)</f>
        <v/>
      </c>
      <c r="F114" s="16" t="n"/>
      <c r="G114" s="16" t="n"/>
      <c r="H114" s="16" t="n"/>
      <c r="I114" s="16" t="n"/>
    </row>
    <row r="116" ht="22" customHeight="1">
      <c r="B116" s="3" t="inlineStr">
        <is>
          <t>6. СПРАВОЧНО</t>
        </is>
      </c>
      <c r="C116" s="4" t="n"/>
      <c r="D116" s="4" t="n"/>
      <c r="E116" s="4" t="n"/>
      <c r="F116" s="4" t="n"/>
      <c r="G116" s="4" t="n"/>
      <c r="H116" s="4" t="n"/>
      <c r="I116" s="4" t="inlineStr"/>
    </row>
    <row r="117" ht="26" customHeight="1">
      <c r="B117" s="5" t="inlineStr">
        <is>
          <t>Показатель</t>
        </is>
      </c>
      <c r="C117" s="5" t="inlineStr">
        <is>
          <t>Сумма</t>
        </is>
      </c>
      <c r="I117" s="5" t="inlineStr">
        <is>
          <t>Комментарий</t>
        </is>
      </c>
    </row>
    <row r="118">
      <c r="B118" s="6" t="inlineStr">
        <is>
          <t>Кредитная линия — долг на начало месяца</t>
        </is>
      </c>
      <c r="C118" s="7" t="n">
        <v>16545367</v>
      </c>
      <c r="D118" s="8" t="n"/>
      <c r="E118" s="8" t="n"/>
      <c r="F118" s="8" t="n"/>
      <c r="G118" s="8" t="n"/>
      <c r="H118" s="8" t="n"/>
      <c r="I118" s="10" t="inlineStr">
        <is>
          <t>счёт 67, контрагент «ОМЕГА ООО»</t>
        </is>
      </c>
    </row>
    <row r="119">
      <c r="B119" s="6" t="inlineStr">
        <is>
          <t>Кредитная линия — выбрано за месяц</t>
        </is>
      </c>
      <c r="C119" s="7" t="n">
        <v>11000000</v>
      </c>
      <c r="D119" s="8" t="n"/>
      <c r="E119" s="8" t="n"/>
      <c r="F119" s="8" t="n"/>
      <c r="G119" s="8" t="n"/>
      <c r="H119" s="8" t="n"/>
      <c r="I119" s="10" t="inlineStr">
        <is>
          <t>9 000 000 + 2 000 000, оба ушли Квалитету</t>
        </is>
      </c>
    </row>
    <row r="120">
      <c r="B120" s="6" t="inlineStr">
        <is>
          <t>Кредитная линия — долг на конец месяца</t>
        </is>
      </c>
      <c r="C120" s="7" t="n">
        <v>27545367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>Кредитная линия — лимит</t>
        </is>
      </c>
      <c r="C121" s="7" t="n">
        <v>30000000</v>
      </c>
      <c r="D121" s="8" t="n"/>
      <c r="E121" s="8" t="n"/>
      <c r="F121" s="8" t="n"/>
      <c r="G121" s="8" t="n"/>
      <c r="H121" s="8" t="n"/>
      <c r="I121" s="8" t="n"/>
    </row>
    <row r="122">
      <c r="B122" s="6" t="inlineStr">
        <is>
          <t>Кредитная линия — свободный остаток</t>
        </is>
      </c>
      <c r="C122" s="7" t="n">
        <v>2454633</v>
      </c>
      <c r="D122" s="8" t="n"/>
      <c r="E122" s="8" t="n"/>
      <c r="F122" s="8" t="n"/>
      <c r="G122" s="8" t="n"/>
      <c r="H122" s="8" t="n"/>
      <c r="I122" s="8" t="n"/>
    </row>
    <row r="123">
      <c r="B123" s="6" t="inlineStr">
        <is>
          <t>Проценты по кредиту, уплачено</t>
        </is>
      </c>
      <c r="C123" s="7" t="n">
        <v>204388.93</v>
      </c>
      <c r="D123" s="8" t="n"/>
      <c r="E123" s="8" t="n"/>
      <c r="F123" s="8" t="n"/>
      <c r="G123" s="8" t="n"/>
      <c r="H123" s="8" t="n"/>
      <c r="I123" s="10" t="inlineStr">
        <is>
          <t>счёт 67, контрагент «Филиал „Центральный“ Банка ВТБ»; в июле было 151 764,47</t>
        </is>
      </c>
    </row>
    <row r="124">
      <c r="B124" s="6" t="inlineStr">
        <is>
          <t>Проценты по депозитам за месяц</t>
        </is>
      </c>
      <c r="C124" s="7" t="n">
        <v>396337.24</v>
      </c>
      <c r="D124" s="8" t="n"/>
      <c r="E124" s="8" t="n"/>
      <c r="F124" s="8" t="n"/>
      <c r="G124" s="8" t="n"/>
      <c r="H124" s="8" t="n"/>
      <c r="I124" s="8" t="n"/>
    </row>
    <row r="125">
      <c r="B125" s="6" t="inlineStr">
        <is>
          <t>Остаток наличных в кассе</t>
        </is>
      </c>
      <c r="C125" s="7" t="n"/>
      <c r="D125" s="8" t="n"/>
      <c r="E125" s="8" t="n"/>
      <c r="F125" s="8" t="n"/>
      <c r="G125" s="8" t="n"/>
      <c r="H125" s="8" t="n"/>
      <c r="I125" s="10" t="inlineStr">
        <is>
          <t>не проставлен</t>
        </is>
      </c>
    </row>
    <row r="126">
      <c r="B126" s="6" t="inlineStr">
        <is>
          <t>Комиссия эквайринга</t>
        </is>
      </c>
      <c r="C126" s="7" t="n">
        <v>373487.16</v>
      </c>
      <c r="D126" s="8" t="n"/>
      <c r="E126" s="8" t="n"/>
      <c r="F126" s="8" t="n"/>
      <c r="G126" s="8" t="n"/>
      <c r="H126" s="8" t="n"/>
      <c r="I126" s="8" t="n"/>
    </row>
    <row r="127">
      <c r="B127" s="6" t="inlineStr">
        <is>
          <t>Онлайн-оплаты через сайт (интернет-эквайринг)</t>
        </is>
      </c>
      <c r="C127" s="7" t="n">
        <v>3284000</v>
      </c>
      <c r="D127" s="8" t="n"/>
      <c r="E127" s="8" t="n"/>
      <c r="F127" s="8" t="n"/>
      <c r="G127" s="8" t="n"/>
      <c r="H127" s="8" t="n"/>
      <c r="I127" s="10" t="inlineStr">
        <is>
          <t>счёт 62.01; отдельной строкой не добавляется — уже внутри безналичных поступлений</t>
        </is>
      </c>
    </row>
    <row r="128">
      <c r="B128" s="6" t="inlineStr">
        <is>
          <t>Авансы арендодателям на конец месяца</t>
        </is>
      </c>
      <c r="C128" s="7" t="n">
        <v>31195343.31</v>
      </c>
      <c r="D128" s="8" t="n"/>
      <c r="E128" s="8" t="n"/>
      <c r="F128" s="8" t="n"/>
      <c r="G128" s="8" t="n"/>
      <c r="H128" s="8" t="n"/>
      <c r="I128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Прочие управленческие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1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1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Прочие управленческие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18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2026-09-09T12:53:28Z</dcterms:created>
  <dcterms:modified xsi:type="dcterms:W3CDTF">2026-09-09T12:53:28Z</dcterms:modified>
</cp:coreProperties>
</file>