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141191.07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69794048.05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4527900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статьи блока</t>
        </is>
      </c>
      <c r="C65" s="7" t="n">
        <v>582359.62</v>
      </c>
      <c r="D65" s="8" t="n"/>
      <c r="E65" s="8" t="n"/>
      <c r="F65" s="8" t="n"/>
      <c r="G65" s="8" t="n"/>
      <c r="H65" s="8" t="n"/>
      <c r="I65" s="8" t="n"/>
    </row>
    <row r="66">
      <c r="B66" s="22" t="inlineStr">
        <is>
          <t xml:space="preserve">        в том числе управленческие:</t>
        </is>
      </c>
      <c r="C66" s="8" t="n"/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Урегулирование досудебного спора</t>
        </is>
      </c>
      <c r="C67" s="7" t="n">
        <v>4692500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Маркетинговые услуги</t>
        </is>
      </c>
      <c r="C68" s="7" t="n">
        <v>2505800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Аренда Самокатная 1 стр1</t>
        </is>
      </c>
      <c r="C69" s="7" t="n">
        <v>1155000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Прочие управленческие</t>
        </is>
      </c>
      <c r="C70" s="7" t="n">
        <v>878789.77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Ремонт</t>
        </is>
      </c>
      <c r="C71" s="7" t="n">
        <v>516000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Обслуживание 1СУправление</t>
        </is>
      </c>
      <c r="C72" s="7" t="n">
        <v>435435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Фото видео</t>
        </is>
      </c>
      <c r="C73" s="7" t="n">
        <v>337440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Услуги юриста</t>
        </is>
      </c>
      <c r="C74" s="7" t="n">
        <v>330000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Складской учет</t>
        </is>
      </c>
      <c r="C75" s="7" t="n">
        <v>320000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прочие статьи блока</t>
        </is>
      </c>
      <c r="C76" s="7" t="n">
        <v>2621284.79</v>
      </c>
      <c r="D76" s="8" t="n"/>
      <c r="E76" s="8" t="n"/>
      <c r="F76" s="8" t="n"/>
      <c r="G76" s="8" t="n"/>
      <c r="H76" s="8" t="n"/>
      <c r="I76" s="8" t="n"/>
    </row>
    <row r="77">
      <c r="B77" s="14" t="inlineStr">
        <is>
          <t>ИТОГО РАСХОДЫ</t>
        </is>
      </c>
      <c r="C77" s="15">
        <f>SUM(C47:C53)</f>
        <v/>
      </c>
      <c r="D77" s="15">
        <f>SUM(D47:D53)</f>
        <v/>
      </c>
      <c r="E77" s="15">
        <f>SUM(E47:E53)</f>
        <v/>
      </c>
      <c r="F77" s="16" t="n"/>
      <c r="G77" s="16" t="n"/>
      <c r="H77" s="16" t="n"/>
      <c r="I77" s="17" t="inlineStr">
        <is>
          <t>строки «в том числе» в сумму не входят</t>
        </is>
      </c>
    </row>
    <row r="78">
      <c r="B78" s="19" t="inlineStr">
        <is>
          <t>Справочно: ремонт за счёт кредитной линии</t>
        </is>
      </c>
      <c r="C78" s="20" t="n">
        <v>11000000</v>
      </c>
      <c r="D78" s="8" t="n"/>
      <c r="E78" s="8" t="n"/>
      <c r="F78" s="8" t="n"/>
      <c r="G78" s="8" t="n"/>
      <c r="H78" s="8" t="n"/>
      <c r="I78" s="10" t="inlineStr">
        <is>
          <t>в расходы учредителей не входит — стройка идёт на заёмные</t>
        </is>
      </c>
    </row>
    <row r="79">
      <c r="B79" s="19" t="inlineStr">
        <is>
          <t>Справочно: из них личные расходы врачей</t>
        </is>
      </c>
      <c r="C79" s="20" t="n">
        <v>42868</v>
      </c>
      <c r="D79" s="8" t="n"/>
      <c r="E79" s="8" t="n"/>
      <c r="F79" s="8" t="n"/>
      <c r="G79" s="8" t="n"/>
      <c r="H79" s="8" t="n"/>
      <c r="I79" s="10" t="inlineStr">
        <is>
          <t>пополам не делятся, отнесены каждому свои — см. шаг 7</t>
        </is>
      </c>
    </row>
    <row r="81" ht="22" customHeight="1">
      <c r="B81" s="3" t="inlineStr">
        <is>
          <t>4. РАСЧЁТ ДОХОДА УЧРЕДИТЕЛЕЙ</t>
        </is>
      </c>
      <c r="C81" s="4" t="n"/>
      <c r="D81" s="4" t="n"/>
      <c r="E81" s="4" t="n"/>
      <c r="F81" s="4" t="n"/>
      <c r="G81" s="4" t="n"/>
      <c r="H81" s="4" t="n"/>
      <c r="I81" s="4" t="inlineStr">
        <is>
          <t>методика 50/50</t>
        </is>
      </c>
    </row>
    <row r="82" ht="26" customHeight="1">
      <c r="B82" s="5" t="inlineStr">
        <is>
          <t>Шаг</t>
        </is>
      </c>
      <c r="C82" s="5" t="inlineStr">
        <is>
          <t>Всего</t>
        </is>
      </c>
      <c r="D82" s="5" t="inlineStr">
        <is>
          <t>Маланичев</t>
        </is>
      </c>
      <c r="E82" s="5" t="inlineStr">
        <is>
          <t>Погосян</t>
        </is>
      </c>
      <c r="I82" s="5" t="inlineStr">
        <is>
          <t>Как считается</t>
        </is>
      </c>
    </row>
    <row r="83">
      <c r="B83" s="6" t="inlineStr">
        <is>
          <t>1. Личная выручка (свои операции)</t>
        </is>
      </c>
      <c r="C83" s="7">
        <f>D83+E83</f>
        <v/>
      </c>
      <c r="D83" s="7">
        <f>D35</f>
        <v/>
      </c>
      <c r="E83" s="7">
        <f>E35</f>
        <v/>
      </c>
      <c r="F83" s="8" t="n"/>
      <c r="G83" s="8" t="n"/>
      <c r="H83" s="8" t="n"/>
      <c r="I83" s="10" t="inlineStr">
        <is>
          <t>своя строка из блока «Выручка»</t>
        </is>
      </c>
    </row>
    <row r="84">
      <c r="B84" s="6" t="inlineStr">
        <is>
          <t>2. Половина выручки других хирургов</t>
        </is>
      </c>
      <c r="C84" s="7">
        <f>F35</f>
        <v/>
      </c>
      <c r="D84" s="7">
        <f>F35/2</f>
        <v/>
      </c>
      <c r="E84" s="7">
        <f>F35/2</f>
        <v/>
      </c>
      <c r="F84" s="8" t="n"/>
      <c r="G84" s="8" t="n"/>
      <c r="H84" s="8" t="n"/>
      <c r="I84" s="8" t="n"/>
    </row>
    <row r="85">
      <c r="B85" s="6" t="inlineStr">
        <is>
          <t>3. Половина выручки косметологии</t>
        </is>
      </c>
      <c r="C85" s="7">
        <f>H35</f>
        <v/>
      </c>
      <c r="D85" s="7">
        <f>H35/2</f>
        <v/>
      </c>
      <c r="E85" s="7">
        <f>H35/2</f>
        <v/>
      </c>
      <c r="F85" s="8" t="n"/>
      <c r="G85" s="8" t="n"/>
      <c r="H85" s="8" t="n"/>
      <c r="I85" s="8" t="n"/>
    </row>
    <row r="86">
      <c r="B86" s="6" t="inlineStr">
        <is>
          <t>4. Половина прочих доходов</t>
        </is>
      </c>
      <c r="C86" s="7">
        <f>G35</f>
        <v/>
      </c>
      <c r="D86" s="7">
        <f>G35/2</f>
        <v/>
      </c>
      <c r="E86" s="7">
        <f>G35/2</f>
        <v/>
      </c>
      <c r="F86" s="8" t="n"/>
      <c r="G86" s="8" t="n"/>
      <c r="H86" s="8" t="n"/>
      <c r="I86" s="8" t="n"/>
    </row>
    <row r="87">
      <c r="B87" s="6" t="inlineStr">
        <is>
          <t>5. Половина процентов по депозитам</t>
        </is>
      </c>
      <c r="C87" s="7" t="n">
        <v>396337.24</v>
      </c>
      <c r="D87" s="7">
        <f>C87/2</f>
        <v/>
      </c>
      <c r="E87" s="7">
        <f>C87/2</f>
        <v/>
      </c>
      <c r="F87" s="8" t="n"/>
      <c r="G87" s="8" t="n"/>
      <c r="H87" s="8" t="n"/>
      <c r="I87" s="10" t="inlineStr">
        <is>
          <t>начислены банком на остатки</t>
        </is>
      </c>
    </row>
    <row r="88">
      <c r="B88" s="23" t="inlineStr">
        <is>
          <t>6. Минус ½ общих расходов</t>
        </is>
      </c>
      <c r="C88" s="24">
        <f>-(C77-42868.0)</f>
        <v/>
      </c>
      <c r="D88" s="24">
        <f>-(D77-21434.0)</f>
        <v/>
      </c>
      <c r="E88" s="24">
        <f>-(E77-21434.0)</f>
        <v/>
      </c>
      <c r="F88" s="8" t="n"/>
      <c r="G88" s="8" t="n"/>
      <c r="H88" s="8" t="n"/>
      <c r="I88" s="10" t="inlineStr">
        <is>
          <t>итог блока «Расходы» без личных, пополам</t>
        </is>
      </c>
    </row>
    <row r="89">
      <c r="B89" s="23" t="inlineStr">
        <is>
          <t>7. Минус личные расходы (каждый свои)</t>
        </is>
      </c>
      <c r="C89" s="24" t="n">
        <v>-42868</v>
      </c>
      <c r="D89" s="24" t="n">
        <v>-30620</v>
      </c>
      <c r="E89" s="24" t="n">
        <v>-12248</v>
      </c>
      <c r="F89" s="8" t="n"/>
      <c r="G89" s="8" t="n"/>
      <c r="H89" s="8" t="n"/>
      <c r="I89" s="10" t="inlineStr">
        <is>
          <t>заказано лично под врача, пополам не делится</t>
        </is>
      </c>
    </row>
    <row r="90">
      <c r="B90" s="22" t="inlineStr">
        <is>
          <t xml:space="preserve">        Анализы</t>
        </is>
      </c>
      <c r="C90" s="25" t="n">
        <v>-42868</v>
      </c>
      <c r="D90" s="25" t="n">
        <v>-30620</v>
      </c>
      <c r="E90" s="25" t="n">
        <v>-12248</v>
      </c>
      <c r="F90" s="8" t="n"/>
      <c r="G90" s="8" t="n"/>
      <c r="H90" s="8" t="n"/>
      <c r="I90" s="8" t="n"/>
    </row>
    <row r="91">
      <c r="B91" s="14" t="inlineStr">
        <is>
          <t>ДОХОД ЗА МЕСЯЦ</t>
        </is>
      </c>
      <c r="C91" s="15">
        <f>SUM(C83:C89)</f>
        <v/>
      </c>
      <c r="D91" s="15">
        <f>SUM(D83:D89)</f>
        <v/>
      </c>
      <c r="E91" s="15">
        <f>SUM(E83:E89)</f>
        <v/>
      </c>
      <c r="F91" s="16" t="n"/>
      <c r="G91" s="16" t="n"/>
      <c r="H91" s="16" t="n"/>
      <c r="I91" s="16" t="n"/>
    </row>
    <row r="93" ht="22" customHeight="1">
      <c r="B93" s="3" t="inlineStr">
        <is>
          <t>5. К ВЫПЛАТЕ УЧРЕДИТЕЛЯМ</t>
        </is>
      </c>
      <c r="C93" s="4" t="n"/>
      <c r="D93" s="4" t="n"/>
      <c r="E93" s="4" t="n"/>
      <c r="F93" s="4" t="n"/>
      <c r="G93" s="4" t="n"/>
      <c r="H93" s="4" t="n"/>
      <c r="I93" s="4" t="inlineStr"/>
    </row>
    <row r="94" ht="26" customHeight="1">
      <c r="B94" s="5" t="inlineStr">
        <is>
          <t>Показатель</t>
        </is>
      </c>
      <c r="C94" s="5" t="inlineStr">
        <is>
          <t>Всего</t>
        </is>
      </c>
      <c r="D94" s="5" t="inlineStr">
        <is>
          <t>Маланичев</t>
        </is>
      </c>
      <c r="E94" s="5" t="inlineStr">
        <is>
          <t>Погосян</t>
        </is>
      </c>
      <c r="I94" s="5" t="inlineStr">
        <is>
          <t>Комментарий</t>
        </is>
      </c>
    </row>
    <row r="95">
      <c r="B95" s="6" t="inlineStr">
        <is>
          <t>Доход за месяц</t>
        </is>
      </c>
      <c r="C95" s="7">
        <f>C91</f>
        <v/>
      </c>
      <c r="D95" s="7">
        <f>D91</f>
        <v/>
      </c>
      <c r="E95" s="7">
        <f>E91</f>
        <v/>
      </c>
      <c r="F95" s="8" t="n"/>
      <c r="G95" s="8" t="n"/>
      <c r="H95" s="8" t="n"/>
      <c r="I95" s="8" t="n"/>
    </row>
    <row r="96">
      <c r="B96" s="6" t="inlineStr">
        <is>
          <t>Остаток с прошлого месяца</t>
        </is>
      </c>
      <c r="C96" s="7">
        <f>D96+E96</f>
        <v/>
      </c>
      <c r="D96" s="7" t="n">
        <v>30658896.02</v>
      </c>
      <c r="E96" s="7" t="n">
        <v>45275972.21</v>
      </c>
      <c r="F96" s="8" t="n"/>
      <c r="G96" s="8" t="n"/>
      <c r="H96" s="8" t="n"/>
      <c r="I96" s="10" t="inlineStr">
        <is>
          <t>ручной ввод бухгалтерии</t>
        </is>
      </c>
    </row>
    <row r="97">
      <c r="B97" s="23" t="inlineStr">
        <is>
          <t>Выплачены дивиденды</t>
        </is>
      </c>
      <c r="C97" s="24">
        <f>D97+E97</f>
        <v/>
      </c>
      <c r="D97" s="24" t="n">
        <v>-5882353</v>
      </c>
      <c r="E97" s="24" t="n">
        <v>-5882353</v>
      </c>
      <c r="F97" s="8" t="n"/>
      <c r="G97" s="8" t="n"/>
      <c r="H97" s="8" t="n"/>
      <c r="I97" s="10" t="inlineStr">
        <is>
          <t>начислено с НДФЛ</t>
        </is>
      </c>
    </row>
    <row r="98">
      <c r="B98" s="14" t="inlineStr">
        <is>
          <t>ИТОГО К ВЫПЛАТЕ НА 31.08.2026</t>
        </is>
      </c>
      <c r="C98" s="15">
        <f>SUM(C95:C97)</f>
        <v/>
      </c>
      <c r="D98" s="15">
        <f>SUM(D95:D97)</f>
        <v/>
      </c>
      <c r="E98" s="15">
        <f>SUM(E95:E97)</f>
        <v/>
      </c>
      <c r="F98" s="16" t="n"/>
      <c r="G98" s="16" t="n"/>
      <c r="H98" s="16" t="n"/>
      <c r="I98" s="16" t="n"/>
    </row>
    <row r="100" ht="22" customHeight="1">
      <c r="B100" s="3" t="inlineStr">
        <is>
          <t>6. СПРАВОЧНО</t>
        </is>
      </c>
      <c r="C100" s="4" t="n"/>
      <c r="D100" s="4" t="n"/>
      <c r="E100" s="4" t="n"/>
      <c r="F100" s="4" t="n"/>
      <c r="G100" s="4" t="n"/>
      <c r="H100" s="4" t="n"/>
      <c r="I100" s="4" t="inlineStr"/>
    </row>
    <row r="101" ht="26" customHeight="1">
      <c r="B101" s="5" t="inlineStr">
        <is>
          <t>Показатель</t>
        </is>
      </c>
      <c r="C101" s="5" t="inlineStr">
        <is>
          <t>Сумма</t>
        </is>
      </c>
      <c r="I101" s="5" t="inlineStr">
        <is>
          <t>Комментарий</t>
        </is>
      </c>
    </row>
    <row r="102">
      <c r="B102" s="6" t="inlineStr">
        <is>
          <t>Кредитная линия — долг на начало месяца</t>
        </is>
      </c>
      <c r="C102" s="7" t="n">
        <v>16545367</v>
      </c>
      <c r="D102" s="8" t="n"/>
      <c r="E102" s="8" t="n"/>
      <c r="F102" s="8" t="n"/>
      <c r="G102" s="8" t="n"/>
      <c r="H102" s="8" t="n"/>
      <c r="I102" s="10" t="inlineStr">
        <is>
          <t>счёт 67, контрагент «ОМЕГА ООО»</t>
        </is>
      </c>
    </row>
    <row r="103">
      <c r="B103" s="6" t="inlineStr">
        <is>
          <t>Кредитная линия — выбрано за месяц</t>
        </is>
      </c>
      <c r="C103" s="7" t="n">
        <v>11000000</v>
      </c>
      <c r="D103" s="8" t="n"/>
      <c r="E103" s="8" t="n"/>
      <c r="F103" s="8" t="n"/>
      <c r="G103" s="8" t="n"/>
      <c r="H103" s="8" t="n"/>
      <c r="I103" s="10" t="inlineStr">
        <is>
          <t>9 000 000 + 2 000 000, оба ушли Квалитету</t>
        </is>
      </c>
    </row>
    <row r="104">
      <c r="B104" s="6" t="inlineStr">
        <is>
          <t>Кредитная линия — долг на конец месяца</t>
        </is>
      </c>
      <c r="C104" s="7" t="n">
        <v>27545367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>Кредитная линия — лимит</t>
        </is>
      </c>
      <c r="C105" s="7" t="n">
        <v>30000000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>Кредитная линия — свободный остаток</t>
        </is>
      </c>
      <c r="C106" s="7" t="n">
        <v>2454633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>Проценты по кредиту, уплачено</t>
        </is>
      </c>
      <c r="C107" s="7" t="n">
        <v>204388.93</v>
      </c>
      <c r="D107" s="8" t="n"/>
      <c r="E107" s="8" t="n"/>
      <c r="F107" s="8" t="n"/>
      <c r="G107" s="8" t="n"/>
      <c r="H107" s="8" t="n"/>
      <c r="I107" s="10" t="inlineStr">
        <is>
          <t>счёт 67, контрагент «Филиал „Центральный“ Банка ВТБ»; в июле было 151 764,47</t>
        </is>
      </c>
    </row>
    <row r="108">
      <c r="B108" s="6" t="inlineStr">
        <is>
          <t>Проценты по депозитам за месяц</t>
        </is>
      </c>
      <c r="C108" s="7" t="n">
        <v>396337.24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>Остаток наличных в кассе</t>
        </is>
      </c>
      <c r="C109" s="7" t="n"/>
      <c r="D109" s="8" t="n"/>
      <c r="E109" s="8" t="n"/>
      <c r="F109" s="8" t="n"/>
      <c r="G109" s="8" t="n"/>
      <c r="H109" s="8" t="n"/>
      <c r="I109" s="10" t="inlineStr">
        <is>
          <t>не проставлен</t>
        </is>
      </c>
    </row>
    <row r="110">
      <c r="B110" s="6" t="inlineStr">
        <is>
          <t>Комиссия эквайринга</t>
        </is>
      </c>
      <c r="C110" s="7" t="n">
        <v>373487.16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>Услуги банка, проведённые через счёт 60</t>
        </is>
      </c>
      <c r="C111" s="7" t="n">
        <v>1218.56</v>
      </c>
      <c r="D111" s="8" t="n"/>
      <c r="E111" s="8" t="n"/>
      <c r="F111" s="8" t="n"/>
      <c r="G111" s="8" t="n"/>
      <c r="H111" s="8" t="n"/>
      <c r="I111" s="10" t="inlineStr">
        <is>
          <t>Альфа-Банк 668,56 и ВТБ 550,00 — ошибка проводки, место им на счёте 91; на итог не влияет, деньги посчитаны один раз</t>
        </is>
      </c>
    </row>
    <row r="112">
      <c r="B112" s="6" t="inlineStr">
        <is>
          <t>Онлайн-оплаты через сайт (интернет-эквайринг)</t>
        </is>
      </c>
      <c r="C112" s="7" t="n">
        <v>3284000</v>
      </c>
      <c r="D112" s="8" t="n"/>
      <c r="E112" s="8" t="n"/>
      <c r="F112" s="8" t="n"/>
      <c r="G112" s="8" t="n"/>
      <c r="H112" s="8" t="n"/>
      <c r="I112" s="10" t="inlineStr">
        <is>
          <t>счёт 62.01; отдельной строкой не добавляется — уже внутри безналичных поступлений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Прочие управленческие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Прочие управленческие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Прочие управленческие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Прочие управленческие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 (через счёт 60)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 (через счёт 60)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2026-09-09T12:19:04Z</dcterms:created>
  <dcterms:modified xsi:type="dcterms:W3CDTF">2026-09-09T12:19:04Z</dcterms:modified>
</cp:coreProperties>
</file>