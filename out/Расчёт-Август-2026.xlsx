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" sheetId="1" state="visible" r:id="rId1"/>
    <sheet name="Расходы по контрагентам" sheetId="2" state="visible" r:id="rId2"/>
    <sheet name="Выручка по дн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—"/>
  </numFmts>
  <fonts count="13">
    <font>
      <name val="Calibri"/>
      <family val="2"/>
      <color theme="1"/>
      <sz val="11"/>
      <scheme val="minor"/>
    </font>
    <font>
      <b val="1"/>
      <sz val="16"/>
    </font>
    <font>
      <i val="1"/>
      <color rgb="00807A70"/>
      <sz val="10"/>
    </font>
    <font>
      <b val="1"/>
      <color rgb="00FFFFFF"/>
      <sz val="11"/>
    </font>
    <font>
      <color rgb="00FFFFFF"/>
      <sz val="11"/>
    </font>
    <font>
      <b val="1"/>
      <color rgb="00000000"/>
      <sz val="10"/>
    </font>
    <font>
      <color rgb="00000000"/>
      <sz val="11"/>
    </font>
    <font>
      <b val="1"/>
      <color rgb="00000000"/>
      <sz val="11"/>
    </font>
    <font>
      <color rgb="00807A70"/>
      <sz val="9"/>
    </font>
    <font>
      <b val="1"/>
      <color rgb="002E5E4E"/>
      <sz val="11"/>
    </font>
    <font>
      <color rgb="00A3423B"/>
      <sz val="11"/>
    </font>
    <font>
      <color rgb="008A7350"/>
      <sz val="11"/>
    </font>
    <font>
      <color rgb="00807A70"/>
      <sz val="11"/>
    </font>
  </fonts>
  <fills count="5">
    <fill>
      <patternFill/>
    </fill>
    <fill>
      <patternFill patternType="gray125"/>
    </fill>
    <fill>
      <patternFill patternType="solid">
        <fgColor rgb="001C1B18"/>
      </patternFill>
    </fill>
    <fill>
      <patternFill patternType="solid">
        <fgColor rgb="00F1EFEA"/>
      </patternFill>
    </fill>
    <fill>
      <patternFill patternType="solid">
        <fgColor rgb="00EDF1EE"/>
      </patternFill>
    </fill>
  </fills>
  <borders count="2">
    <border>
      <left/>
      <right/>
      <top/>
      <bottom/>
      <diagonal/>
    </border>
    <border>
      <left style="thin">
        <color rgb="00D9D4C9"/>
      </left>
      <right style="thin">
        <color rgb="00D9D4C9"/>
      </right>
      <top style="thin">
        <color rgb="00D9D4C9"/>
      </top>
      <bottom style="thin">
        <color rgb="00D9D4C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7" fillId="3" borderId="1" pivotButton="0" quotePrefix="0" xfId="0"/>
    <xf numFmtId="164" fontId="7" fillId="3" borderId="1" applyAlignment="1" pivotButton="0" quotePrefix="0" xfId="0">
      <alignment horizontal="right"/>
    </xf>
    <xf numFmtId="0" fontId="0" fillId="3" borderId="1" pivotButton="0" quotePrefix="0" xfId="0"/>
    <xf numFmtId="0" fontId="9" fillId="4" borderId="1" pivotButton="0" quotePrefix="0" xfId="0"/>
    <xf numFmtId="164" fontId="9" fillId="4" borderId="1" applyAlignment="1" pivotButton="0" quotePrefix="0" xfId="0">
      <alignment horizontal="right"/>
    </xf>
    <xf numFmtId="0" fontId="0" fillId="4" borderId="1" pivotButton="0" quotePrefix="0" xfId="0"/>
    <xf numFmtId="0" fontId="8" fillId="4" borderId="1" applyAlignment="1" pivotButton="0" quotePrefix="0" xfId="0">
      <alignment vertical="top" wrapText="1"/>
    </xf>
    <xf numFmtId="0" fontId="10" fillId="0" borderId="1" pivotButton="0" quotePrefix="0" xfId="0"/>
    <xf numFmtId="164" fontId="10" fillId="0" borderId="1" applyAlignment="1" pivotButton="0" quotePrefix="0" xfId="0">
      <alignment horizontal="right"/>
    </xf>
    <xf numFmtId="0" fontId="8" fillId="3" borderId="1" applyAlignment="1" pivotButton="0" quotePrefix="0" xfId="0">
      <alignment vertical="top" wrapText="1"/>
    </xf>
    <xf numFmtId="0" fontId="11" fillId="0" borderId="1" pivotButton="0" quotePrefix="0" xfId="0"/>
    <xf numFmtId="164" fontId="11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12" fillId="0" borderId="1" pivotButton="0" quotePrefix="0" xfId="0"/>
    <xf numFmtId="164" fontId="0" fillId="0" borderId="1" applyAlignment="1" pivotButton="0" quotePrefix="0" xfId="0">
      <alignment horizontal="right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7" customWidth="1" min="4" max="4"/>
    <col width="17" customWidth="1" min="5" max="5"/>
    <col width="17" customWidth="1" min="6" max="6"/>
    <col width="15" customWidth="1" min="7" max="7"/>
    <col width="15" customWidth="1" min="8" max="8"/>
    <col width="44" customWidth="1" min="9" max="9"/>
  </cols>
  <sheetData>
    <row r="1">
      <c r="B1" s="1" t="inlineStr">
        <is>
          <t>ООО «ОМЕГА» · расчёт за август 2026</t>
        </is>
      </c>
    </row>
    <row r="2">
      <c r="B2" s="2" t="inlineStr">
        <is>
          <t>Выручка — из управленки, расходы и движение денег — из 1С. Итоговые строки посчитаны формулами, их видно в ячейках.</t>
        </is>
      </c>
    </row>
    <row r="5" ht="22" customHeight="1">
      <c r="B5" s="3" t="inlineStr">
        <is>
          <t>1. ДВИЖЕНИЕ ПО РАСЧЁТНОМУ СЧЁТУ (счёт 51)</t>
        </is>
      </c>
      <c r="C5" s="4" t="n"/>
      <c r="D5" s="4" t="n"/>
      <c r="E5" s="4" t="n"/>
      <c r="F5" s="4" t="n"/>
      <c r="G5" s="4" t="n"/>
      <c r="H5" s="4" t="n"/>
      <c r="I5" s="4" t="inlineStr"/>
    </row>
    <row r="6" ht="26" customHeight="1">
      <c r="B6" s="5" t="inlineStr">
        <is>
          <t>Статья</t>
        </is>
      </c>
      <c r="C6" s="5" t="inlineStr">
        <is>
          <t>Сумма</t>
        </is>
      </c>
      <c r="I6" s="5" t="inlineStr">
        <is>
          <t>Кор. счёт</t>
        </is>
      </c>
    </row>
    <row r="7">
      <c r="B7" s="6" t="inlineStr">
        <is>
          <t>Остаток на начало месяца</t>
        </is>
      </c>
      <c r="C7" s="7" t="n">
        <v>2691202.95</v>
      </c>
      <c r="D7" s="8" t="n"/>
      <c r="E7" s="8" t="n"/>
      <c r="F7" s="8" t="n"/>
      <c r="G7" s="8" t="n"/>
      <c r="H7" s="8" t="n"/>
      <c r="I7" s="8" t="n"/>
    </row>
    <row r="9">
      <c r="B9" s="9" t="inlineStr">
        <is>
          <t>ПОСТУПЛЕНИЯ</t>
        </is>
      </c>
      <c r="C9" s="8" t="n"/>
      <c r="D9" s="8" t="n"/>
      <c r="E9" s="8" t="n"/>
      <c r="F9" s="8" t="n"/>
      <c r="G9" s="8" t="n"/>
      <c r="H9" s="8" t="n"/>
      <c r="I9" s="8" t="n"/>
    </row>
    <row r="10">
      <c r="B10" s="6" t="inlineStr">
        <is>
          <t xml:space="preserve">    Возврат средств с депозитов</t>
        </is>
      </c>
      <c r="C10" s="7" t="n">
        <v>509749660</v>
      </c>
      <c r="D10" s="8" t="n"/>
      <c r="E10" s="8" t="n"/>
      <c r="F10" s="8" t="n"/>
      <c r="G10" s="8" t="n"/>
      <c r="H10" s="8" t="n"/>
      <c r="I10" s="10" t="inlineStr">
        <is>
          <t>кор. счёт 55</t>
        </is>
      </c>
    </row>
    <row r="11">
      <c r="B11" s="6" t="inlineStr">
        <is>
          <t xml:space="preserve">    Инкассация и эквайринг</t>
        </is>
      </c>
      <c r="C11" s="7" t="n">
        <v>153496343.14</v>
      </c>
      <c r="D11" s="8" t="n"/>
      <c r="E11" s="8" t="n"/>
      <c r="F11" s="8" t="n"/>
      <c r="G11" s="8" t="n"/>
      <c r="H11" s="8" t="n"/>
      <c r="I11" s="10" t="inlineStr">
        <is>
          <t>кор. счёт 57</t>
        </is>
      </c>
    </row>
    <row r="12">
      <c r="B12" s="6" t="inlineStr">
        <is>
          <t xml:space="preserve">    Возвраты от поставщиков</t>
        </is>
      </c>
      <c r="C12" s="7" t="n">
        <v>288602.37</v>
      </c>
      <c r="D12" s="8" t="n"/>
      <c r="E12" s="8" t="n"/>
      <c r="F12" s="8" t="n"/>
      <c r="G12" s="8" t="n"/>
      <c r="H12" s="8" t="n"/>
      <c r="I12" s="10" t="inlineStr">
        <is>
          <t>кор. счёт 60</t>
        </is>
      </c>
    </row>
    <row r="13">
      <c r="B13" s="6" t="inlineStr">
        <is>
          <t xml:space="preserve">    Кредит банка</t>
        </is>
      </c>
      <c r="C13" s="7" t="n">
        <v>11000000</v>
      </c>
      <c r="D13" s="8" t="n"/>
      <c r="E13" s="8" t="n"/>
      <c r="F13" s="8" t="n"/>
      <c r="G13" s="8" t="n"/>
      <c r="H13" s="8" t="n"/>
      <c r="I13" s="10" t="inlineStr">
        <is>
          <t>кор. счёт 67</t>
        </is>
      </c>
    </row>
    <row r="14">
      <c r="B14" s="6" t="inlineStr">
        <is>
          <t xml:space="preserve">    Прочее</t>
        </is>
      </c>
      <c r="C14" s="7" t="n">
        <v>1636.9</v>
      </c>
      <c r="D14" s="8" t="n"/>
      <c r="E14" s="8" t="n"/>
      <c r="F14" s="8" t="n"/>
      <c r="G14" s="8" t="n"/>
      <c r="H14" s="8" t="n"/>
      <c r="I14" s="10" t="inlineStr">
        <is>
          <t>кор. счёт 76</t>
        </is>
      </c>
    </row>
    <row r="15">
      <c r="B15" s="6" t="inlineStr">
        <is>
          <t xml:space="preserve">    Проценты по депозитам</t>
        </is>
      </c>
      <c r="C15" s="7" t="n">
        <v>396337.24</v>
      </c>
      <c r="D15" s="8" t="n"/>
      <c r="E15" s="8" t="n"/>
      <c r="F15" s="8" t="n"/>
      <c r="G15" s="8" t="n"/>
      <c r="H15" s="8" t="n"/>
      <c r="I15" s="10" t="inlineStr">
        <is>
          <t>кор. счёт 91</t>
        </is>
      </c>
    </row>
    <row r="16">
      <c r="B16" s="11" t="inlineStr">
        <is>
          <t>Итого поступления</t>
        </is>
      </c>
      <c r="C16" s="12">
        <f>SUM(C10:C15)</f>
        <v/>
      </c>
      <c r="D16" s="13" t="n"/>
      <c r="E16" s="13" t="n"/>
      <c r="F16" s="13" t="n"/>
      <c r="G16" s="13" t="n"/>
      <c r="H16" s="13" t="n"/>
      <c r="I16" s="13" t="n"/>
    </row>
    <row r="18">
      <c r="B18" s="9" t="inlineStr">
        <is>
          <t>СПИСАНИЯ</t>
        </is>
      </c>
      <c r="C18" s="8" t="n"/>
      <c r="D18" s="8" t="n"/>
      <c r="E18" s="8" t="n"/>
      <c r="F18" s="8" t="n"/>
      <c r="G18" s="8" t="n"/>
      <c r="H18" s="8" t="n"/>
      <c r="I18" s="8" t="n"/>
    </row>
    <row r="19">
      <c r="B19" s="6" t="inlineStr">
        <is>
          <t xml:space="preserve">    Размещение на депозиты</t>
        </is>
      </c>
      <c r="C19" s="7" t="n">
        <v>490410660</v>
      </c>
      <c r="D19" s="8" t="n"/>
      <c r="E19" s="8" t="n"/>
      <c r="F19" s="8" t="n"/>
      <c r="G19" s="8" t="n"/>
      <c r="H19" s="8" t="n"/>
      <c r="I19" s="10" t="inlineStr">
        <is>
          <t>кор. счёт 55</t>
        </is>
      </c>
    </row>
    <row r="20">
      <c r="B20" s="6" t="inlineStr">
        <is>
          <t xml:space="preserve">    Переводы между счетами</t>
        </is>
      </c>
      <c r="C20" s="7" t="n">
        <v>56143119</v>
      </c>
      <c r="D20" s="8" t="n"/>
      <c r="E20" s="8" t="n"/>
      <c r="F20" s="8" t="n"/>
      <c r="G20" s="8" t="n"/>
      <c r="H20" s="8" t="n"/>
      <c r="I20" s="10" t="inlineStr">
        <is>
          <t>кор. счёт 57</t>
        </is>
      </c>
    </row>
    <row r="21">
      <c r="B21" s="6" t="inlineStr">
        <is>
          <t xml:space="preserve">    Оплаты поставщикам и подрядчикам</t>
        </is>
      </c>
      <c r="C21" s="7" t="n">
        <v>80794048.05</v>
      </c>
      <c r="D21" s="8" t="n"/>
      <c r="E21" s="8" t="n"/>
      <c r="F21" s="8" t="n"/>
      <c r="G21" s="8" t="n"/>
      <c r="H21" s="8" t="n"/>
      <c r="I21" s="10" t="inlineStr">
        <is>
          <t>кор. счёт 60</t>
        </is>
      </c>
    </row>
    <row r="22">
      <c r="B22" s="6" t="inlineStr">
        <is>
          <t xml:space="preserve">    Возвраты пациентам</t>
        </is>
      </c>
      <c r="C22" s="7" t="n">
        <v>465000</v>
      </c>
      <c r="D22" s="8" t="n"/>
      <c r="E22" s="8" t="n"/>
      <c r="F22" s="8" t="n"/>
      <c r="G22" s="8" t="n"/>
      <c r="H22" s="8" t="n"/>
      <c r="I22" s="10" t="inlineStr">
        <is>
          <t>кор. счёт 62</t>
        </is>
      </c>
    </row>
    <row r="23">
      <c r="B23" s="6" t="inlineStr">
        <is>
          <t xml:space="preserve">    Погашение кредита</t>
        </is>
      </c>
      <c r="C23" s="7" t="n">
        <v>204388.93</v>
      </c>
      <c r="D23" s="8" t="n"/>
      <c r="E23" s="8" t="n"/>
      <c r="F23" s="8" t="n"/>
      <c r="G23" s="8" t="n"/>
      <c r="H23" s="8" t="n"/>
      <c r="I23" s="10" t="inlineStr">
        <is>
          <t>кор. счёт 67</t>
        </is>
      </c>
    </row>
    <row r="24">
      <c r="B24" s="6" t="inlineStr">
        <is>
          <t xml:space="preserve">    Налоги</t>
        </is>
      </c>
      <c r="C24" s="7" t="n">
        <v>7871244.91</v>
      </c>
      <c r="D24" s="8" t="n"/>
      <c r="E24" s="8" t="n"/>
      <c r="F24" s="8" t="n"/>
      <c r="G24" s="8" t="n"/>
      <c r="H24" s="8" t="n"/>
      <c r="I24" s="10" t="inlineStr">
        <is>
          <t>кор. счёт 68</t>
        </is>
      </c>
    </row>
    <row r="25">
      <c r="B25" s="6" t="inlineStr">
        <is>
          <t xml:space="preserve">    Страховые взносы</t>
        </is>
      </c>
      <c r="C25" s="7" t="n">
        <v>29253.37</v>
      </c>
      <c r="D25" s="8" t="n"/>
      <c r="E25" s="8" t="n"/>
      <c r="F25" s="8" t="n"/>
      <c r="G25" s="8" t="n"/>
      <c r="H25" s="8" t="n"/>
      <c r="I25" s="10" t="inlineStr">
        <is>
          <t>кор. счёт 69</t>
        </is>
      </c>
    </row>
    <row r="26">
      <c r="B26" s="6" t="inlineStr">
        <is>
          <t xml:space="preserve">    Зарплата</t>
        </is>
      </c>
      <c r="C26" s="7" t="n">
        <v>12490831.85</v>
      </c>
      <c r="D26" s="8" t="n"/>
      <c r="E26" s="8" t="n"/>
      <c r="F26" s="8" t="n"/>
      <c r="G26" s="8" t="n"/>
      <c r="H26" s="8" t="n"/>
      <c r="I26" s="10" t="inlineStr">
        <is>
          <t>кор. счёт 70</t>
        </is>
      </c>
    </row>
    <row r="27">
      <c r="B27" s="6" t="inlineStr">
        <is>
          <t xml:space="preserve">    Выплата дивидендов</t>
        </is>
      </c>
      <c r="C27" s="7" t="n">
        <v>10000000</v>
      </c>
      <c r="D27" s="8" t="n"/>
      <c r="E27" s="8" t="n"/>
      <c r="F27" s="8" t="n"/>
      <c r="G27" s="8" t="n"/>
      <c r="H27" s="8" t="n"/>
      <c r="I27" s="10" t="inlineStr">
        <is>
          <t>кор. счёт 75</t>
        </is>
      </c>
    </row>
    <row r="28">
      <c r="B28" s="6" t="inlineStr">
        <is>
          <t xml:space="preserve">    Алименты</t>
        </is>
      </c>
      <c r="C28" s="7" t="n">
        <v>38726.66</v>
      </c>
      <c r="D28" s="8" t="n"/>
      <c r="E28" s="8" t="n"/>
      <c r="F28" s="8" t="n"/>
      <c r="G28" s="8" t="n"/>
      <c r="H28" s="8" t="n"/>
      <c r="I28" s="10" t="inlineStr">
        <is>
          <t>кор. счёт 76</t>
        </is>
      </c>
    </row>
    <row r="29">
      <c r="B29" s="6" t="inlineStr">
        <is>
          <t xml:space="preserve">    Услуги банка</t>
        </is>
      </c>
      <c r="C29" s="7" t="n">
        <v>141191.07</v>
      </c>
      <c r="D29" s="8" t="n"/>
      <c r="E29" s="8" t="n"/>
      <c r="F29" s="8" t="n"/>
      <c r="G29" s="8" t="n"/>
      <c r="H29" s="8" t="n"/>
      <c r="I29" s="10" t="inlineStr">
        <is>
          <t>кор. счёт 91</t>
        </is>
      </c>
    </row>
    <row r="30">
      <c r="B30" s="11" t="inlineStr">
        <is>
          <t>Итого списания</t>
        </is>
      </c>
      <c r="C30" s="12">
        <f>SUM(C19:C29)</f>
        <v/>
      </c>
      <c r="D30" s="13" t="n"/>
      <c r="E30" s="13" t="n"/>
      <c r="F30" s="13" t="n"/>
      <c r="G30" s="13" t="n"/>
      <c r="H30" s="13" t="n"/>
      <c r="I30" s="13" t="n"/>
    </row>
    <row r="31">
      <c r="B31" s="14" t="inlineStr">
        <is>
          <t>Остаток на конец месяца</t>
        </is>
      </c>
      <c r="C31" s="15">
        <f>C7+C16-C30</f>
        <v/>
      </c>
      <c r="D31" s="16" t="n"/>
      <c r="E31" s="16" t="n"/>
      <c r="F31" s="16" t="n"/>
      <c r="G31" s="16" t="n"/>
      <c r="H31" s="16" t="n"/>
      <c r="I31" s="17" t="inlineStr">
        <is>
          <t>начальный остаток + поступления − списания</t>
        </is>
      </c>
    </row>
    <row r="33" ht="22" customHeight="1">
      <c r="B33" s="3" t="inlineStr">
        <is>
          <t>2. ВЫРУЧКА</t>
        </is>
      </c>
      <c r="C33" s="4" t="n"/>
      <c r="D33" s="4" t="n"/>
      <c r="E33" s="4" t="n"/>
      <c r="F33" s="4" t="n"/>
      <c r="G33" s="4" t="n"/>
      <c r="H33" s="4" t="n"/>
      <c r="I33" s="4" t="inlineStr">
        <is>
          <t>деньги, поступившие от пациентов за месяц</t>
        </is>
      </c>
    </row>
    <row r="34" ht="26" customHeight="1">
      <c r="B34" s="5" t="inlineStr">
        <is>
          <t>Показатель</t>
        </is>
      </c>
      <c r="C34" s="5" t="inlineStr">
        <is>
          <t>Всего</t>
        </is>
      </c>
      <c r="D34" s="5" t="inlineStr">
        <is>
          <t>Маланичев</t>
        </is>
      </c>
      <c r="E34" s="5" t="inlineStr">
        <is>
          <t>Погосян</t>
        </is>
      </c>
      <c r="F34" s="5" t="inlineStr">
        <is>
          <t>Другие хирурги</t>
        </is>
      </c>
      <c r="G34" s="5" t="inlineStr">
        <is>
          <t>Прочие доходы</t>
        </is>
      </c>
      <c r="H34" s="5" t="inlineStr">
        <is>
          <t>Косметология</t>
        </is>
      </c>
      <c r="I34" s="5" t="inlineStr">
        <is>
          <t>Комментарий</t>
        </is>
      </c>
    </row>
    <row r="35">
      <c r="B35" s="14" t="inlineStr">
        <is>
          <t>ИТОГО ВЫРУЧКА ЗА МЕСЯЦ</t>
        </is>
      </c>
      <c r="C35" s="15">
        <f>SUM(D35:H35)</f>
        <v/>
      </c>
      <c r="D35" s="15" t="n">
        <v>4180781.46</v>
      </c>
      <c r="E35" s="15" t="n">
        <v>13054662.21</v>
      </c>
      <c r="F35" s="15" t="n">
        <v>76495979.75</v>
      </c>
      <c r="G35" s="15" t="n">
        <v>261238.64</v>
      </c>
      <c r="H35" s="15" t="n">
        <v>2959191.93</v>
      </c>
      <c r="I35" s="17" t="inlineStr">
        <is>
          <t>по группам врачей</t>
        </is>
      </c>
    </row>
    <row r="37">
      <c r="B37" s="9" t="inlineStr">
        <is>
          <t>В том числе по каналам поступления</t>
        </is>
      </c>
      <c r="C37" s="8" t="n"/>
      <c r="D37" s="8" t="n"/>
      <c r="E37" s="8" t="n"/>
      <c r="F37" s="8" t="n"/>
      <c r="G37" s="8" t="n"/>
      <c r="H37" s="8" t="n"/>
      <c r="I37" s="8" t="n"/>
    </row>
    <row r="38">
      <c r="B38" s="6" t="inlineStr">
        <is>
          <t xml:space="preserve">    Наличными</t>
        </is>
      </c>
      <c r="C38" s="7" t="n">
        <v>34981900</v>
      </c>
      <c r="D38" s="8" t="n"/>
      <c r="E38" s="8" t="n"/>
      <c r="F38" s="8" t="n"/>
      <c r="G38" s="8" t="n"/>
      <c r="H38" s="8" t="n"/>
      <c r="I38" s="10" t="inlineStr">
        <is>
          <t>01–10.08: 10 688 500; 11–31.08: 24 293 400</t>
        </is>
      </c>
    </row>
    <row r="39">
      <c r="B39" s="6" t="inlineStr">
        <is>
          <t xml:space="preserve">    Безналичными (эквайринг)</t>
        </is>
      </c>
      <c r="C39" s="7" t="n">
        <v>61654454</v>
      </c>
      <c r="D39" s="8" t="n"/>
      <c r="E39" s="8" t="n"/>
      <c r="F39" s="8" t="n"/>
      <c r="G39" s="8" t="n"/>
      <c r="H39" s="8" t="n"/>
      <c r="I39" s="10" t="inlineStr">
        <is>
          <t>01–10.08: 19 889 514; 11–31.08: 41 764 940</t>
        </is>
      </c>
    </row>
    <row r="40">
      <c r="B40" s="6" t="inlineStr">
        <is>
          <t xml:space="preserve">    Оплаты физлиц на расчётный счёт</t>
        </is>
      </c>
      <c r="C40" s="7" t="n">
        <v>1035500</v>
      </c>
      <c r="D40" s="8" t="n"/>
      <c r="E40" s="8" t="n"/>
      <c r="F40" s="8" t="n"/>
      <c r="G40" s="8" t="n"/>
      <c r="H40" s="8" t="n"/>
      <c r="I40" s="8" t="n"/>
    </row>
    <row r="41">
      <c r="B41" s="18" t="inlineStr">
        <is>
          <t xml:space="preserve">    Возвраты пациентам</t>
        </is>
      </c>
      <c r="C41" s="19" t="n">
        <v>-720000</v>
      </c>
      <c r="D41" s="8" t="n"/>
      <c r="E41" s="8" t="n"/>
      <c r="F41" s="8" t="n"/>
      <c r="G41" s="8" t="n"/>
      <c r="H41" s="8" t="n"/>
      <c r="I41" s="8" t="n"/>
    </row>
    <row r="42">
      <c r="B42" s="11" t="inlineStr">
        <is>
          <t>Итого по каналам</t>
        </is>
      </c>
      <c r="C42" s="12">
        <f>SUM(C38:C41)</f>
        <v/>
      </c>
      <c r="D42" s="13" t="n"/>
      <c r="E42" s="13" t="n"/>
      <c r="F42" s="13" t="n"/>
      <c r="G42" s="13" t="n"/>
      <c r="H42" s="13" t="n"/>
      <c r="I42" s="20" t="inlineStr">
        <is>
          <t>должно совпасть с итогом выручки выше</t>
        </is>
      </c>
    </row>
    <row r="44">
      <c r="B44" s="21" t="inlineStr">
        <is>
          <t>Справочно: оказано услуг за месяц</t>
        </is>
      </c>
      <c r="C44" s="22" t="n">
        <v>94366672</v>
      </c>
      <c r="D44" s="8" t="n"/>
      <c r="E44" s="8" t="n"/>
      <c r="F44" s="8" t="n"/>
      <c r="G44" s="8" t="n"/>
      <c r="H44" s="8" t="n"/>
      <c r="I44" s="10" t="inlineStr">
        <is>
          <t>01–10.08: 29 476 382; 11–31.08: 64 890 290</t>
        </is>
      </c>
    </row>
    <row r="45">
      <c r="B45" s="21" t="inlineStr">
        <is>
          <t>Справочно: авансы под будущие операции</t>
        </is>
      </c>
      <c r="C45" s="22" t="n">
        <v>2585181.99</v>
      </c>
      <c r="D45" s="8" t="n"/>
      <c r="E45" s="8" t="n"/>
      <c r="F45" s="8" t="n"/>
      <c r="G45" s="8" t="n"/>
      <c r="H45" s="8" t="n"/>
      <c r="I45" s="10" t="inlineStr">
        <is>
          <t>выручка минус оказанные услуги: деньги получены, операция ещё впереди — 2,7% выручки месяца</t>
        </is>
      </c>
    </row>
    <row r="47" ht="22" customHeight="1">
      <c r="B47" s="3" t="inlineStr">
        <is>
          <t>3. РАСХОДЫ (оплаченные)</t>
        </is>
      </c>
      <c r="C47" s="4" t="n"/>
      <c r="D47" s="4" t="n"/>
      <c r="E47" s="4" t="n"/>
      <c r="F47" s="4" t="n"/>
      <c r="G47" s="4" t="n"/>
      <c r="H47" s="4" t="n"/>
      <c r="I47" s="4" t="inlineStr">
        <is>
          <t>делятся между учредителями 50/50</t>
        </is>
      </c>
    </row>
    <row r="48" ht="26" customHeight="1">
      <c r="B48" s="5" t="inlineStr">
        <is>
          <t>Статья</t>
        </is>
      </c>
      <c r="C48" s="5" t="inlineStr">
        <is>
          <t>Всего</t>
        </is>
      </c>
      <c r="D48" s="5" t="inlineStr">
        <is>
          <t>Маланичев</t>
        </is>
      </c>
      <c r="E48" s="5" t="inlineStr">
        <is>
          <t>Погосян</t>
        </is>
      </c>
      <c r="I48" s="5" t="inlineStr">
        <is>
          <t>Комментарий</t>
        </is>
      </c>
    </row>
    <row r="49">
      <c r="B49" s="6" t="inlineStr">
        <is>
          <t>Налоги с ФОТ (счета 68.90 и 69)</t>
        </is>
      </c>
      <c r="C49" s="7" t="n">
        <v>6135792.28</v>
      </c>
      <c r="D49" s="7">
        <f>C49/2</f>
        <v/>
      </c>
      <c r="E49" s="7">
        <f>C49/2</f>
        <v/>
      </c>
      <c r="F49" s="8" t="n"/>
      <c r="G49" s="8" t="n"/>
      <c r="H49" s="8" t="n"/>
      <c r="I49" s="8" t="n"/>
    </row>
    <row r="50">
      <c r="B50" s="6" t="inlineStr">
        <is>
          <t>Зарплата по банку</t>
        </is>
      </c>
      <c r="C50" s="7" t="n">
        <v>12490831.85</v>
      </c>
      <c r="D50" s="7">
        <f>C50/2</f>
        <v/>
      </c>
      <c r="E50" s="7">
        <f>C50/2</f>
        <v/>
      </c>
      <c r="F50" s="8" t="n"/>
      <c r="G50" s="8" t="n"/>
      <c r="H50" s="8" t="n"/>
      <c r="I50" s="8" t="n"/>
    </row>
    <row r="51">
      <c r="B51" s="6" t="inlineStr">
        <is>
          <t>Услуги банка (общие)</t>
        </is>
      </c>
      <c r="C51" s="7" t="n">
        <v>141191.07</v>
      </c>
      <c r="D51" s="7">
        <f>C51/2</f>
        <v/>
      </c>
      <c r="E51" s="7">
        <f>C51/2</f>
        <v/>
      </c>
      <c r="F51" s="8" t="n"/>
      <c r="G51" s="8" t="n"/>
      <c r="H51" s="8" t="n"/>
      <c r="I51" s="8" t="n"/>
    </row>
    <row r="52">
      <c r="B52" s="6" t="inlineStr">
        <is>
          <t>Услуги банка (эквайринг)</t>
        </is>
      </c>
      <c r="C52" s="7" t="n">
        <v>373487.16</v>
      </c>
      <c r="D52" s="7">
        <f>C52/2</f>
        <v/>
      </c>
      <c r="E52" s="7">
        <f>C52/2</f>
        <v/>
      </c>
      <c r="F52" s="8" t="n"/>
      <c r="G52" s="8" t="n"/>
      <c r="H52" s="8" t="n"/>
      <c r="I52" s="8" t="n"/>
    </row>
    <row r="53">
      <c r="B53" s="6" t="inlineStr">
        <is>
          <t>Алименты (удержание из зарплаты)</t>
        </is>
      </c>
      <c r="C53" s="7" t="n">
        <v>38726.66</v>
      </c>
      <c r="D53" s="7">
        <f>C53/2</f>
        <v/>
      </c>
      <c r="E53" s="7">
        <f>C53/2</f>
        <v/>
      </c>
      <c r="F53" s="8" t="n"/>
      <c r="G53" s="8" t="n"/>
      <c r="H53" s="8" t="n"/>
      <c r="I53" s="8" t="n"/>
    </row>
    <row r="54">
      <c r="B54" s="9" t="inlineStr">
        <is>
          <t>Поставщики и подрядчики (счёт 60)</t>
        </is>
      </c>
      <c r="C54" s="23" t="n">
        <v>69794048.05</v>
      </c>
      <c r="D54" s="23">
        <f>C54/2</f>
        <v/>
      </c>
      <c r="E54" s="23">
        <f>C54/2</f>
        <v/>
      </c>
      <c r="F54" s="8" t="n"/>
      <c r="G54" s="8" t="n"/>
      <c r="H54" s="8" t="n"/>
      <c r="I54" s="10" t="inlineStr">
        <is>
          <t>без оплаченного за счёт кредитной линии</t>
        </is>
      </c>
    </row>
    <row r="55">
      <c r="B55" s="24" t="inlineStr">
        <is>
          <t xml:space="preserve">        в том числе медицинские и гонорары:</t>
        </is>
      </c>
      <c r="C55" s="8" t="n"/>
      <c r="D55" s="8" t="n"/>
      <c r="E55" s="8" t="n"/>
      <c r="F55" s="8" t="n"/>
      <c r="G55" s="8" t="n"/>
      <c r="H55" s="8" t="n"/>
      <c r="I55" s="8" t="n"/>
    </row>
    <row r="56">
      <c r="B56" s="6" t="inlineStr">
        <is>
          <t xml:space="preserve">            Гонорары ИП хирургов</t>
        </is>
      </c>
      <c r="C56" s="7" t="n">
        <v>39819623</v>
      </c>
      <c r="D56" s="8" t="n"/>
      <c r="E56" s="8" t="n"/>
      <c r="F56" s="8" t="n"/>
      <c r="G56" s="8" t="n"/>
      <c r="H56" s="8" t="n"/>
      <c r="I56" s="8" t="n"/>
    </row>
    <row r="57">
      <c r="B57" s="6" t="inlineStr">
        <is>
          <t xml:space="preserve">            Импланты</t>
        </is>
      </c>
      <c r="C57" s="7" t="n">
        <v>4527900</v>
      </c>
      <c r="D57" s="8" t="n"/>
      <c r="E57" s="8" t="n"/>
      <c r="F57" s="8" t="n"/>
      <c r="G57" s="8" t="n"/>
      <c r="H57" s="8" t="n"/>
      <c r="I57" s="8" t="n"/>
    </row>
    <row r="58">
      <c r="B58" s="6" t="inlineStr">
        <is>
          <t xml:space="preserve">            Медицинские материалы</t>
        </is>
      </c>
      <c r="C58" s="7" t="n">
        <v>3298432.06</v>
      </c>
      <c r="D58" s="8" t="n"/>
      <c r="E58" s="8" t="n"/>
      <c r="F58" s="8" t="n"/>
      <c r="G58" s="8" t="n"/>
      <c r="H58" s="8" t="n"/>
      <c r="I58" s="8" t="n"/>
    </row>
    <row r="59">
      <c r="B59" s="6" t="inlineStr">
        <is>
          <t xml:space="preserve">            ИП Завиркин А.В.</t>
        </is>
      </c>
      <c r="C59" s="7" t="n">
        <v>2887658</v>
      </c>
      <c r="D59" s="8" t="n"/>
      <c r="E59" s="8" t="n"/>
      <c r="F59" s="8" t="n"/>
      <c r="G59" s="8" t="n"/>
      <c r="H59" s="8" t="n"/>
      <c r="I59" s="8" t="n"/>
    </row>
    <row r="60">
      <c r="B60" s="6" t="inlineStr">
        <is>
          <t xml:space="preserve">            Расходка</t>
        </is>
      </c>
      <c r="C60" s="7" t="n">
        <v>2250790.16</v>
      </c>
      <c r="D60" s="8" t="n"/>
      <c r="E60" s="8" t="n"/>
      <c r="F60" s="8" t="n"/>
      <c r="G60" s="8" t="n"/>
      <c r="H60" s="8" t="n"/>
      <c r="I60" s="8" t="n"/>
    </row>
    <row r="61">
      <c r="B61" s="6" t="inlineStr">
        <is>
          <t xml:space="preserve">            Лекарства</t>
        </is>
      </c>
      <c r="C61" s="7" t="n">
        <v>827352.65</v>
      </c>
      <c r="D61" s="8" t="n"/>
      <c r="E61" s="8" t="n"/>
      <c r="F61" s="8" t="n"/>
      <c r="G61" s="8" t="n"/>
      <c r="H61" s="8" t="n"/>
      <c r="I61" s="8" t="n"/>
    </row>
    <row r="62">
      <c r="B62" s="6" t="inlineStr">
        <is>
          <t xml:space="preserve">            ИП Чугуевская (ЗП Заведягин ОН)</t>
        </is>
      </c>
      <c r="C62" s="7" t="n">
        <v>570005</v>
      </c>
      <c r="D62" s="8" t="n"/>
      <c r="E62" s="8" t="n"/>
      <c r="F62" s="8" t="n"/>
      <c r="G62" s="8" t="n"/>
      <c r="H62" s="8" t="n"/>
      <c r="I62" s="8" t="n"/>
    </row>
    <row r="63">
      <c r="B63" s="6" t="inlineStr">
        <is>
          <t xml:space="preserve">            Медоборудование и расходники</t>
        </is>
      </c>
      <c r="C63" s="7" t="n">
        <v>515528</v>
      </c>
      <c r="D63" s="8" t="n"/>
      <c r="E63" s="8" t="n"/>
      <c r="F63" s="8" t="n"/>
      <c r="G63" s="8" t="n"/>
      <c r="H63" s="8" t="n"/>
      <c r="I63" s="8" t="n"/>
    </row>
    <row r="64">
      <c r="B64" s="6" t="inlineStr">
        <is>
          <t xml:space="preserve">            Питание</t>
        </is>
      </c>
      <c r="C64" s="7" t="n">
        <v>376950</v>
      </c>
      <c r="D64" s="8" t="n"/>
      <c r="E64" s="8" t="n"/>
      <c r="F64" s="8" t="n"/>
      <c r="G64" s="8" t="n"/>
      <c r="H64" s="8" t="n"/>
      <c r="I64" s="8" t="n"/>
    </row>
    <row r="65">
      <c r="B65" s="6" t="inlineStr">
        <is>
          <t xml:space="preserve">            Белье</t>
        </is>
      </c>
      <c r="C65" s="7" t="n">
        <v>345200</v>
      </c>
      <c r="D65" s="8" t="n"/>
      <c r="E65" s="8" t="n"/>
      <c r="F65" s="8" t="n"/>
      <c r="G65" s="8" t="n"/>
      <c r="H65" s="8" t="n"/>
      <c r="I65" s="8" t="n"/>
    </row>
    <row r="66">
      <c r="B66" s="6" t="inlineStr">
        <is>
          <t xml:space="preserve">            прочие статьи блока</t>
        </is>
      </c>
      <c r="C66" s="7" t="n">
        <v>582359.62</v>
      </c>
      <c r="D66" s="8" t="n"/>
      <c r="E66" s="8" t="n"/>
      <c r="F66" s="8" t="n"/>
      <c r="G66" s="8" t="n"/>
      <c r="H66" s="8" t="n"/>
      <c r="I66" s="8" t="n"/>
    </row>
    <row r="67">
      <c r="B67" s="24" t="inlineStr">
        <is>
          <t xml:space="preserve">        в том числе управленческие:</t>
        </is>
      </c>
      <c r="C67" s="8" t="n"/>
      <c r="D67" s="8" t="n"/>
      <c r="E67" s="8" t="n"/>
      <c r="F67" s="8" t="n"/>
      <c r="G67" s="8" t="n"/>
      <c r="H67" s="8" t="n"/>
      <c r="I67" s="8" t="n"/>
    </row>
    <row r="68">
      <c r="B68" s="6" t="inlineStr">
        <is>
          <t xml:space="preserve">            Урегулирование досудебного спора</t>
        </is>
      </c>
      <c r="C68" s="7" t="n">
        <v>4692500</v>
      </c>
      <c r="D68" s="8" t="n"/>
      <c r="E68" s="8" t="n"/>
      <c r="F68" s="8" t="n"/>
      <c r="G68" s="8" t="n"/>
      <c r="H68" s="8" t="n"/>
      <c r="I68" s="8" t="n"/>
    </row>
    <row r="69">
      <c r="B69" s="6" t="inlineStr">
        <is>
          <t xml:space="preserve">            Маркетинговые услуги</t>
        </is>
      </c>
      <c r="C69" s="7" t="n">
        <v>2505800</v>
      </c>
      <c r="D69" s="8" t="n"/>
      <c r="E69" s="8" t="n"/>
      <c r="F69" s="8" t="n"/>
      <c r="G69" s="8" t="n"/>
      <c r="H69" s="8" t="n"/>
      <c r="I69" s="8" t="n"/>
    </row>
    <row r="70">
      <c r="B70" s="6" t="inlineStr">
        <is>
          <t xml:space="preserve">            Аренда Самокатная 1 стр1</t>
        </is>
      </c>
      <c r="C70" s="7" t="n">
        <v>1155000</v>
      </c>
      <c r="D70" s="8" t="n"/>
      <c r="E70" s="8" t="n"/>
      <c r="F70" s="8" t="n"/>
      <c r="G70" s="8" t="n"/>
      <c r="H70" s="8" t="n"/>
      <c r="I70" s="8" t="n"/>
    </row>
    <row r="71">
      <c r="B71" s="6" t="inlineStr">
        <is>
          <t xml:space="preserve">            Прочие управленческие</t>
        </is>
      </c>
      <c r="C71" s="7" t="n">
        <v>878789.77</v>
      </c>
      <c r="D71" s="8" t="n"/>
      <c r="E71" s="8" t="n"/>
      <c r="F71" s="8" t="n"/>
      <c r="G71" s="8" t="n"/>
      <c r="H71" s="8" t="n"/>
      <c r="I71" s="8" t="n"/>
    </row>
    <row r="72">
      <c r="B72" s="6" t="inlineStr">
        <is>
          <t xml:space="preserve">            Ремонт</t>
        </is>
      </c>
      <c r="C72" s="7" t="n">
        <v>516000</v>
      </c>
      <c r="D72" s="8" t="n"/>
      <c r="E72" s="8" t="n"/>
      <c r="F72" s="8" t="n"/>
      <c r="G72" s="8" t="n"/>
      <c r="H72" s="8" t="n"/>
      <c r="I72" s="8" t="n"/>
    </row>
    <row r="73">
      <c r="B73" s="6" t="inlineStr">
        <is>
          <t xml:space="preserve">            Обслуживание 1СУправление</t>
        </is>
      </c>
      <c r="C73" s="7" t="n">
        <v>435435</v>
      </c>
      <c r="D73" s="8" t="n"/>
      <c r="E73" s="8" t="n"/>
      <c r="F73" s="8" t="n"/>
      <c r="G73" s="8" t="n"/>
      <c r="H73" s="8" t="n"/>
      <c r="I73" s="8" t="n"/>
    </row>
    <row r="74">
      <c r="B74" s="6" t="inlineStr">
        <is>
          <t xml:space="preserve">            Фото видео</t>
        </is>
      </c>
      <c r="C74" s="7" t="n">
        <v>337440</v>
      </c>
      <c r="D74" s="8" t="n"/>
      <c r="E74" s="8" t="n"/>
      <c r="F74" s="8" t="n"/>
      <c r="G74" s="8" t="n"/>
      <c r="H74" s="8" t="n"/>
      <c r="I74" s="8" t="n"/>
    </row>
    <row r="75">
      <c r="B75" s="6" t="inlineStr">
        <is>
          <t xml:space="preserve">            Услуги юриста</t>
        </is>
      </c>
      <c r="C75" s="7" t="n">
        <v>330000</v>
      </c>
      <c r="D75" s="8" t="n"/>
      <c r="E75" s="8" t="n"/>
      <c r="F75" s="8" t="n"/>
      <c r="G75" s="8" t="n"/>
      <c r="H75" s="8" t="n"/>
      <c r="I75" s="8" t="n"/>
    </row>
    <row r="76">
      <c r="B76" s="6" t="inlineStr">
        <is>
          <t xml:space="preserve">            Складской учет</t>
        </is>
      </c>
      <c r="C76" s="7" t="n">
        <v>320000</v>
      </c>
      <c r="D76" s="8" t="n"/>
      <c r="E76" s="8" t="n"/>
      <c r="F76" s="8" t="n"/>
      <c r="G76" s="8" t="n"/>
      <c r="H76" s="8" t="n"/>
      <c r="I76" s="8" t="n"/>
    </row>
    <row r="77">
      <c r="B77" s="6" t="inlineStr">
        <is>
          <t xml:space="preserve">            прочие статьи блока</t>
        </is>
      </c>
      <c r="C77" s="7" t="n">
        <v>2621284.79</v>
      </c>
      <c r="D77" s="8" t="n"/>
      <c r="E77" s="8" t="n"/>
      <c r="F77" s="8" t="n"/>
      <c r="G77" s="8" t="n"/>
      <c r="H77" s="8" t="n"/>
      <c r="I77" s="8" t="n"/>
    </row>
    <row r="78">
      <c r="B78" s="14" t="inlineStr">
        <is>
          <t>ИТОГО РАСХОДЫ</t>
        </is>
      </c>
      <c r="C78" s="15">
        <f>SUM(C49:C54)</f>
        <v/>
      </c>
      <c r="D78" s="15">
        <f>SUM(D49:D54)</f>
        <v/>
      </c>
      <c r="E78" s="15">
        <f>SUM(E49:E54)</f>
        <v/>
      </c>
      <c r="F78" s="16" t="n"/>
      <c r="G78" s="16" t="n"/>
      <c r="H78" s="16" t="n"/>
      <c r="I78" s="17" t="inlineStr">
        <is>
          <t>строки «в том числе» в сумму не входят</t>
        </is>
      </c>
    </row>
    <row r="79">
      <c r="B79" s="21" t="inlineStr">
        <is>
          <t>Справочно: ремонт за счёт кредитной линии</t>
        </is>
      </c>
      <c r="C79" s="22" t="n">
        <v>11000000</v>
      </c>
      <c r="D79" s="8" t="n"/>
      <c r="E79" s="8" t="n"/>
      <c r="F79" s="8" t="n"/>
      <c r="G79" s="8" t="n"/>
      <c r="H79" s="8" t="n"/>
      <c r="I79" s="10" t="inlineStr">
        <is>
          <t>в расходы учредителей не входит — стройка идёт на заёмные</t>
        </is>
      </c>
    </row>
    <row r="81" ht="22" customHeight="1">
      <c r="B81" s="3" t="inlineStr">
        <is>
          <t>4. РАСЧЁТ ДОХОДА УЧРЕДИТЕЛЕЙ</t>
        </is>
      </c>
      <c r="C81" s="4" t="n"/>
      <c r="D81" s="4" t="n"/>
      <c r="E81" s="4" t="n"/>
      <c r="F81" s="4" t="n"/>
      <c r="G81" s="4" t="n"/>
      <c r="H81" s="4" t="n"/>
      <c r="I81" s="4" t="inlineStr">
        <is>
          <t>методика 50/50</t>
        </is>
      </c>
    </row>
    <row r="82" ht="26" customHeight="1">
      <c r="B82" s="5" t="inlineStr">
        <is>
          <t>Шаг</t>
        </is>
      </c>
      <c r="C82" s="5" t="inlineStr">
        <is>
          <t>Всего</t>
        </is>
      </c>
      <c r="D82" s="5" t="inlineStr">
        <is>
          <t>Маланичев</t>
        </is>
      </c>
      <c r="E82" s="5" t="inlineStr">
        <is>
          <t>Погосян</t>
        </is>
      </c>
      <c r="I82" s="5" t="inlineStr">
        <is>
          <t>Как считается</t>
        </is>
      </c>
    </row>
    <row r="83">
      <c r="B83" s="6" t="inlineStr">
        <is>
          <t>1. Личная выручка (свои операции)</t>
        </is>
      </c>
      <c r="C83" s="7">
        <f>D83+E83</f>
        <v/>
      </c>
      <c r="D83" s="7">
        <f>D35</f>
        <v/>
      </c>
      <c r="E83" s="7">
        <f>E35</f>
        <v/>
      </c>
      <c r="F83" s="8" t="n"/>
      <c r="G83" s="8" t="n"/>
      <c r="H83" s="8" t="n"/>
      <c r="I83" s="10" t="inlineStr">
        <is>
          <t>своя строка из блока «Выручка»</t>
        </is>
      </c>
    </row>
    <row r="84">
      <c r="B84" s="6" t="inlineStr">
        <is>
          <t>2. Половина выручки других хирургов</t>
        </is>
      </c>
      <c r="C84" s="7">
        <f>F35</f>
        <v/>
      </c>
      <c r="D84" s="7">
        <f>F35/2</f>
        <v/>
      </c>
      <c r="E84" s="7">
        <f>F35/2</f>
        <v/>
      </c>
      <c r="F84" s="8" t="n"/>
      <c r="G84" s="8" t="n"/>
      <c r="H84" s="8" t="n"/>
      <c r="I84" s="8" t="n"/>
    </row>
    <row r="85">
      <c r="B85" s="6" t="inlineStr">
        <is>
          <t>3. Половина выручки косметологии</t>
        </is>
      </c>
      <c r="C85" s="7">
        <f>H35</f>
        <v/>
      </c>
      <c r="D85" s="7">
        <f>H35/2</f>
        <v/>
      </c>
      <c r="E85" s="7">
        <f>H35/2</f>
        <v/>
      </c>
      <c r="F85" s="8" t="n"/>
      <c r="G85" s="8" t="n"/>
      <c r="H85" s="8" t="n"/>
      <c r="I85" s="8" t="n"/>
    </row>
    <row r="86">
      <c r="B86" s="6" t="inlineStr">
        <is>
          <t>4. Половина прочих доходов</t>
        </is>
      </c>
      <c r="C86" s="7">
        <f>G35</f>
        <v/>
      </c>
      <c r="D86" s="7">
        <f>G35/2</f>
        <v/>
      </c>
      <c r="E86" s="7">
        <f>G35/2</f>
        <v/>
      </c>
      <c r="F86" s="8" t="n"/>
      <c r="G86" s="8" t="n"/>
      <c r="H86" s="8" t="n"/>
      <c r="I86" s="8" t="n"/>
    </row>
    <row r="87">
      <c r="B87" s="6" t="inlineStr">
        <is>
          <t>5. Половина процентов по депозитам</t>
        </is>
      </c>
      <c r="C87" s="7" t="n">
        <v>396337.24</v>
      </c>
      <c r="D87" s="7">
        <f>C87/2</f>
        <v/>
      </c>
      <c r="E87" s="7">
        <f>C87/2</f>
        <v/>
      </c>
      <c r="F87" s="8" t="n"/>
      <c r="G87" s="8" t="n"/>
      <c r="H87" s="8" t="n"/>
      <c r="I87" s="10" t="inlineStr">
        <is>
          <t>начислены банком на остатки</t>
        </is>
      </c>
    </row>
    <row r="88">
      <c r="B88" s="18" t="inlineStr">
        <is>
          <t>6. Минус доля расходов</t>
        </is>
      </c>
      <c r="C88" s="19">
        <f>-C78</f>
        <v/>
      </c>
      <c r="D88" s="19">
        <f>-D78</f>
        <v/>
      </c>
      <c r="E88" s="19">
        <f>-E78</f>
        <v/>
      </c>
      <c r="F88" s="8" t="n"/>
      <c r="G88" s="8" t="n"/>
      <c r="H88" s="8" t="n"/>
      <c r="I88" s="10" t="inlineStr">
        <is>
          <t>итог блока «Расходы», пополам</t>
        </is>
      </c>
    </row>
    <row r="89">
      <c r="B89" s="18" t="inlineStr">
        <is>
          <t>7. Личные анализы: каждый несёт свои</t>
        </is>
      </c>
      <c r="C89" s="19" t="n">
        <v>0</v>
      </c>
      <c r="D89" s="19" t="n">
        <v>-9186</v>
      </c>
      <c r="E89" s="19" t="n">
        <v>9186</v>
      </c>
      <c r="F89" s="8" t="n"/>
      <c r="G89" s="8" t="n"/>
      <c r="H89" s="8" t="n"/>
      <c r="I89" s="10" t="inlineStr">
        <is>
          <t>лист «Расходы врачей»: Маланичев 30 620, Погосян 12 248</t>
        </is>
      </c>
    </row>
    <row r="90">
      <c r="B90" s="14" t="inlineStr">
        <is>
          <t>ДОХОД ЗА МЕСЯЦ</t>
        </is>
      </c>
      <c r="C90" s="15">
        <f>SUM(C83:C89)</f>
        <v/>
      </c>
      <c r="D90" s="15">
        <f>SUM(D83:D89)</f>
        <v/>
      </c>
      <c r="E90" s="15">
        <f>SUM(E83:E89)</f>
        <v/>
      </c>
      <c r="F90" s="16" t="n"/>
      <c r="G90" s="16" t="n"/>
      <c r="H90" s="16" t="n"/>
      <c r="I90" s="16" t="n"/>
    </row>
    <row r="92" ht="22" customHeight="1">
      <c r="B92" s="3" t="inlineStr">
        <is>
          <t>5. К ВЫПЛАТЕ УЧРЕДИТЕЛЯМ</t>
        </is>
      </c>
      <c r="C92" s="4" t="n"/>
      <c r="D92" s="4" t="n"/>
      <c r="E92" s="4" t="n"/>
      <c r="F92" s="4" t="n"/>
      <c r="G92" s="4" t="n"/>
      <c r="H92" s="4" t="n"/>
      <c r="I92" s="4" t="inlineStr"/>
    </row>
    <row r="93" ht="26" customHeight="1">
      <c r="B93" s="5" t="inlineStr">
        <is>
          <t>Показатель</t>
        </is>
      </c>
      <c r="C93" s="5" t="inlineStr">
        <is>
          <t>Всего</t>
        </is>
      </c>
      <c r="D93" s="5" t="inlineStr">
        <is>
          <t>Маланичев</t>
        </is>
      </c>
      <c r="E93" s="5" t="inlineStr">
        <is>
          <t>Погосян</t>
        </is>
      </c>
      <c r="I93" s="5" t="inlineStr">
        <is>
          <t>Комментарий</t>
        </is>
      </c>
    </row>
    <row r="94">
      <c r="B94" s="6" t="inlineStr">
        <is>
          <t>Доход за месяц</t>
        </is>
      </c>
      <c r="C94" s="7">
        <f>C90</f>
        <v/>
      </c>
      <c r="D94" s="7">
        <f>D90</f>
        <v/>
      </c>
      <c r="E94" s="7">
        <f>E90</f>
        <v/>
      </c>
      <c r="F94" s="8" t="n"/>
      <c r="G94" s="8" t="n"/>
      <c r="H94" s="8" t="n"/>
      <c r="I94" s="8" t="n"/>
    </row>
    <row r="95">
      <c r="B95" s="6" t="inlineStr">
        <is>
          <t>Остаток с прошлого месяца</t>
        </is>
      </c>
      <c r="C95" s="7">
        <f>D95+E95</f>
        <v/>
      </c>
      <c r="D95" s="7" t="n">
        <v>30658896.02</v>
      </c>
      <c r="E95" s="7" t="n">
        <v>45275972.21</v>
      </c>
      <c r="F95" s="8" t="n"/>
      <c r="G95" s="8" t="n"/>
      <c r="H95" s="8" t="n"/>
      <c r="I95" s="10" t="inlineStr">
        <is>
          <t>ручной ввод бухгалтерии</t>
        </is>
      </c>
    </row>
    <row r="96">
      <c r="B96" s="18" t="inlineStr">
        <is>
          <t>Выплачены дивиденды</t>
        </is>
      </c>
      <c r="C96" s="19">
        <f>D96+E96</f>
        <v/>
      </c>
      <c r="D96" s="19" t="n">
        <v>-5882353</v>
      </c>
      <c r="E96" s="19" t="n">
        <v>-5882353</v>
      </c>
      <c r="F96" s="8" t="n"/>
      <c r="G96" s="8" t="n"/>
      <c r="H96" s="8" t="n"/>
      <c r="I96" s="10" t="inlineStr">
        <is>
          <t>начислено с НДФЛ</t>
        </is>
      </c>
    </row>
    <row r="97">
      <c r="B97" s="14" t="inlineStr">
        <is>
          <t>ИТОГО К ВЫПЛАТЕ НА 31.08.2026</t>
        </is>
      </c>
      <c r="C97" s="15">
        <f>SUM(C94:C96)</f>
        <v/>
      </c>
      <c r="D97" s="15">
        <f>SUM(D94:D96)</f>
        <v/>
      </c>
      <c r="E97" s="15">
        <f>SUM(E94:E96)</f>
        <v/>
      </c>
      <c r="F97" s="16" t="n"/>
      <c r="G97" s="16" t="n"/>
      <c r="H97" s="16" t="n"/>
      <c r="I97" s="16" t="n"/>
    </row>
    <row r="99" ht="22" customHeight="1">
      <c r="B99" s="3" t="inlineStr">
        <is>
          <t>6. СПРАВОЧНО</t>
        </is>
      </c>
      <c r="C99" s="4" t="n"/>
      <c r="D99" s="4" t="n"/>
      <c r="E99" s="4" t="n"/>
      <c r="F99" s="4" t="n"/>
      <c r="G99" s="4" t="n"/>
      <c r="H99" s="4" t="n"/>
      <c r="I99" s="4" t="inlineStr"/>
    </row>
    <row r="100" ht="26" customHeight="1">
      <c r="B100" s="5" t="inlineStr">
        <is>
          <t>Показатель</t>
        </is>
      </c>
      <c r="C100" s="5" t="inlineStr">
        <is>
          <t>Сумма</t>
        </is>
      </c>
      <c r="I100" s="5" t="inlineStr">
        <is>
          <t>Комментарий</t>
        </is>
      </c>
    </row>
    <row r="101">
      <c r="B101" s="6" t="inlineStr">
        <is>
          <t>Кредитная линия — лимит</t>
        </is>
      </c>
      <c r="C101" s="7" t="n">
        <v>30000000</v>
      </c>
      <c r="D101" s="8" t="n"/>
      <c r="E101" s="8" t="n"/>
      <c r="F101" s="8" t="n"/>
      <c r="G101" s="8" t="n"/>
      <c r="H101" s="8" t="n"/>
      <c r="I101" s="8" t="n"/>
    </row>
    <row r="102">
      <c r="B102" s="6" t="inlineStr">
        <is>
          <t>Кредитная линия — выбрано</t>
        </is>
      </c>
      <c r="C102" s="7" t="n">
        <v>27545367</v>
      </c>
      <c r="D102" s="8" t="n"/>
      <c r="E102" s="8" t="n"/>
      <c r="F102" s="8" t="n"/>
      <c r="G102" s="8" t="n"/>
      <c r="H102" s="8" t="n"/>
      <c r="I102" s="10" t="inlineStr">
        <is>
          <t>долг на дату отчёта</t>
        </is>
      </c>
    </row>
    <row r="103">
      <c r="B103" s="6" t="inlineStr">
        <is>
          <t>Кредитная линия — свободный остаток</t>
        </is>
      </c>
      <c r="C103" s="7" t="n">
        <v>2454633</v>
      </c>
      <c r="D103" s="8" t="n"/>
      <c r="E103" s="8" t="n"/>
      <c r="F103" s="8" t="n"/>
      <c r="G103" s="8" t="n"/>
      <c r="H103" s="8" t="n"/>
      <c r="I103" s="8" t="n"/>
    </row>
    <row r="104">
      <c r="B104" s="6" t="inlineStr">
        <is>
          <t>Проценты по депозитам за месяц</t>
        </is>
      </c>
      <c r="C104" s="7" t="n">
        <v>396337.24</v>
      </c>
      <c r="D104" s="8" t="n"/>
      <c r="E104" s="8" t="n"/>
      <c r="F104" s="8" t="n"/>
      <c r="G104" s="8" t="n"/>
      <c r="H104" s="8" t="n"/>
      <c r="I104" s="8" t="n"/>
    </row>
    <row r="105">
      <c r="B105" s="6" t="inlineStr">
        <is>
          <t>Остаток наличных в кассе</t>
        </is>
      </c>
      <c r="C105" s="7" t="n"/>
      <c r="D105" s="8" t="n"/>
      <c r="E105" s="8" t="n"/>
      <c r="F105" s="8" t="n"/>
      <c r="G105" s="8" t="n"/>
      <c r="H105" s="8" t="n"/>
      <c r="I105" s="10" t="inlineStr">
        <is>
          <t>не проставлен</t>
        </is>
      </c>
    </row>
    <row r="106">
      <c r="B106" s="6" t="inlineStr">
        <is>
          <t>Комиссия эквайринга</t>
        </is>
      </c>
      <c r="C106" s="7" t="n">
        <v>373487.16</v>
      </c>
      <c r="D106" s="8" t="n"/>
      <c r="E106" s="8" t="n"/>
      <c r="F106" s="8" t="n"/>
      <c r="G106" s="8" t="n"/>
      <c r="H106" s="8" t="n"/>
      <c r="I106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40" customWidth="1" min="4" max="4"/>
  </cols>
  <sheetData>
    <row r="1">
      <c r="B1" s="1" t="inlineStr">
        <is>
          <t>Счёт 60: оплаты с расчётного счёта по контрагентам</t>
        </is>
      </c>
    </row>
    <row r="2">
      <c r="B2" s="2" t="inlineStr">
        <is>
          <t>Отсортировано по убыванию суммы. Итог сходится с блоком «Расходы» основного листа.</t>
        </is>
      </c>
    </row>
    <row r="4" ht="26" customHeight="1">
      <c r="B4" s="5" t="inlineStr">
        <is>
          <t>Контрагент</t>
        </is>
      </c>
      <c r="C4" s="5" t="inlineStr">
        <is>
          <t>Оплачено</t>
        </is>
      </c>
      <c r="D4" s="5" t="inlineStr">
        <is>
          <t>Назначение</t>
        </is>
      </c>
    </row>
    <row r="5">
      <c r="B5" s="8" t="inlineStr">
        <is>
          <t>КВАЛИТЕТ ООО</t>
        </is>
      </c>
      <c r="C5" s="25" t="n">
        <v>11000000</v>
      </c>
      <c r="D5" s="26" t="inlineStr">
        <is>
          <t>Ремонт Самокатная 1 стр12</t>
        </is>
      </c>
    </row>
    <row r="6">
      <c r="B6" s="8" t="inlineStr">
        <is>
          <t>Маркарян Максим Рачьянович ИП</t>
        </is>
      </c>
      <c r="C6" s="25" t="n">
        <v>10966274</v>
      </c>
      <c r="D6" s="26" t="inlineStr">
        <is>
          <t>Гонорары ИП хирургов</t>
        </is>
      </c>
    </row>
    <row r="7">
      <c r="B7" s="8" t="inlineStr">
        <is>
          <t>БУРДИНА Е.С. ИП</t>
        </is>
      </c>
      <c r="C7" s="25" t="n">
        <v>5382764</v>
      </c>
      <c r="D7" s="26" t="inlineStr">
        <is>
          <t>Гонорары ИП хирургов</t>
        </is>
      </c>
    </row>
    <row r="8">
      <c r="B8" s="8" t="inlineStr">
        <is>
          <t>Сехина Виктория Дмитриевна</t>
        </is>
      </c>
      <c r="C8" s="25" t="n">
        <v>4692500</v>
      </c>
      <c r="D8" s="26" t="inlineStr">
        <is>
          <t>Урегулирование досудебного спора</t>
        </is>
      </c>
    </row>
    <row r="9">
      <c r="B9" s="8" t="inlineStr">
        <is>
          <t>Ужахов Тимур Магомедович ИП</t>
        </is>
      </c>
      <c r="C9" s="25" t="n">
        <v>4518074</v>
      </c>
      <c r="D9" s="26" t="inlineStr">
        <is>
          <t>Гонорары ИП хирургов</t>
        </is>
      </c>
    </row>
    <row r="10">
      <c r="B10" s="8" t="inlineStr">
        <is>
          <t>КЛОВЕРМЕД ООО</t>
        </is>
      </c>
      <c r="C10" s="25" t="n">
        <v>4196900</v>
      </c>
      <c r="D10" s="26" t="inlineStr">
        <is>
          <t>Импланты</t>
        </is>
      </c>
    </row>
    <row r="11">
      <c r="B11" s="8" t="inlineStr">
        <is>
          <t>Завиркин Антон Владимирович ИП</t>
        </is>
      </c>
      <c r="C11" s="25" t="n">
        <v>2887658</v>
      </c>
      <c r="D11" s="26" t="inlineStr">
        <is>
          <t>ИП Завиркин А.В.</t>
        </is>
      </c>
    </row>
    <row r="12">
      <c r="B12" s="8" t="inlineStr">
        <is>
          <t>Маржохов Астемир Ануарович ИП</t>
        </is>
      </c>
      <c r="C12" s="25" t="n">
        <v>2811745</v>
      </c>
      <c r="D12" s="26" t="inlineStr">
        <is>
          <t>Гонорары ИП хирургов</t>
        </is>
      </c>
    </row>
    <row r="13">
      <c r="B13" s="8" t="inlineStr">
        <is>
          <t>Габеев Алан Ирбекович ИП</t>
        </is>
      </c>
      <c r="C13" s="25" t="n">
        <v>2631347</v>
      </c>
      <c r="D13" s="26" t="inlineStr">
        <is>
          <t>Гонорары ИП хирургов</t>
        </is>
      </c>
    </row>
    <row r="14">
      <c r="B14" s="8" t="inlineStr">
        <is>
          <t>Ласукова Екатерина Борисовна</t>
        </is>
      </c>
      <c r="C14" s="25" t="n">
        <v>2505800</v>
      </c>
      <c r="D14" s="26" t="inlineStr">
        <is>
          <t>Маркетинговые услуги</t>
        </is>
      </c>
    </row>
    <row r="15">
      <c r="B15" s="8" t="inlineStr">
        <is>
          <t>Пономарёва Елена Юрьевна ИП</t>
        </is>
      </c>
      <c r="C15" s="25" t="n">
        <v>2272677</v>
      </c>
      <c r="D15" s="26" t="inlineStr">
        <is>
          <t>Гонорары ИП хирургов</t>
        </is>
      </c>
    </row>
    <row r="16">
      <c r="B16" s="8" t="inlineStr">
        <is>
          <t>БУРДИН С. А. ИП</t>
        </is>
      </c>
      <c r="C16" s="25" t="n">
        <v>2227217</v>
      </c>
      <c r="D16" s="26" t="inlineStr">
        <is>
          <t>Гонорары ИП хирургов</t>
        </is>
      </c>
    </row>
    <row r="17">
      <c r="B17" s="8" t="inlineStr">
        <is>
          <t>Ханукаев Александр Ильич</t>
        </is>
      </c>
      <c r="C17" s="25" t="n">
        <v>2210015</v>
      </c>
      <c r="D17" s="26" t="inlineStr">
        <is>
          <t>Гонорары ИП хирургов</t>
        </is>
      </c>
    </row>
    <row r="18">
      <c r="B18" s="8" t="inlineStr">
        <is>
          <t>СистеМед ООО</t>
        </is>
      </c>
      <c r="C18" s="25" t="n">
        <v>1857678.61</v>
      </c>
      <c r="D18" s="26" t="inlineStr">
        <is>
          <t>Медицинские материалы</t>
        </is>
      </c>
    </row>
    <row r="19">
      <c r="B19" s="8" t="inlineStr">
        <is>
          <t>ПОКАЛЕНЬЕВ Н. С. ИП</t>
        </is>
      </c>
      <c r="C19" s="25" t="n">
        <v>1740957</v>
      </c>
      <c r="D19" s="26" t="inlineStr">
        <is>
          <t>Гонорары ИП хирургов</t>
        </is>
      </c>
    </row>
    <row r="20">
      <c r="B20" s="8" t="inlineStr">
        <is>
          <t>СЛЕСАРЕВ ПАВЕЛ ИГОРЕВИЧ ИП</t>
        </is>
      </c>
      <c r="C20" s="25" t="n">
        <v>1337422</v>
      </c>
      <c r="D20" s="26" t="inlineStr">
        <is>
          <t>Гонорары ИП хирургов</t>
        </is>
      </c>
    </row>
    <row r="21">
      <c r="B21" s="8" t="inlineStr">
        <is>
          <t>ДельтаМед ООО</t>
        </is>
      </c>
      <c r="C21" s="25" t="n">
        <v>1157543.1</v>
      </c>
      <c r="D21" s="26" t="inlineStr">
        <is>
          <t>Расходка</t>
        </is>
      </c>
    </row>
    <row r="22">
      <c r="B22" s="8" t="inlineStr">
        <is>
          <t>Никифоров Сергей Арнольдович</t>
        </is>
      </c>
      <c r="C22" s="25" t="n">
        <v>1155000</v>
      </c>
      <c r="D22" s="26" t="inlineStr">
        <is>
          <t>Аренда Самокатная 1 стр1</t>
        </is>
      </c>
    </row>
    <row r="23">
      <c r="B23" s="8" t="inlineStr">
        <is>
          <t>Врачев Владислав Юрьевич ИП</t>
        </is>
      </c>
      <c r="C23" s="25" t="n">
        <v>927938</v>
      </c>
      <c r="D23" s="26" t="inlineStr">
        <is>
          <t>Гонорары ИП хирургов</t>
        </is>
      </c>
    </row>
    <row r="24">
      <c r="B24" s="8" t="inlineStr">
        <is>
          <t>Береснев Алексей Игоревич ИП</t>
        </is>
      </c>
      <c r="C24" s="25" t="n">
        <v>792876</v>
      </c>
      <c r="D24" s="26" t="inlineStr">
        <is>
          <t>Гонорары ИП хирургов</t>
        </is>
      </c>
    </row>
    <row r="25">
      <c r="B25" s="8" t="inlineStr">
        <is>
          <t>Макеенко Николай Владимирович ИП</t>
        </is>
      </c>
      <c r="C25" s="25" t="n">
        <v>703266</v>
      </c>
      <c r="D25" s="26" t="inlineStr">
        <is>
          <t>Гонорары ИП хирургов</t>
        </is>
      </c>
    </row>
    <row r="26">
      <c r="B26" s="8" t="inlineStr">
        <is>
          <t>ИП КАЧАЯН В.А. ИП</t>
        </is>
      </c>
      <c r="C26" s="25" t="n">
        <v>656611</v>
      </c>
      <c r="D26" s="26" t="inlineStr">
        <is>
          <t>Гонорары ИП хирургов</t>
        </is>
      </c>
    </row>
    <row r="27">
      <c r="B27" s="8" t="inlineStr">
        <is>
          <t>Чугуевская Ирина Сергеевна ИП</t>
        </is>
      </c>
      <c r="C27" s="25" t="n">
        <v>570005</v>
      </c>
      <c r="D27" s="26" t="inlineStr">
        <is>
          <t>ИП Чугуевская (ЗП Заведягин ОН)</t>
        </is>
      </c>
    </row>
    <row r="28">
      <c r="B28" s="8" t="inlineStr">
        <is>
          <t>СИРИУС ММ ООО</t>
        </is>
      </c>
      <c r="C28" s="25" t="n">
        <v>550653.36</v>
      </c>
      <c r="D28" s="26" t="inlineStr">
        <is>
          <t>Расходка</t>
        </is>
      </c>
    </row>
    <row r="29">
      <c r="B29" s="8" t="inlineStr">
        <is>
          <t>Громова Наталья Юрьевна ИП</t>
        </is>
      </c>
      <c r="C29" s="25" t="n">
        <v>516000</v>
      </c>
      <c r="D29" s="26" t="inlineStr">
        <is>
          <t>Ремонт</t>
        </is>
      </c>
    </row>
    <row r="30">
      <c r="B30" s="8" t="inlineStr">
        <is>
          <t>КИТ МЕД ООО</t>
        </is>
      </c>
      <c r="C30" s="25" t="n">
        <v>515528</v>
      </c>
      <c r="D30" s="26" t="inlineStr">
        <is>
          <t>Медоборудование и расходники</t>
        </is>
      </c>
    </row>
    <row r="31">
      <c r="B31" s="8" t="inlineStr">
        <is>
          <t>ЦВ ПРОТЕК АО</t>
        </is>
      </c>
      <c r="C31" s="25" t="n">
        <v>477406.58</v>
      </c>
      <c r="D31" s="26" t="inlineStr">
        <is>
          <t>Лекарства</t>
        </is>
      </c>
    </row>
    <row r="32">
      <c r="B32" s="8" t="inlineStr">
        <is>
          <t>ИТ-ЭКСПЕРТ ООО</t>
        </is>
      </c>
      <c r="C32" s="25" t="n">
        <v>435435</v>
      </c>
      <c r="D32" s="26" t="inlineStr">
        <is>
          <t>Обслуживание 1СУправление</t>
        </is>
      </c>
    </row>
    <row r="33">
      <c r="B33" s="8" t="inlineStr">
        <is>
          <t>АЛЬДЖЕНСА ООО</t>
        </is>
      </c>
      <c r="C33" s="25" t="n">
        <v>376950</v>
      </c>
      <c r="D33" s="26" t="inlineStr">
        <is>
          <t>Питание</t>
        </is>
      </c>
    </row>
    <row r="34">
      <c r="B34" s="8" t="inlineStr">
        <is>
          <t>ВИТТА КОМПАНИ ООО</t>
        </is>
      </c>
      <c r="C34" s="25" t="n">
        <v>349946.07</v>
      </c>
      <c r="D34" s="26" t="inlineStr">
        <is>
          <t>Лекарства</t>
        </is>
      </c>
    </row>
    <row r="35">
      <c r="B35" s="8" t="inlineStr">
        <is>
          <t>РЕНЕССАНС ЭСТЕТИКА ООО</t>
        </is>
      </c>
      <c r="C35" s="25" t="n">
        <v>331000</v>
      </c>
      <c r="D35" s="26" t="inlineStr">
        <is>
          <t>Импланты</t>
        </is>
      </c>
    </row>
    <row r="36">
      <c r="B36" s="8" t="inlineStr">
        <is>
          <t>Электростальский филиал МОКА</t>
        </is>
      </c>
      <c r="C36" s="25" t="n">
        <v>330000</v>
      </c>
      <c r="D36" s="26" t="inlineStr">
        <is>
          <t>Услуги юриста</t>
        </is>
      </c>
    </row>
    <row r="37">
      <c r="B37" s="8" t="inlineStr">
        <is>
          <t>Самозанятый Завиркина Лилия Викторовна</t>
        </is>
      </c>
      <c r="C37" s="25" t="n">
        <v>320000</v>
      </c>
      <c r="D37" s="26" t="inlineStr">
        <is>
          <t>Складской учет</t>
        </is>
      </c>
    </row>
    <row r="38">
      <c r="B38" s="8" t="inlineStr">
        <is>
          <t>Стародубов Дмитрий Александрович ИП</t>
        </is>
      </c>
      <c r="C38" s="25" t="n">
        <v>293400</v>
      </c>
      <c r="D38" s="26" t="inlineStr">
        <is>
          <t>Медицинские материалы</t>
        </is>
      </c>
    </row>
    <row r="39">
      <c r="B39" s="8" t="inlineStr">
        <is>
          <t>ПФ СКБ Контур АО</t>
        </is>
      </c>
      <c r="C39" s="25" t="n">
        <v>279349.86</v>
      </c>
      <c r="D39" s="26" t="inlineStr">
        <is>
          <t>ПО и IT-сервисы</t>
        </is>
      </c>
    </row>
    <row r="40">
      <c r="B40" s="8" t="inlineStr">
        <is>
          <t>Выскуб Ольга Анатольевна ИП</t>
        </is>
      </c>
      <c r="C40" s="25" t="n">
        <v>275300</v>
      </c>
      <c r="D40" s="26" t="inlineStr">
        <is>
          <t>Гонорары ИП хирургов</t>
        </is>
      </c>
    </row>
    <row r="41">
      <c r="B41" s="8" t="inlineStr">
        <is>
          <t>РОКЕТ СЕРВИС ООО</t>
        </is>
      </c>
      <c r="C41" s="25" t="n">
        <v>264850</v>
      </c>
      <c r="D41" s="26" t="inlineStr">
        <is>
          <t>Битрикс 24</t>
        </is>
      </c>
    </row>
    <row r="42">
      <c r="B42" s="8" t="inlineStr">
        <is>
          <t>ГЕРАСИМОВА А.В. ИП</t>
        </is>
      </c>
      <c r="C42" s="25" t="n">
        <v>260766</v>
      </c>
      <c r="D42" s="26" t="inlineStr">
        <is>
          <t>Гонорары ИП хирургов</t>
        </is>
      </c>
    </row>
    <row r="43">
      <c r="B43" s="8" t="inlineStr">
        <is>
          <t>Хафизов Станислав Ильшатович ИП</t>
        </is>
      </c>
      <c r="C43" s="25" t="n">
        <v>254000</v>
      </c>
      <c r="D43" s="26" t="inlineStr">
        <is>
          <t>Сайт</t>
        </is>
      </c>
    </row>
    <row r="44">
      <c r="B44" s="8" t="inlineStr">
        <is>
          <t>КРЕЙТ ООО</t>
        </is>
      </c>
      <c r="C44" s="25" t="n">
        <v>246913.68</v>
      </c>
      <c r="D44" s="26" t="inlineStr">
        <is>
          <t>Медицинские материалы</t>
        </is>
      </c>
    </row>
    <row r="45">
      <c r="B45" s="8" t="inlineStr">
        <is>
          <t>МЕДПРО ООО</t>
        </is>
      </c>
      <c r="C45" s="25" t="n">
        <v>235200</v>
      </c>
      <c r="D45" s="26" t="inlineStr">
        <is>
          <t>Белье</t>
        </is>
      </c>
    </row>
    <row r="46">
      <c r="B46" s="8" t="inlineStr">
        <is>
          <t>ЛЕ МОНЛИД ООО</t>
        </is>
      </c>
      <c r="C46" s="25" t="n">
        <v>222551.24</v>
      </c>
      <c r="D46" s="26" t="inlineStr">
        <is>
          <t>Медицинские материалы</t>
        </is>
      </c>
    </row>
    <row r="47">
      <c r="B47" s="8" t="inlineStr">
        <is>
          <t>Рыболова Анастасия Алексеевна ИП</t>
        </is>
      </c>
      <c r="C47" s="25" t="n">
        <v>220000</v>
      </c>
      <c r="D47" s="26" t="inlineStr">
        <is>
          <t>Расходка</t>
        </is>
      </c>
    </row>
    <row r="48">
      <c r="B48" s="8" t="inlineStr">
        <is>
          <t>Богачко Елизавета Максимовна ИП</t>
        </is>
      </c>
      <c r="C48" s="25" t="n">
        <v>210000</v>
      </c>
      <c r="D48" s="26" t="inlineStr">
        <is>
          <t>Аренда Inmode</t>
        </is>
      </c>
    </row>
    <row r="49">
      <c r="B49" s="8" t="inlineStr">
        <is>
          <t>МЕДИНТОРГ АО</t>
        </is>
      </c>
      <c r="C49" s="25" t="n">
        <v>206303.7</v>
      </c>
      <c r="D49" s="26" t="inlineStr">
        <is>
          <t>Расходка</t>
        </is>
      </c>
    </row>
    <row r="50">
      <c r="B50" s="8" t="inlineStr">
        <is>
          <t>ФГБУЗ Центр крови ФМБА России УФК по г.Москве (ФГБУЗ Центр крови ФМБА России) л/с 20736У64550</t>
        </is>
      </c>
      <c r="C50" s="25" t="n">
        <v>181735.9</v>
      </c>
      <c r="D50" s="26" t="inlineStr">
        <is>
          <t>Кровь</t>
        </is>
      </c>
    </row>
    <row r="51">
      <c r="B51" s="8" t="inlineStr">
        <is>
          <t>ПЗСПП ООО</t>
        </is>
      </c>
      <c r="C51" s="25" t="n">
        <v>179400</v>
      </c>
      <c r="D51" s="26" t="inlineStr">
        <is>
          <t>Прочие управленческие</t>
        </is>
      </c>
    </row>
    <row r="52">
      <c r="B52" s="8" t="inlineStr">
        <is>
          <t>БЕЛВА ООО ПТК</t>
        </is>
      </c>
      <c r="C52" s="25" t="n">
        <v>173834.16</v>
      </c>
      <c r="D52" s="26" t="inlineStr">
        <is>
          <t>Прочие управленческие</t>
        </is>
      </c>
    </row>
    <row r="53">
      <c r="B53" s="8" t="inlineStr">
        <is>
          <t>Самозанятый Маланичев Юрий Васильевич</t>
        </is>
      </c>
      <c r="C53" s="25" t="n">
        <v>159575</v>
      </c>
      <c r="D53" s="26" t="inlineStr">
        <is>
          <t>Услуги инженера</t>
        </is>
      </c>
    </row>
    <row r="54">
      <c r="B54" s="8" t="inlineStr">
        <is>
          <t>КОМУС ООО</t>
        </is>
      </c>
      <c r="C54" s="25" t="n">
        <v>157671.72</v>
      </c>
      <c r="D54" s="26" t="inlineStr">
        <is>
          <t>Канц и хоз расходы</t>
        </is>
      </c>
    </row>
    <row r="55">
      <c r="B55" s="8" t="inlineStr">
        <is>
          <t>ИМОТИО ООО</t>
        </is>
      </c>
      <c r="C55" s="25" t="n">
        <v>152250</v>
      </c>
      <c r="D55" s="26" t="inlineStr">
        <is>
          <t>Сервис речевой аналитики</t>
        </is>
      </c>
    </row>
    <row r="56">
      <c r="B56" s="8" t="inlineStr">
        <is>
          <t>Кудря Дарья Сергеевна ИП</t>
        </is>
      </c>
      <c r="C56" s="25" t="n">
        <v>149600</v>
      </c>
      <c r="D56" s="26" t="inlineStr">
        <is>
          <t>Фото видео</t>
        </is>
      </c>
    </row>
    <row r="57">
      <c r="B57" s="8" t="inlineStr">
        <is>
          <t>АЛКАНА А ООО</t>
        </is>
      </c>
      <c r="C57" s="25" t="n">
        <v>146600</v>
      </c>
      <c r="D57" s="26" t="inlineStr">
        <is>
          <t>Медицинские материалы</t>
        </is>
      </c>
    </row>
    <row r="58">
      <c r="B58" s="8" t="inlineStr">
        <is>
          <t>ИТМЕДИКАЛ ООО</t>
        </is>
      </c>
      <c r="C58" s="25" t="n">
        <v>136000</v>
      </c>
      <c r="D58" s="26" t="inlineStr">
        <is>
          <t>Прочие управленческие</t>
        </is>
      </c>
    </row>
    <row r="59">
      <c r="B59" s="8" t="inlineStr">
        <is>
          <t>ТД ТИНКО ООО</t>
        </is>
      </c>
      <c r="C59" s="25" t="n">
        <v>118740.75</v>
      </c>
      <c r="D59" s="26" t="inlineStr">
        <is>
          <t>Медицинские материалы</t>
        </is>
      </c>
    </row>
    <row r="60">
      <c r="B60" s="8" t="inlineStr">
        <is>
          <t>Елизаров Андрей Владимирович ИП</t>
        </is>
      </c>
      <c r="C60" s="25" t="n">
        <v>118735.06</v>
      </c>
      <c r="D60" s="26" t="inlineStr">
        <is>
          <t>IT услуги</t>
        </is>
      </c>
    </row>
    <row r="61">
      <c r="B61" s="8" t="inlineStr">
        <is>
          <t>А410 ООО</t>
        </is>
      </c>
      <c r="C61" s="25" t="n">
        <v>114858</v>
      </c>
      <c r="D61" s="26" t="inlineStr">
        <is>
          <t>Косметология</t>
        </is>
      </c>
    </row>
    <row r="62">
      <c r="B62" s="8" t="inlineStr">
        <is>
          <t>Ершов Эдуард Владимирович ИП</t>
        </is>
      </c>
      <c r="C62" s="25" t="n">
        <v>111300</v>
      </c>
      <c r="D62" s="26" t="inlineStr">
        <is>
          <t>Фото видео</t>
        </is>
      </c>
    </row>
    <row r="63">
      <c r="B63" s="8" t="inlineStr">
        <is>
          <t>МИА ООО</t>
        </is>
      </c>
      <c r="C63" s="25" t="n">
        <v>110000</v>
      </c>
      <c r="D63" s="26" t="inlineStr">
        <is>
          <t>Белье</t>
        </is>
      </c>
    </row>
    <row r="64">
      <c r="B64" s="8" t="inlineStr">
        <is>
          <t>Дубровина Юлия Игоревна ИП</t>
        </is>
      </c>
      <c r="C64" s="25" t="n">
        <v>104374</v>
      </c>
      <c r="D64" s="26" t="inlineStr">
        <is>
          <t>Гонорары ИП хирургов</t>
        </is>
      </c>
    </row>
    <row r="65">
      <c r="B65" s="8" t="inlineStr">
        <is>
          <t>КДЛ ДОМОДЕДОВО-ТЕСТ ООО</t>
        </is>
      </c>
      <c r="C65" s="25" t="n">
        <v>102102</v>
      </c>
      <c r="D65" s="26" t="inlineStr">
        <is>
          <t>Анализы</t>
        </is>
      </c>
    </row>
    <row r="66">
      <c r="B66" s="8" t="inlineStr">
        <is>
          <t>Звоник Юрий Алексеевич</t>
        </is>
      </c>
      <c r="C66" s="25" t="n">
        <v>100000</v>
      </c>
      <c r="D66" s="26" t="inlineStr">
        <is>
          <t>Реклама</t>
        </is>
      </c>
    </row>
    <row r="67">
      <c r="B67" s="8" t="inlineStr">
        <is>
          <t>ЯНДЕКС.ТАКСИ ООО</t>
        </is>
      </c>
      <c r="C67" s="25" t="n">
        <v>100000</v>
      </c>
      <c r="D67" s="26" t="inlineStr">
        <is>
          <t>Такси</t>
        </is>
      </c>
    </row>
    <row r="68">
      <c r="B68" s="8" t="inlineStr">
        <is>
          <t>ТЕХПРОФИТ ООО</t>
        </is>
      </c>
      <c r="C68" s="25" t="n">
        <v>99200</v>
      </c>
      <c r="D68" s="26" t="inlineStr">
        <is>
          <t>IT услуги</t>
        </is>
      </c>
    </row>
    <row r="69">
      <c r="B69" s="8" t="inlineStr">
        <is>
          <t>Самозанятый Дроздецкий Дмитрий Александрович</t>
        </is>
      </c>
      <c r="C69" s="25" t="n">
        <v>90100</v>
      </c>
      <c r="D69" s="26" t="inlineStr">
        <is>
          <t>Прочие управленческие</t>
        </is>
      </c>
    </row>
    <row r="70">
      <c r="B70" s="8" t="inlineStr">
        <is>
          <t>ДельтаМедКомпани ООО</t>
        </is>
      </c>
      <c r="C70" s="25" t="n">
        <v>87600</v>
      </c>
      <c r="D70" s="26" t="inlineStr">
        <is>
          <t>Расходка</t>
        </is>
      </c>
    </row>
    <row r="71">
      <c r="B71" s="8" t="inlineStr">
        <is>
          <t>ИННОВАЦИОННЫЕ ТЕХНОЛОГИИ ООО</t>
        </is>
      </c>
      <c r="C71" s="25" t="n">
        <v>85000</v>
      </c>
      <c r="D71" s="26" t="inlineStr">
        <is>
          <t>Прочие управленческие</t>
        </is>
      </c>
    </row>
    <row r="72">
      <c r="B72" s="8" t="inlineStr">
        <is>
          <t>ЦЕНТР-ОТЕЛЬ ООО</t>
        </is>
      </c>
      <c r="C72" s="25" t="n">
        <v>81075</v>
      </c>
      <c r="D72" s="26" t="inlineStr">
        <is>
          <t>Краснодар</t>
        </is>
      </c>
    </row>
    <row r="73">
      <c r="B73" s="8" t="inlineStr">
        <is>
          <t>М-ИНВЕСТ ООО</t>
        </is>
      </c>
      <c r="C73" s="25" t="n">
        <v>77412</v>
      </c>
      <c r="D73" s="26" t="inlineStr">
        <is>
          <t>Медицинские материалы</t>
        </is>
      </c>
    </row>
    <row r="74">
      <c r="B74" s="8" t="inlineStr">
        <is>
          <t>ИНТЕРНЕТ РЕШЕНИЯ ООО</t>
        </is>
      </c>
      <c r="C74" s="25" t="n">
        <v>77247</v>
      </c>
      <c r="D74" s="26" t="inlineStr">
        <is>
          <t>Хоз расходы</t>
        </is>
      </c>
    </row>
    <row r="75">
      <c r="B75" s="8" t="inlineStr">
        <is>
          <t>ДЕЗНЭТ ООО</t>
        </is>
      </c>
      <c r="C75" s="25" t="n">
        <v>76940</v>
      </c>
      <c r="D75" s="26" t="inlineStr">
        <is>
          <t>Медицинские материалы</t>
        </is>
      </c>
    </row>
    <row r="76">
      <c r="B76" s="8" t="inlineStr">
        <is>
          <t>Самозанятый Лукина Екатерина Витальевна</t>
        </is>
      </c>
      <c r="C76" s="25" t="n">
        <v>76540</v>
      </c>
      <c r="D76" s="26" t="inlineStr">
        <is>
          <t>Фото видео</t>
        </is>
      </c>
    </row>
    <row r="77">
      <c r="B77" s="8" t="inlineStr">
        <is>
          <t>ПРОМТЕКСТИЛЬ ООО ТД</t>
        </is>
      </c>
      <c r="C77" s="25" t="n">
        <v>76000</v>
      </c>
      <c r="D77" s="26" t="inlineStr">
        <is>
          <t>Медицинские материалы</t>
        </is>
      </c>
    </row>
    <row r="78">
      <c r="B78" s="8" t="inlineStr">
        <is>
          <t>Самозанятый Орлов Сергей Юрьевич</t>
        </is>
      </c>
      <c r="C78" s="25" t="n">
        <v>72360</v>
      </c>
      <c r="D78" s="26" t="inlineStr">
        <is>
          <t>Общехозяйственные</t>
        </is>
      </c>
    </row>
    <row r="79">
      <c r="B79" s="8" t="inlineStr">
        <is>
          <t>Евтеев Александр Викторович Самозанятый</t>
        </is>
      </c>
      <c r="C79" s="25" t="n">
        <v>64756</v>
      </c>
      <c r="D79" s="26" t="inlineStr">
        <is>
          <t>Общехозяйственные</t>
        </is>
      </c>
    </row>
    <row r="80">
      <c r="B80" s="8" t="inlineStr">
        <is>
          <t>АЛКАНА М ООО</t>
        </is>
      </c>
      <c r="C80" s="25" t="n">
        <v>64600</v>
      </c>
      <c r="D80" s="26" t="inlineStr">
        <is>
          <t>Прочие управленческие</t>
        </is>
      </c>
    </row>
    <row r="81">
      <c r="B81" s="8" t="inlineStr">
        <is>
          <t>СитиМед ООО</t>
        </is>
      </c>
      <c r="C81" s="25" t="n">
        <v>63600</v>
      </c>
      <c r="D81" s="26" t="inlineStr">
        <is>
          <t>Прочие управленческие</t>
        </is>
      </c>
    </row>
    <row r="82">
      <c r="B82" s="8" t="inlineStr">
        <is>
          <t>ЭКОТЕХПРОМ АО</t>
        </is>
      </c>
      <c r="C82" s="25" t="n">
        <v>52136.72</v>
      </c>
      <c r="D82" s="26" t="inlineStr">
        <is>
          <t>Вывоз ТКО и мед отходов</t>
        </is>
      </c>
    </row>
    <row r="83">
      <c r="B83" s="8" t="inlineStr">
        <is>
          <t>МЕДИКЛЦЕНТРСЕРВИС ООО</t>
        </is>
      </c>
      <c r="C83" s="25" t="n">
        <v>51760</v>
      </c>
      <c r="D83" s="26" t="inlineStr">
        <is>
          <t>Медицинские материалы</t>
        </is>
      </c>
    </row>
    <row r="84">
      <c r="B84" s="8" t="inlineStr">
        <is>
          <t>КРИОФАРМ ООО</t>
        </is>
      </c>
      <c r="C84" s="25" t="n">
        <v>51675</v>
      </c>
      <c r="D84" s="26" t="inlineStr">
        <is>
          <t>Медицинские материалы</t>
        </is>
      </c>
    </row>
    <row r="85">
      <c r="B85" s="8" t="inlineStr">
        <is>
          <t>БАРИСТА ООО</t>
        </is>
      </c>
      <c r="C85" s="25" t="n">
        <v>48301.44</v>
      </c>
      <c r="D85" s="26" t="inlineStr">
        <is>
          <t>Кофе</t>
        </is>
      </c>
    </row>
    <row r="86">
      <c r="B86" s="8" t="inlineStr">
        <is>
          <t>СИСТЕМА ООО</t>
        </is>
      </c>
      <c r="C86" s="25" t="n">
        <v>48285.78</v>
      </c>
      <c r="D86" s="26" t="inlineStr">
        <is>
          <t>Медицинские материалы</t>
        </is>
      </c>
    </row>
    <row r="87">
      <c r="B87" s="8" t="inlineStr">
        <is>
          <t>Семин Сергей Владиславович</t>
        </is>
      </c>
      <c r="C87" s="25" t="n">
        <v>40000</v>
      </c>
      <c r="D87" s="26" t="inlineStr">
        <is>
          <t>Цветы</t>
        </is>
      </c>
    </row>
    <row r="88">
      <c r="B88" s="8" t="inlineStr">
        <is>
          <t>КОЛТАЧ СОЛЮШНС ООО</t>
        </is>
      </c>
      <c r="C88" s="25" t="n">
        <v>39200</v>
      </c>
      <c r="D88" s="26" t="inlineStr">
        <is>
          <t>Программное обнспечение</t>
        </is>
      </c>
    </row>
    <row r="89">
      <c r="B89" s="8" t="inlineStr">
        <is>
          <t>СМБ-СЕРВИС ООО</t>
        </is>
      </c>
      <c r="C89" s="25" t="n">
        <v>37700</v>
      </c>
      <c r="D89" s="26" t="inlineStr">
        <is>
          <t>Прочие управленческие</t>
        </is>
      </c>
    </row>
    <row r="90">
      <c r="B90" s="8" t="inlineStr">
        <is>
          <t>ГРАНД КОМФОРТ ООО</t>
        </is>
      </c>
      <c r="C90" s="25" t="n">
        <v>37568</v>
      </c>
      <c r="D90" s="26" t="inlineStr">
        <is>
          <t>Средства гигиены</t>
        </is>
      </c>
    </row>
    <row r="91">
      <c r="B91" s="8" t="inlineStr">
        <is>
          <t>ДОКТОР ДИСКАУНТ ООО</t>
        </is>
      </c>
      <c r="C91" s="25" t="n">
        <v>35920.61</v>
      </c>
      <c r="D91" s="26" t="inlineStr">
        <is>
          <t>Прочие управленческие</t>
        </is>
      </c>
    </row>
    <row r="92">
      <c r="B92" s="8" t="inlineStr">
        <is>
          <t>Селектел АО</t>
        </is>
      </c>
      <c r="C92" s="25" t="n">
        <v>30000</v>
      </c>
      <c r="D92" s="26" t="inlineStr">
        <is>
          <t>IT услуги</t>
        </is>
      </c>
    </row>
    <row r="93">
      <c r="B93" s="8" t="inlineStr">
        <is>
          <t>МЕДЛИГА АО</t>
        </is>
      </c>
      <c r="C93" s="25" t="n">
        <v>29800</v>
      </c>
      <c r="D93" s="26" t="inlineStr">
        <is>
          <t>Капвложения и работы</t>
        </is>
      </c>
    </row>
    <row r="94">
      <c r="B94" s="8" t="inlineStr">
        <is>
          <t>ХЭДХАНТЕР ООО</t>
        </is>
      </c>
      <c r="C94" s="25" t="n">
        <v>27629</v>
      </c>
      <c r="D94" s="26" t="inlineStr">
        <is>
          <t>Подбор персонала</t>
        </is>
      </c>
    </row>
    <row r="95">
      <c r="B95" s="8" t="inlineStr">
        <is>
          <t>ЭКМУС ООО</t>
        </is>
      </c>
      <c r="C95" s="25" t="n">
        <v>23625</v>
      </c>
      <c r="D95" s="26" t="inlineStr">
        <is>
          <t>Утилизация медотходов</t>
        </is>
      </c>
    </row>
    <row r="96">
      <c r="B96" s="8" t="inlineStr">
        <is>
          <t>МЕТАЛЛИЧЕСКАЯ МЕБЕЛЬ ООО</t>
        </is>
      </c>
      <c r="C96" s="25" t="n">
        <v>22130</v>
      </c>
      <c r="D96" s="26" t="inlineStr">
        <is>
          <t>Мебель, инвентарь</t>
        </is>
      </c>
    </row>
    <row r="97">
      <c r="B97" s="8" t="inlineStr">
        <is>
          <t>МАНГО ТЕЛЕКОМ ООО</t>
        </is>
      </c>
      <c r="C97" s="25" t="n">
        <v>20000</v>
      </c>
      <c r="D97" s="26" t="inlineStr">
        <is>
          <t>Связь</t>
        </is>
      </c>
    </row>
    <row r="98">
      <c r="B98" s="8" t="inlineStr">
        <is>
          <t>ТАТАРОВА В. Г. ИП</t>
        </is>
      </c>
      <c r="C98" s="25" t="n">
        <v>20000</v>
      </c>
      <c r="D98" s="26" t="inlineStr">
        <is>
          <t>Вода</t>
        </is>
      </c>
    </row>
    <row r="99">
      <c r="B99" s="8" t="inlineStr">
        <is>
          <t>ТАКСКОМ ООО</t>
        </is>
      </c>
      <c r="C99" s="25" t="n">
        <v>17900</v>
      </c>
      <c r="D99" s="26" t="inlineStr">
        <is>
          <t>Техподдержка ККТ</t>
        </is>
      </c>
    </row>
    <row r="100">
      <c r="B100" s="8" t="inlineStr">
        <is>
          <t>МРК-СНАБ ООО</t>
        </is>
      </c>
      <c r="C100" s="25" t="n">
        <v>17750</v>
      </c>
      <c r="D100" s="26" t="inlineStr">
        <is>
          <t>Расходка</t>
        </is>
      </c>
    </row>
    <row r="101">
      <c r="B101" s="8" t="inlineStr">
        <is>
          <t>ОнЛайн Трейд ООО</t>
        </is>
      </c>
      <c r="C101" s="25" t="n">
        <v>17740</v>
      </c>
      <c r="D101" s="26" t="inlineStr">
        <is>
          <t>Электрооборудование</t>
        </is>
      </c>
    </row>
    <row r="102">
      <c r="B102" s="8" t="inlineStr">
        <is>
          <t>КантриКом АО</t>
        </is>
      </c>
      <c r="C102" s="25" t="n">
        <v>17568</v>
      </c>
      <c r="D102" s="26" t="inlineStr">
        <is>
          <t>Связь</t>
        </is>
      </c>
    </row>
    <row r="103">
      <c r="B103" s="8" t="inlineStr">
        <is>
          <t>ЧОО Спектр секъюрити ООО</t>
        </is>
      </c>
      <c r="C103" s="25" t="n">
        <v>16800</v>
      </c>
      <c r="D103" s="26" t="inlineStr">
        <is>
          <t>Охрана</t>
        </is>
      </c>
    </row>
    <row r="104">
      <c r="B104" s="8" t="inlineStr">
        <is>
          <t>ВЕСТ КОЛЛ ЛТД ООО</t>
        </is>
      </c>
      <c r="C104" s="25" t="n">
        <v>16235.15</v>
      </c>
      <c r="D104" s="26" t="inlineStr">
        <is>
          <t>Интернет</t>
        </is>
      </c>
    </row>
    <row r="105">
      <c r="B105" s="8" t="inlineStr">
        <is>
          <t>ТЕЛЕМИР ООО</t>
        </is>
      </c>
      <c r="C105" s="25" t="n">
        <v>16192</v>
      </c>
      <c r="D105" s="26" t="inlineStr">
        <is>
          <t>Связь</t>
        </is>
      </c>
    </row>
    <row r="106">
      <c r="B106" s="8" t="inlineStr">
        <is>
          <t>ИНСТРУ-МЕД ООО</t>
        </is>
      </c>
      <c r="C106" s="25" t="n">
        <v>15120</v>
      </c>
      <c r="D106" s="26" t="inlineStr">
        <is>
          <t>Расходник</t>
        </is>
      </c>
    </row>
    <row r="107">
      <c r="B107" s="8" t="inlineStr">
        <is>
          <t>Алдошин Павел Александрович ИП</t>
        </is>
      </c>
      <c r="C107" s="25" t="n">
        <v>15000</v>
      </c>
      <c r="D107" s="26" t="inlineStr">
        <is>
          <t>Аренда кофемашины</t>
        </is>
      </c>
    </row>
    <row r="108">
      <c r="B108" s="8" t="inlineStr">
        <is>
          <t>Вилорд ООО</t>
        </is>
      </c>
      <c r="C108" s="25" t="n">
        <v>12800</v>
      </c>
      <c r="D108" s="26" t="inlineStr">
        <is>
          <t>Медицинские материалы</t>
        </is>
      </c>
    </row>
    <row r="109">
      <c r="B109" s="8" t="inlineStr">
        <is>
          <t>ГБУЗ ЦЛО ДЗМ</t>
        </is>
      </c>
      <c r="C109" s="25" t="n">
        <v>12760</v>
      </c>
      <c r="D109" s="26" t="inlineStr">
        <is>
          <t>Наркотики</t>
        </is>
      </c>
    </row>
    <row r="110">
      <c r="B110" s="8" t="inlineStr">
        <is>
          <t>АТОЛ ОНЛАЙН ООО</t>
        </is>
      </c>
      <c r="C110" s="25" t="n">
        <v>12505</v>
      </c>
      <c r="D110" s="26" t="inlineStr">
        <is>
          <t>Медицинские материалы</t>
        </is>
      </c>
    </row>
    <row r="111">
      <c r="B111" s="8" t="inlineStr">
        <is>
          <t>Самозанятый Кожина Наталия Васильевна</t>
        </is>
      </c>
      <c r="C111" s="25" t="n">
        <v>11660</v>
      </c>
      <c r="D111" s="26" t="inlineStr">
        <is>
          <t>Дизайн-услуги</t>
        </is>
      </c>
    </row>
    <row r="112">
      <c r="B112" s="8" t="inlineStr">
        <is>
          <t>АСПРОМЕД ООО</t>
        </is>
      </c>
      <c r="C112" s="25" t="n">
        <v>10940</v>
      </c>
      <c r="D112" s="26" t="inlineStr">
        <is>
          <t>Расходка</t>
        </is>
      </c>
    </row>
    <row r="113">
      <c r="B113" s="8" t="inlineStr">
        <is>
          <t>МГУТУ АНО ДПО</t>
        </is>
      </c>
      <c r="C113" s="25" t="n">
        <v>10900</v>
      </c>
      <c r="D113" s="26" t="inlineStr">
        <is>
          <t>Обучение персонала</t>
        </is>
      </c>
    </row>
    <row r="114">
      <c r="B114" s="8" t="inlineStr">
        <is>
          <t>АО "Почта России"</t>
        </is>
      </c>
      <c r="C114" s="25" t="n">
        <v>10000</v>
      </c>
      <c r="D114" s="26" t="inlineStr">
        <is>
          <t>Общехоз.расходы прочие</t>
        </is>
      </c>
    </row>
    <row r="115">
      <c r="B115" s="8" t="inlineStr">
        <is>
          <t>МЕДРОКЕТ ООО</t>
        </is>
      </c>
      <c r="C115" s="25" t="n">
        <v>10000</v>
      </c>
      <c r="D115" s="26" t="inlineStr">
        <is>
          <t>ПроДокторов</t>
        </is>
      </c>
    </row>
    <row r="116">
      <c r="B116" s="8" t="inlineStr">
        <is>
          <t>ТЕХМОНТАЖ ООО</t>
        </is>
      </c>
      <c r="C116" s="25" t="n">
        <v>9800</v>
      </c>
      <c r="D116" s="26" t="inlineStr">
        <is>
          <t>Охрана</t>
        </is>
      </c>
    </row>
    <row r="117">
      <c r="B117" s="8" t="inlineStr">
        <is>
          <t>Деловые линии ООО</t>
        </is>
      </c>
      <c r="C117" s="25" t="n">
        <v>7495</v>
      </c>
      <c r="D117" s="26" t="inlineStr">
        <is>
          <t>Доставка</t>
        </is>
      </c>
    </row>
    <row r="118">
      <c r="B118" s="8" t="inlineStr">
        <is>
          <t>ТЕХМОНТАЖСЕРВИС ООО</t>
        </is>
      </c>
      <c r="C118" s="25" t="n">
        <v>7000</v>
      </c>
      <c r="D118" s="26" t="inlineStr">
        <is>
          <t>ТО СКУД, пожарной сигнализации</t>
        </is>
      </c>
    </row>
    <row r="119">
      <c r="B119" s="8" t="inlineStr">
        <is>
          <t>КИКОТЬ ОЛЕГ МИХАЙЛОВИЧ ИП</t>
        </is>
      </c>
      <c r="C119" s="25" t="n">
        <v>6135</v>
      </c>
      <c r="D119" s="26" t="inlineStr">
        <is>
          <t>Прочие управленческие</t>
        </is>
      </c>
    </row>
    <row r="120">
      <c r="B120" s="8" t="inlineStr">
        <is>
          <t>Самозанятый Кучер Татьяна Александровна</t>
        </is>
      </c>
      <c r="C120" s="25" t="n">
        <v>5400</v>
      </c>
      <c r="D120" s="26" t="inlineStr">
        <is>
          <t>Прочие управленческие</t>
        </is>
      </c>
    </row>
    <row r="121">
      <c r="B121" s="8" t="inlineStr">
        <is>
          <t>ДЕАЛМЕД АО</t>
        </is>
      </c>
      <c r="C121" s="25" t="n">
        <v>5170</v>
      </c>
      <c r="D121" s="26" t="inlineStr">
        <is>
          <t>Медицинские материалы</t>
        </is>
      </c>
    </row>
    <row r="122">
      <c r="B122" s="8" t="inlineStr">
        <is>
          <t>ИНФОТЕХ ООО</t>
        </is>
      </c>
      <c r="C122" s="25" t="n">
        <v>5100</v>
      </c>
      <c r="D122" s="26" t="inlineStr">
        <is>
          <t>Оргтехника</t>
        </is>
      </c>
    </row>
    <row r="123">
      <c r="B123" s="8" t="inlineStr">
        <is>
          <t>Аквапрактика ООО</t>
        </is>
      </c>
      <c r="C123" s="25" t="n">
        <v>5000</v>
      </c>
      <c r="D123" s="26" t="inlineStr">
        <is>
          <t>Обслуживание аквариума</t>
        </is>
      </c>
    </row>
    <row r="124">
      <c r="B124" s="8" t="inlineStr">
        <is>
          <t>Cамозанятый Котлярова Олеся Владимировна</t>
        </is>
      </c>
      <c r="C124" s="25" t="n">
        <v>1100</v>
      </c>
      <c r="D124" s="26" t="inlineStr">
        <is>
          <t>Прочие управленческие</t>
        </is>
      </c>
    </row>
    <row r="125">
      <c r="B125" s="8" t="inlineStr">
        <is>
          <t>АО "Альфа Банк"</t>
        </is>
      </c>
      <c r="C125" s="25" t="n">
        <v>668.5599999999999</v>
      </c>
      <c r="D125" s="26" t="inlineStr">
        <is>
          <t>Услуги банка</t>
        </is>
      </c>
    </row>
    <row r="126">
      <c r="B126" s="8" t="inlineStr">
        <is>
          <t>БАНК ВТБ (ПАО)</t>
        </is>
      </c>
      <c r="C126" s="25" t="n">
        <v>550</v>
      </c>
      <c r="D126" s="26" t="inlineStr">
        <is>
          <t>Услуги банка</t>
        </is>
      </c>
    </row>
    <row r="127">
      <c r="B127" s="11" t="inlineStr">
        <is>
          <t>ИТОГО ПО СЧЁТУ 60</t>
        </is>
      </c>
      <c r="C127" s="12">
        <f>SUM(C5:C126)</f>
        <v/>
      </c>
      <c r="D127" s="13" t="n"/>
      <c r="E127" s="13" t="n"/>
      <c r="F127" s="13" t="n"/>
      <c r="G127" s="13" t="n"/>
      <c r="H127" s="13" t="n"/>
      <c r="I127" s="20" t="inlineStr">
        <is>
          <t>в т.ч. за счёт кредитной линии — см. справочную строку основного листа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30" customWidth="1" min="4" max="4"/>
  </cols>
  <sheetData>
    <row r="1">
      <c r="B1" s="1" t="inlineStr">
        <is>
          <t>Выручка по дням</t>
        </is>
      </c>
    </row>
    <row r="2">
      <c r="B2" s="2" t="inlineStr">
        <is>
          <t>01–10 — старая управленка, с 11 — новая</t>
        </is>
      </c>
    </row>
    <row r="4" ht="26" customHeight="1">
      <c r="B4" s="5" t="inlineStr">
        <is>
          <t>Дата</t>
        </is>
      </c>
      <c r="C4" s="5" t="inlineStr">
        <is>
          <t>Сумма</t>
        </is>
      </c>
      <c r="D4" s="5" t="inlineStr">
        <is>
          <t>Источник</t>
        </is>
      </c>
    </row>
    <row r="5">
      <c r="B5" s="8" t="inlineStr">
        <is>
          <t>2026-08-01</t>
        </is>
      </c>
      <c r="C5" s="25" t="n">
        <v>4365745</v>
      </c>
      <c r="D5" s="26" t="inlineStr">
        <is>
          <t>старая управленка</t>
        </is>
      </c>
    </row>
    <row r="6">
      <c r="B6" s="8" t="inlineStr">
        <is>
          <t>2026-08-02</t>
        </is>
      </c>
      <c r="C6" s="25" t="n">
        <v>2545000</v>
      </c>
      <c r="D6" s="26" t="inlineStr">
        <is>
          <t>старая управленка</t>
        </is>
      </c>
    </row>
    <row r="7">
      <c r="B7" s="8" t="inlineStr">
        <is>
          <t>2026-08-03</t>
        </is>
      </c>
      <c r="C7" s="25" t="n">
        <v>4277000</v>
      </c>
      <c r="D7" s="26" t="inlineStr">
        <is>
          <t>старая управленка</t>
        </is>
      </c>
    </row>
    <row r="8">
      <c r="B8" s="8" t="inlineStr">
        <is>
          <t>2026-08-04</t>
        </is>
      </c>
      <c r="C8" s="25" t="n">
        <v>4552200</v>
      </c>
      <c r="D8" s="26" t="inlineStr">
        <is>
          <t>старая управленка</t>
        </is>
      </c>
    </row>
    <row r="9">
      <c r="B9" s="8" t="inlineStr">
        <is>
          <t>2026-08-05</t>
        </is>
      </c>
      <c r="C9" s="25" t="n">
        <v>2698594</v>
      </c>
      <c r="D9" s="26" t="inlineStr">
        <is>
          <t>старая управленка</t>
        </is>
      </c>
    </row>
    <row r="10">
      <c r="B10" s="8" t="inlineStr">
        <is>
          <t>2026-08-06</t>
        </is>
      </c>
      <c r="C10" s="25" t="n">
        <v>1615200</v>
      </c>
      <c r="D10" s="26" t="inlineStr">
        <is>
          <t>старая управленка</t>
        </is>
      </c>
    </row>
    <row r="11">
      <c r="B11" s="8" t="inlineStr">
        <is>
          <t>2026-08-07</t>
        </is>
      </c>
      <c r="C11" s="25" t="n">
        <v>3019500</v>
      </c>
      <c r="D11" s="26" t="inlineStr">
        <is>
          <t>старая управленка</t>
        </is>
      </c>
    </row>
    <row r="12">
      <c r="B12" s="8" t="inlineStr">
        <is>
          <t>2026-08-08</t>
        </is>
      </c>
      <c r="C12" s="25" t="n">
        <v>3846700</v>
      </c>
      <c r="D12" s="26" t="inlineStr">
        <is>
          <t>старая управленка</t>
        </is>
      </c>
    </row>
    <row r="13">
      <c r="B13" s="8" t="inlineStr">
        <is>
          <t>2026-08-09</t>
        </is>
      </c>
      <c r="C13" s="25" t="n">
        <v>1491000</v>
      </c>
      <c r="D13" s="26" t="inlineStr">
        <is>
          <t>старая управленка</t>
        </is>
      </c>
    </row>
    <row r="14">
      <c r="B14" s="8" t="inlineStr">
        <is>
          <t>2026-08-10</t>
        </is>
      </c>
      <c r="C14" s="25" t="n">
        <v>3202575</v>
      </c>
      <c r="D14" s="26" t="inlineStr">
        <is>
          <t>старая управленка</t>
        </is>
      </c>
    </row>
    <row r="15">
      <c r="B15" s="8" t="inlineStr">
        <is>
          <t>2026-08-11</t>
        </is>
      </c>
      <c r="C15" s="25" t="n">
        <v>2902000</v>
      </c>
      <c r="D15" s="26" t="inlineStr">
        <is>
          <t>новая управленка</t>
        </is>
      </c>
    </row>
    <row r="16">
      <c r="B16" s="8" t="inlineStr">
        <is>
          <t>2026-08-12</t>
        </is>
      </c>
      <c r="C16" s="25" t="n">
        <v>5222500</v>
      </c>
      <c r="D16" s="26" t="inlineStr">
        <is>
          <t>новая управленка</t>
        </is>
      </c>
    </row>
    <row r="17">
      <c r="B17" s="8" t="inlineStr">
        <is>
          <t>2026-08-13</t>
        </is>
      </c>
      <c r="C17" s="25" t="n">
        <v>5695800</v>
      </c>
      <c r="D17" s="26" t="inlineStr">
        <is>
          <t>новая управленка</t>
        </is>
      </c>
    </row>
    <row r="18">
      <c r="B18" s="8" t="inlineStr">
        <is>
          <t>2026-08-14</t>
        </is>
      </c>
      <c r="C18" s="25" t="n">
        <v>1905500</v>
      </c>
      <c r="D18" s="26" t="inlineStr">
        <is>
          <t>новая управленка</t>
        </is>
      </c>
    </row>
    <row r="19">
      <c r="B19" s="8" t="inlineStr">
        <is>
          <t>2026-08-15</t>
        </is>
      </c>
      <c r="C19" s="25" t="n">
        <v>4595500</v>
      </c>
      <c r="D19" s="26" t="inlineStr">
        <is>
          <t>новая управленка</t>
        </is>
      </c>
    </row>
    <row r="20">
      <c r="B20" s="8" t="inlineStr">
        <is>
          <t>2026-08-16</t>
        </is>
      </c>
      <c r="C20" s="25" t="n">
        <v>2365500</v>
      </c>
      <c r="D20" s="26" t="inlineStr">
        <is>
          <t>новая управленка</t>
        </is>
      </c>
    </row>
    <row r="21">
      <c r="B21" s="8" t="inlineStr">
        <is>
          <t>2026-08-17</t>
        </is>
      </c>
      <c r="C21" s="25" t="n">
        <v>1636700</v>
      </c>
      <c r="D21" s="26" t="inlineStr">
        <is>
          <t>новая управленка</t>
        </is>
      </c>
    </row>
    <row r="22">
      <c r="B22" s="8" t="inlineStr">
        <is>
          <t>2026-08-18</t>
        </is>
      </c>
      <c r="C22" s="25" t="n">
        <v>2297600</v>
      </c>
      <c r="D22" s="26" t="inlineStr">
        <is>
          <t>новая управленка</t>
        </is>
      </c>
    </row>
    <row r="23">
      <c r="B23" s="8" t="inlineStr">
        <is>
          <t>2026-08-19</t>
        </is>
      </c>
      <c r="C23" s="25" t="n">
        <v>4293000</v>
      </c>
      <c r="D23" s="26" t="inlineStr">
        <is>
          <t>новая управленка</t>
        </is>
      </c>
    </row>
    <row r="24">
      <c r="B24" s="8" t="inlineStr">
        <is>
          <t>2026-08-20</t>
        </is>
      </c>
      <c r="C24" s="25" t="n">
        <v>4903500</v>
      </c>
      <c r="D24" s="26" t="inlineStr">
        <is>
          <t>новая управленка</t>
        </is>
      </c>
    </row>
    <row r="25">
      <c r="B25" s="8" t="inlineStr">
        <is>
          <t>2026-08-21</t>
        </is>
      </c>
      <c r="C25" s="25" t="n">
        <v>1239300</v>
      </c>
      <c r="D25" s="26" t="inlineStr">
        <is>
          <t>новая управленка</t>
        </is>
      </c>
    </row>
    <row r="26">
      <c r="B26" s="8" t="inlineStr">
        <is>
          <t>2026-08-22</t>
        </is>
      </c>
      <c r="C26" s="25" t="n">
        <v>3397700</v>
      </c>
      <c r="D26" s="26" t="inlineStr">
        <is>
          <t>новая управленка</t>
        </is>
      </c>
    </row>
    <row r="27">
      <c r="B27" s="8" t="inlineStr">
        <is>
          <t>2026-08-23</t>
        </is>
      </c>
      <c r="C27" s="25" t="n">
        <v>1935000</v>
      </c>
      <c r="D27" s="26" t="inlineStr">
        <is>
          <t>новая управленка</t>
        </is>
      </c>
    </row>
    <row r="28">
      <c r="B28" s="8" t="inlineStr">
        <is>
          <t>2026-08-24</t>
        </is>
      </c>
      <c r="C28" s="25" t="n">
        <v>2027500</v>
      </c>
      <c r="D28" s="26" t="inlineStr">
        <is>
          <t>новая управленка</t>
        </is>
      </c>
    </row>
    <row r="29">
      <c r="B29" s="8" t="inlineStr">
        <is>
          <t>2026-08-25</t>
        </is>
      </c>
      <c r="C29" s="25" t="n">
        <v>5054800</v>
      </c>
      <c r="D29" s="26" t="inlineStr">
        <is>
          <t>новая управленка</t>
        </is>
      </c>
    </row>
    <row r="30">
      <c r="B30" s="8" t="inlineStr">
        <is>
          <t>2026-08-26</t>
        </is>
      </c>
      <c r="C30" s="25" t="n">
        <v>3195500</v>
      </c>
      <c r="D30" s="26" t="inlineStr">
        <is>
          <t>новая управленка</t>
        </is>
      </c>
    </row>
    <row r="31">
      <c r="B31" s="8" t="inlineStr">
        <is>
          <t>2026-08-27</t>
        </is>
      </c>
      <c r="C31" s="25" t="n">
        <v>1630000</v>
      </c>
      <c r="D31" s="26" t="inlineStr">
        <is>
          <t>новая управленка</t>
        </is>
      </c>
    </row>
    <row r="32">
      <c r="B32" s="8" t="inlineStr">
        <is>
          <t>2026-08-28</t>
        </is>
      </c>
      <c r="C32" s="25" t="n">
        <v>2421540</v>
      </c>
      <c r="D32" s="26" t="inlineStr">
        <is>
          <t>новая управленка</t>
        </is>
      </c>
    </row>
    <row r="33">
      <c r="B33" s="8" t="inlineStr">
        <is>
          <t>2026-08-29</t>
        </is>
      </c>
      <c r="C33" s="25" t="n">
        <v>2486500</v>
      </c>
      <c r="D33" s="26" t="inlineStr">
        <is>
          <t>новая управленка</t>
        </is>
      </c>
    </row>
    <row r="34">
      <c r="B34" s="8" t="inlineStr">
        <is>
          <t>2026-08-30</t>
        </is>
      </c>
      <c r="C34" s="25" t="n">
        <v>3711000</v>
      </c>
      <c r="D34" s="26" t="inlineStr">
        <is>
          <t>новая управленка</t>
        </is>
      </c>
    </row>
    <row r="35">
      <c r="B35" s="8" t="inlineStr">
        <is>
          <t>2026-08-31</t>
        </is>
      </c>
      <c r="C35" s="25" t="n">
        <v>3141900</v>
      </c>
      <c r="D35" s="26" t="inlineStr">
        <is>
          <t>новая управленка</t>
        </is>
      </c>
    </row>
    <row r="36">
      <c r="B36" s="11" t="inlineStr">
        <is>
          <t>ИТОГО ЗА МЕСЯЦ</t>
        </is>
      </c>
      <c r="C36" s="12">
        <f>SUM(C5:C35)</f>
        <v/>
      </c>
      <c r="D36" s="13" t="n"/>
      <c r="E36" s="13" t="n"/>
      <c r="F36" s="13" t="n"/>
      <c r="G36" s="13" t="n"/>
      <c r="H36" s="13" t="n"/>
      <c r="I3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2026-09-09T11:22:24Z</dcterms:created>
  <dcterms:modified xsi:type="dcterms:W3CDTF">2026-09-09T11:22:24Z</dcterms:modified>
</cp:coreProperties>
</file>