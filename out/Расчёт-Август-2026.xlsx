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Сверка с банком" sheetId="3" state="visible" r:id="rId3"/>
    <sheet name="Статьи расходов" sheetId="4" state="visible" r:id="rId4"/>
    <sheet name="Выручка по дня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07A70"/>
      <sz val="11"/>
    </font>
    <font>
      <color rgb="008A735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4229901.79</v>
      </c>
      <c r="E35" s="15" t="n">
        <v>13039550.06</v>
      </c>
      <c r="F35" s="15" t="n">
        <v>76010267.98999999</v>
      </c>
      <c r="G35" s="15" t="n">
        <v>261913.99</v>
      </c>
      <c r="H35" s="15" t="n">
        <v>2958609.32</v>
      </c>
      <c r="I35" s="17" t="inlineStr">
        <is>
          <t>по группам врачей</t>
        </is>
      </c>
    </row>
    <row r="36">
      <c r="B36" s="18" t="inlineStr">
        <is>
          <t xml:space="preserve">        наличными</t>
        </is>
      </c>
      <c r="C36" s="19">
        <f>SUM(D36:H36)</f>
        <v/>
      </c>
      <c r="D36" s="19" t="n">
        <v>41946.83</v>
      </c>
      <c r="E36" s="19" t="n">
        <v>3838920.69</v>
      </c>
      <c r="F36" s="19" t="n">
        <v>30259592.24</v>
      </c>
      <c r="G36" s="19" t="n">
        <v>55303.87</v>
      </c>
      <c r="H36" s="19" t="n">
        <v>786136.38</v>
      </c>
      <c r="I36" s="10" t="inlineStr">
        <is>
          <t>касса клиники</t>
        </is>
      </c>
    </row>
    <row r="37">
      <c r="B37" s="18" t="inlineStr">
        <is>
          <t xml:space="preserve">        безналичными</t>
        </is>
      </c>
      <c r="C37" s="19">
        <f>SUM(D37:H37)</f>
        <v/>
      </c>
      <c r="D37" s="19" t="n">
        <v>4187954.96</v>
      </c>
      <c r="E37" s="19" t="n">
        <v>9200629.369999999</v>
      </c>
      <c r="F37" s="19" t="n">
        <v>45750675.75</v>
      </c>
      <c r="G37" s="19" t="n">
        <v>206610.12</v>
      </c>
      <c r="H37" s="19" t="n">
        <v>2172472.94</v>
      </c>
      <c r="I37" s="10" t="inlineStr">
        <is>
          <t>карты и онлайн-оплаты, за вычетом возвратов</t>
        </is>
      </c>
    </row>
    <row r="39">
      <c r="B39" s="9" t="inlineStr">
        <is>
          <t>В том числе по каналам поступления</t>
        </is>
      </c>
      <c r="C39" s="8" t="n"/>
      <c r="D39" s="8" t="n"/>
      <c r="E39" s="8" t="n"/>
      <c r="F39" s="8" t="n"/>
      <c r="G39" s="8" t="n"/>
      <c r="H39" s="8" t="n"/>
      <c r="I39" s="8" t="n"/>
    </row>
    <row r="40">
      <c r="B40" s="6" t="inlineStr">
        <is>
          <t xml:space="preserve">    Наличными</t>
        </is>
      </c>
      <c r="C40" s="7" t="n">
        <v>34981900</v>
      </c>
      <c r="D40" s="8" t="n"/>
      <c r="E40" s="8" t="n"/>
      <c r="F40" s="8" t="n"/>
      <c r="G40" s="8" t="n"/>
      <c r="H40" s="8" t="n"/>
      <c r="I40" s="10" t="inlineStr">
        <is>
          <t>01–10.08: 10 688 500; 11–31.08: 24 293 400</t>
        </is>
      </c>
    </row>
    <row r="41">
      <c r="B41" s="6" t="inlineStr">
        <is>
          <t xml:space="preserve">    Безналичными (карты и онлайн-оплаты)</t>
        </is>
      </c>
      <c r="C41" s="7" t="n">
        <v>61518343.14</v>
      </c>
      <c r="D41" s="8" t="n"/>
      <c r="E41" s="8" t="n"/>
      <c r="F41" s="8" t="n"/>
      <c r="G41" s="8" t="n"/>
      <c r="H41" s="8" t="n"/>
      <c r="I41" s="10" t="inlineStr">
        <is>
          <t>эквайринг, зачисленный банком на расчётный счёт: 61 983 343, за вычетом возвратов пациентам 465 000 — комиссия банка уже удержана</t>
        </is>
      </c>
    </row>
    <row r="42">
      <c r="B42" s="11" t="inlineStr">
        <is>
          <t>Итого по каналам</t>
        </is>
      </c>
      <c r="C42" s="12">
        <f>SUM(C40:C41)</f>
        <v/>
      </c>
      <c r="D42" s="13" t="n"/>
      <c r="E42" s="13" t="n"/>
      <c r="F42" s="13" t="n"/>
      <c r="G42" s="13" t="n"/>
      <c r="H42" s="13" t="n"/>
      <c r="I42" s="20" t="inlineStr">
        <is>
          <t>должно совпасть с итогом выручки выше</t>
        </is>
      </c>
    </row>
    <row r="44">
      <c r="B44" s="21" t="inlineStr">
        <is>
          <t>Справочно: оказано услуг за месяц</t>
        </is>
      </c>
      <c r="C44" s="22" t="n">
        <v>94366672</v>
      </c>
      <c r="D44" s="8" t="n"/>
      <c r="E44" s="8" t="n"/>
      <c r="F44" s="8" t="n"/>
      <c r="G44" s="8" t="n"/>
      <c r="H44" s="8" t="n"/>
      <c r="I44" s="10" t="inlineStr">
        <is>
          <t>01–10.08: 29 476 382; 11–31.08: 64 890 290</t>
        </is>
      </c>
    </row>
    <row r="45">
      <c r="B45" s="21" t="inlineStr">
        <is>
          <t>Справочно: авансы под будущие операции</t>
        </is>
      </c>
      <c r="C45" s="22" t="n">
        <v>2133571.15</v>
      </c>
      <c r="D45" s="8" t="n"/>
      <c r="E45" s="8" t="n"/>
      <c r="F45" s="8" t="n"/>
      <c r="G45" s="8" t="n"/>
      <c r="H45" s="8" t="n"/>
      <c r="I45" s="10" t="inlineStr">
        <is>
          <t>выручка минус оказанные услуги: деньги получены, операция ещё впереди — 2,2% выручки месяца</t>
        </is>
      </c>
    </row>
    <row r="47" ht="22" customHeight="1">
      <c r="B47" s="3" t="inlineStr">
        <is>
          <t>3. РАСХОДЫ (оплаченные)</t>
        </is>
      </c>
      <c r="C47" s="4" t="n"/>
      <c r="D47" s="4" t="n"/>
      <c r="E47" s="4" t="n"/>
      <c r="F47" s="4" t="n"/>
      <c r="G47" s="4" t="n"/>
      <c r="H47" s="4" t="n"/>
      <c r="I47" s="4" t="inlineStr">
        <is>
          <t>делятся между учредителями 50/50</t>
        </is>
      </c>
    </row>
    <row r="48" ht="26" customHeight="1">
      <c r="B48" s="5" t="inlineStr">
        <is>
          <t>Статья</t>
        </is>
      </c>
      <c r="C48" s="5" t="inlineStr">
        <is>
          <t>Всего</t>
        </is>
      </c>
      <c r="D48" s="5" t="inlineStr">
        <is>
          <t>Маланичев</t>
        </is>
      </c>
      <c r="E48" s="5" t="inlineStr">
        <is>
          <t>Погосян</t>
        </is>
      </c>
      <c r="I48" s="5" t="inlineStr">
        <is>
          <t>Комментарий</t>
        </is>
      </c>
    </row>
    <row r="49">
      <c r="B49" s="6" t="inlineStr">
        <is>
          <t>Налоги с ФОТ (счета 68.90 и 69)</t>
        </is>
      </c>
      <c r="C49" s="7" t="n">
        <v>6135792.28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Зарплата по банку</t>
        </is>
      </c>
      <c r="C50" s="7" t="n">
        <v>12490831.85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(общие)</t>
        </is>
      </c>
      <c r="C51" s="7" t="n">
        <v>142409.63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Алименты (удержание из зарплаты)</t>
        </is>
      </c>
      <c r="C52" s="7" t="n">
        <v>38726.66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6" t="inlineStr">
        <is>
          <t>Проценты по кредиту</t>
        </is>
      </c>
      <c r="C53" s="7" t="n">
        <v>204388.93</v>
      </c>
      <c r="D53" s="7">
        <f>C53/2</f>
        <v/>
      </c>
      <c r="E53" s="7">
        <f>C53/2</f>
        <v/>
      </c>
      <c r="F53" s="8" t="n"/>
      <c r="G53" s="8" t="n"/>
      <c r="H53" s="8" t="n"/>
      <c r="I53" s="8" t="n"/>
    </row>
    <row r="54">
      <c r="B54" s="9" t="inlineStr">
        <is>
          <t>Поставщики и подрядчики (счёт 60)</t>
        </is>
      </c>
      <c r="C54" s="23" t="n">
        <v>69792829.48999999</v>
      </c>
      <c r="D54" s="8" t="n"/>
      <c r="E54" s="8" t="n"/>
      <c r="F54" s="8" t="n"/>
      <c r="G54" s="8" t="n"/>
      <c r="H54" s="8" t="n"/>
      <c r="I54" s="10" t="inlineStr">
        <is>
          <t>без оплаченного за счёт кредитной линии</t>
        </is>
      </c>
    </row>
    <row r="55">
      <c r="B55" s="18" t="inlineStr">
        <is>
          <t xml:space="preserve">        в том числе медицинские и гонорары:</t>
        </is>
      </c>
      <c r="C55" s="8" t="n"/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Гонорары ИП хирургов</t>
        </is>
      </c>
      <c r="C56" s="7" t="n">
        <v>39819623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Импланты</t>
        </is>
      </c>
      <c r="C57" s="7" t="n">
        <v>4728500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Медицинские материалы</t>
        </is>
      </c>
      <c r="C58" s="7" t="n">
        <v>3298432.06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ИП Завиркин А.В.</t>
        </is>
      </c>
      <c r="C59" s="7" t="n">
        <v>2887658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Расходка</t>
        </is>
      </c>
      <c r="C60" s="7" t="n">
        <v>2250790.16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Лекарства</t>
        </is>
      </c>
      <c r="C61" s="7" t="n">
        <v>827352.65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ИП Чугуевская (ЗП Заведягин ОН)</t>
        </is>
      </c>
      <c r="C62" s="7" t="n">
        <v>570005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Медоборудование и расходники</t>
        </is>
      </c>
      <c r="C63" s="7" t="n">
        <v>515528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Питание</t>
        </is>
      </c>
      <c r="C64" s="7" t="n">
        <v>376950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Белье</t>
        </is>
      </c>
      <c r="C65" s="7" t="n">
        <v>345200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Аренда Inmode</t>
        </is>
      </c>
      <c r="C66" s="7" t="n">
        <v>210000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Кровь</t>
        </is>
      </c>
      <c r="C67" s="7" t="n">
        <v>181735.9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Медоборудование</t>
        </is>
      </c>
      <c r="C68" s="7" t="n">
        <v>173834.16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Анализы</t>
        </is>
      </c>
      <c r="C69" s="7" t="n">
        <v>102102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Бланки, мед.журналы, мед.книжки</t>
        </is>
      </c>
      <c r="C70" s="7" t="n">
        <v>63600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Вывоз ТКО и мед отходов</t>
        </is>
      </c>
      <c r="C71" s="7" t="n">
        <v>52136.72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Утилизация медотходов</t>
        </is>
      </c>
      <c r="C72" s="7" t="n">
        <v>23625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Наркотики</t>
        </is>
      </c>
      <c r="C73" s="7" t="n">
        <v>12760</v>
      </c>
      <c r="D73" s="8" t="n"/>
      <c r="E73" s="8" t="n"/>
      <c r="F73" s="8" t="n"/>
      <c r="G73" s="8" t="n"/>
      <c r="H73" s="8" t="n"/>
      <c r="I73" s="8" t="n"/>
    </row>
    <row r="74">
      <c r="B74" s="18" t="inlineStr">
        <is>
          <t xml:space="preserve">        в том числе управленческие:</t>
        </is>
      </c>
      <c r="C74" s="8" t="n"/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Урегулирование досудебного спора</t>
        </is>
      </c>
      <c r="C75" s="7" t="n">
        <v>4692500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Маркетинговые услуги</t>
        </is>
      </c>
      <c r="C76" s="7" t="n">
        <v>2505800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Аренда Самокатная 1 стр1</t>
        </is>
      </c>
      <c r="C77" s="7" t="n">
        <v>1155000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Ремонт</t>
        </is>
      </c>
      <c r="C78" s="7" t="n">
        <v>516000</v>
      </c>
      <c r="D78" s="8" t="n"/>
      <c r="E78" s="8" t="n"/>
      <c r="F78" s="8" t="n"/>
      <c r="G78" s="8" t="n"/>
      <c r="H78" s="8" t="n"/>
      <c r="I78" s="8" t="n"/>
    </row>
    <row r="79">
      <c r="B79" s="6" t="inlineStr">
        <is>
          <t xml:space="preserve">            Обслуживание 1СУправление</t>
        </is>
      </c>
      <c r="C79" s="7" t="n">
        <v>441570</v>
      </c>
      <c r="D79" s="8" t="n"/>
      <c r="E79" s="8" t="n"/>
      <c r="F79" s="8" t="n"/>
      <c r="G79" s="8" t="n"/>
      <c r="H79" s="8" t="n"/>
      <c r="I79" s="8" t="n"/>
    </row>
    <row r="80">
      <c r="B80" s="6" t="inlineStr">
        <is>
          <t xml:space="preserve">            Фото видео</t>
        </is>
      </c>
      <c r="C80" s="7" t="n">
        <v>337440</v>
      </c>
      <c r="D80" s="8" t="n"/>
      <c r="E80" s="8" t="n"/>
      <c r="F80" s="8" t="n"/>
      <c r="G80" s="8" t="n"/>
      <c r="H80" s="8" t="n"/>
      <c r="I80" s="8" t="n"/>
    </row>
    <row r="81">
      <c r="B81" s="6" t="inlineStr">
        <is>
          <t xml:space="preserve">            Услуги юриста</t>
        </is>
      </c>
      <c r="C81" s="7" t="n">
        <v>330000</v>
      </c>
      <c r="D81" s="8" t="n"/>
      <c r="E81" s="8" t="n"/>
      <c r="F81" s="8" t="n"/>
      <c r="G81" s="8" t="n"/>
      <c r="H81" s="8" t="n"/>
      <c r="I81" s="8" t="n"/>
    </row>
    <row r="82">
      <c r="B82" s="6" t="inlineStr">
        <is>
          <t xml:space="preserve">            Складской учет</t>
        </is>
      </c>
      <c r="C82" s="7" t="n">
        <v>320000</v>
      </c>
      <c r="D82" s="8" t="n"/>
      <c r="E82" s="8" t="n"/>
      <c r="F82" s="8" t="n"/>
      <c r="G82" s="8" t="n"/>
      <c r="H82" s="8" t="n"/>
      <c r="I82" s="8" t="n"/>
    </row>
    <row r="83">
      <c r="B83" s="6" t="inlineStr">
        <is>
          <t xml:space="preserve">            ПО и IT-сервисы</t>
        </is>
      </c>
      <c r="C83" s="7" t="n">
        <v>279349.86</v>
      </c>
      <c r="D83" s="8" t="n"/>
      <c r="E83" s="8" t="n"/>
      <c r="F83" s="8" t="n"/>
      <c r="G83" s="8" t="n"/>
      <c r="H83" s="8" t="n"/>
      <c r="I83" s="8" t="n"/>
    </row>
    <row r="84">
      <c r="B84" s="6" t="inlineStr">
        <is>
          <t xml:space="preserve">            Битрикс 24</t>
        </is>
      </c>
      <c r="C84" s="7" t="n">
        <v>264850</v>
      </c>
      <c r="D84" s="8" t="n"/>
      <c r="E84" s="8" t="n"/>
      <c r="F84" s="8" t="n"/>
      <c r="G84" s="8" t="n"/>
      <c r="H84" s="8" t="n"/>
      <c r="I84" s="8" t="n"/>
    </row>
    <row r="85">
      <c r="B85" s="6" t="inlineStr">
        <is>
          <t xml:space="preserve">            Сайт</t>
        </is>
      </c>
      <c r="C85" s="7" t="n">
        <v>254000</v>
      </c>
      <c r="D85" s="8" t="n"/>
      <c r="E85" s="8" t="n"/>
      <c r="F85" s="8" t="n"/>
      <c r="G85" s="8" t="n"/>
      <c r="H85" s="8" t="n"/>
      <c r="I85" s="8" t="n"/>
    </row>
    <row r="86">
      <c r="B86" s="6" t="inlineStr">
        <is>
          <t xml:space="preserve">            IT услуги</t>
        </is>
      </c>
      <c r="C86" s="7" t="n">
        <v>247935.06</v>
      </c>
      <c r="D86" s="8" t="n"/>
      <c r="E86" s="8" t="n"/>
      <c r="F86" s="8" t="n"/>
      <c r="G86" s="8" t="n"/>
      <c r="H86" s="8" t="n"/>
      <c r="I86" s="8" t="n"/>
    </row>
    <row r="87">
      <c r="B87" s="6" t="inlineStr">
        <is>
          <t xml:space="preserve">            Реклама</t>
        </is>
      </c>
      <c r="C87" s="7" t="n">
        <v>227800</v>
      </c>
      <c r="D87" s="8" t="n"/>
      <c r="E87" s="8" t="n"/>
      <c r="F87" s="8" t="n"/>
      <c r="G87" s="8" t="n"/>
      <c r="H87" s="8" t="n"/>
      <c r="I87" s="8" t="n"/>
    </row>
    <row r="88">
      <c r="B88" s="6" t="inlineStr">
        <is>
          <t xml:space="preserve">            Светильники и оборудование</t>
        </is>
      </c>
      <c r="C88" s="7" t="n">
        <v>179400</v>
      </c>
      <c r="D88" s="8" t="n"/>
      <c r="E88" s="8" t="n"/>
      <c r="F88" s="8" t="n"/>
      <c r="G88" s="8" t="n"/>
      <c r="H88" s="8" t="n"/>
      <c r="I88" s="8" t="n"/>
    </row>
    <row r="89">
      <c r="B89" s="6" t="inlineStr">
        <is>
          <t xml:space="preserve">            Услуги инженера</t>
        </is>
      </c>
      <c r="C89" s="7" t="n">
        <v>159575</v>
      </c>
      <c r="D89" s="8" t="n"/>
      <c r="E89" s="8" t="n"/>
      <c r="F89" s="8" t="n"/>
      <c r="G89" s="8" t="n"/>
      <c r="H89" s="8" t="n"/>
      <c r="I89" s="8" t="n"/>
    </row>
    <row r="90">
      <c r="B90" s="6" t="inlineStr">
        <is>
          <t xml:space="preserve">            Канц и хоз расходы</t>
        </is>
      </c>
      <c r="C90" s="7" t="n">
        <v>157671.72</v>
      </c>
      <c r="D90" s="8" t="n"/>
      <c r="E90" s="8" t="n"/>
      <c r="F90" s="8" t="n"/>
      <c r="G90" s="8" t="n"/>
      <c r="H90" s="8" t="n"/>
      <c r="I90" s="8" t="n"/>
    </row>
    <row r="91">
      <c r="B91" s="6" t="inlineStr">
        <is>
          <t xml:space="preserve">            Сервис речевой аналитики</t>
        </is>
      </c>
      <c r="C91" s="7" t="n">
        <v>152250</v>
      </c>
      <c r="D91" s="8" t="n"/>
      <c r="E91" s="8" t="n"/>
      <c r="F91" s="8" t="n"/>
      <c r="G91" s="8" t="n"/>
      <c r="H91" s="8" t="n"/>
      <c r="I91" s="8" t="n"/>
    </row>
    <row r="92">
      <c r="B92" s="6" t="inlineStr">
        <is>
          <t xml:space="preserve">            Общехозяйственные</t>
        </is>
      </c>
      <c r="C92" s="7" t="n">
        <v>137116</v>
      </c>
      <c r="D92" s="8" t="n"/>
      <c r="E92" s="8" t="n"/>
      <c r="F92" s="8" t="n"/>
      <c r="G92" s="8" t="n"/>
      <c r="H92" s="8" t="n"/>
      <c r="I92" s="8" t="n"/>
    </row>
    <row r="93">
      <c r="B93" s="6" t="inlineStr">
        <is>
          <t xml:space="preserve">            Косметология</t>
        </is>
      </c>
      <c r="C93" s="7" t="n">
        <v>114858</v>
      </c>
      <c r="D93" s="8" t="n"/>
      <c r="E93" s="8" t="n"/>
      <c r="F93" s="8" t="n"/>
      <c r="G93" s="8" t="n"/>
      <c r="H93" s="8" t="n"/>
      <c r="I93" s="8" t="n"/>
    </row>
    <row r="94">
      <c r="B94" s="6" t="inlineStr">
        <is>
          <t xml:space="preserve">            Такси</t>
        </is>
      </c>
      <c r="C94" s="7" t="n">
        <v>100000</v>
      </c>
      <c r="D94" s="8" t="n"/>
      <c r="E94" s="8" t="n"/>
      <c r="F94" s="8" t="n"/>
      <c r="G94" s="8" t="n"/>
      <c r="H94" s="8" t="n"/>
      <c r="I94" s="8" t="n"/>
    </row>
    <row r="95">
      <c r="B95" s="6" t="inlineStr">
        <is>
          <t xml:space="preserve">            Внедрение финансового учёта</t>
        </is>
      </c>
      <c r="C95" s="7" t="n">
        <v>85000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 xml:space="preserve">            Краснодар</t>
        </is>
      </c>
      <c r="C96" s="7" t="n">
        <v>81075</v>
      </c>
      <c r="D96" s="8" t="n"/>
      <c r="E96" s="8" t="n"/>
      <c r="F96" s="8" t="n"/>
      <c r="G96" s="8" t="n"/>
      <c r="H96" s="8" t="n"/>
      <c r="I96" s="8" t="n"/>
    </row>
    <row r="97">
      <c r="B97" s="6" t="inlineStr">
        <is>
          <t xml:space="preserve">            Хоз расходы</t>
        </is>
      </c>
      <c r="C97" s="7" t="n">
        <v>77247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 xml:space="preserve">            Связь</t>
        </is>
      </c>
      <c r="C98" s="7" t="n">
        <v>53760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 xml:space="preserve">            Кофе</t>
        </is>
      </c>
      <c r="C99" s="7" t="n">
        <v>48301.44</v>
      </c>
      <c r="D99" s="8" t="n"/>
      <c r="E99" s="8" t="n"/>
      <c r="F99" s="8" t="n"/>
      <c r="G99" s="8" t="n"/>
      <c r="H99" s="8" t="n"/>
      <c r="I99" s="8" t="n"/>
    </row>
    <row r="100">
      <c r="B100" s="6" t="inlineStr">
        <is>
          <t xml:space="preserve">            Цветы</t>
        </is>
      </c>
      <c r="C100" s="7" t="n">
        <v>40000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 xml:space="preserve">            Программное обнспечение</t>
        </is>
      </c>
      <c r="C101" s="7" t="n">
        <v>39200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 xml:space="preserve">            Средства гигиены</t>
        </is>
      </c>
      <c r="C102" s="7" t="n">
        <v>37568</v>
      </c>
      <c r="D102" s="8" t="n"/>
      <c r="E102" s="8" t="n"/>
      <c r="F102" s="8" t="n"/>
      <c r="G102" s="8" t="n"/>
      <c r="H102" s="8" t="n"/>
      <c r="I102" s="8" t="n"/>
    </row>
    <row r="103">
      <c r="B103" s="6" t="inlineStr">
        <is>
          <t xml:space="preserve">            Доктор Дискаунт (назначение уточняется)</t>
        </is>
      </c>
      <c r="C103" s="7" t="n">
        <v>35920.61</v>
      </c>
      <c r="D103" s="8" t="n"/>
      <c r="E103" s="8" t="n"/>
      <c r="F103" s="8" t="n"/>
      <c r="G103" s="8" t="n"/>
      <c r="H103" s="8" t="n"/>
      <c r="I103" s="8" t="n"/>
    </row>
    <row r="104">
      <c r="B104" s="6" t="inlineStr">
        <is>
          <t xml:space="preserve">            Капвложения и работы</t>
        </is>
      </c>
      <c r="C104" s="7" t="n">
        <v>29800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 xml:space="preserve">            Подбор персонала</t>
        </is>
      </c>
      <c r="C105" s="7" t="n">
        <v>27629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 xml:space="preserve">            Охрана</t>
        </is>
      </c>
      <c r="C106" s="7" t="n">
        <v>26600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 xml:space="preserve">            Мебель, инвентарь</t>
        </is>
      </c>
      <c r="C107" s="7" t="n">
        <v>22130</v>
      </c>
      <c r="D107" s="8" t="n"/>
      <c r="E107" s="8" t="n"/>
      <c r="F107" s="8" t="n"/>
      <c r="G107" s="8" t="n"/>
      <c r="H107" s="8" t="n"/>
      <c r="I107" s="8" t="n"/>
    </row>
    <row r="108">
      <c r="B108" s="6" t="inlineStr">
        <is>
          <t xml:space="preserve">            Вода</t>
        </is>
      </c>
      <c r="C108" s="7" t="n">
        <v>20000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 xml:space="preserve">            Техподдержка ККТ</t>
        </is>
      </c>
      <c r="C109" s="7" t="n">
        <v>17900</v>
      </c>
      <c r="D109" s="8" t="n"/>
      <c r="E109" s="8" t="n"/>
      <c r="F109" s="8" t="n"/>
      <c r="G109" s="8" t="n"/>
      <c r="H109" s="8" t="n"/>
      <c r="I109" s="8" t="n"/>
    </row>
    <row r="110">
      <c r="B110" s="6" t="inlineStr">
        <is>
          <t xml:space="preserve">            Электрооборудование</t>
        </is>
      </c>
      <c r="C110" s="7" t="n">
        <v>17740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 xml:space="preserve">            Дизайн-услуги</t>
        </is>
      </c>
      <c r="C111" s="7" t="n">
        <v>17060</v>
      </c>
      <c r="D111" s="8" t="n"/>
      <c r="E111" s="8" t="n"/>
      <c r="F111" s="8" t="n"/>
      <c r="G111" s="8" t="n"/>
      <c r="H111" s="8" t="n"/>
      <c r="I111" s="8" t="n"/>
    </row>
    <row r="112">
      <c r="B112" s="6" t="inlineStr">
        <is>
          <t xml:space="preserve">            Интернет</t>
        </is>
      </c>
      <c r="C112" s="7" t="n">
        <v>16235.15</v>
      </c>
      <c r="D112" s="8" t="n"/>
      <c r="E112" s="8" t="n"/>
      <c r="F112" s="8" t="n"/>
      <c r="G112" s="8" t="n"/>
      <c r="H112" s="8" t="n"/>
      <c r="I112" s="8" t="n"/>
    </row>
    <row r="113">
      <c r="B113" s="6" t="inlineStr">
        <is>
          <t xml:space="preserve">            Расходник</t>
        </is>
      </c>
      <c r="C113" s="7" t="n">
        <v>15120</v>
      </c>
      <c r="D113" s="8" t="n"/>
      <c r="E113" s="8" t="n"/>
      <c r="F113" s="8" t="n"/>
      <c r="G113" s="8" t="n"/>
      <c r="H113" s="8" t="n"/>
      <c r="I113" s="8" t="n"/>
    </row>
    <row r="114">
      <c r="B114" s="6" t="inlineStr">
        <is>
          <t xml:space="preserve">            Аренда кофемашины</t>
        </is>
      </c>
      <c r="C114" s="7" t="n">
        <v>15000</v>
      </c>
      <c r="D114" s="8" t="n"/>
      <c r="E114" s="8" t="n"/>
      <c r="F114" s="8" t="n"/>
      <c r="G114" s="8" t="n"/>
      <c r="H114" s="8" t="n"/>
      <c r="I114" s="8" t="n"/>
    </row>
    <row r="115">
      <c r="B115" s="6" t="inlineStr">
        <is>
          <t xml:space="preserve">            Обучение персонала</t>
        </is>
      </c>
      <c r="C115" s="7" t="n">
        <v>10900</v>
      </c>
      <c r="D115" s="8" t="n"/>
      <c r="E115" s="8" t="n"/>
      <c r="F115" s="8" t="n"/>
      <c r="G115" s="8" t="n"/>
      <c r="H115" s="8" t="n"/>
      <c r="I115" s="8" t="n"/>
    </row>
    <row r="116">
      <c r="B116" s="6" t="inlineStr">
        <is>
          <t xml:space="preserve">            Общехоз.расходы прочие</t>
        </is>
      </c>
      <c r="C116" s="7" t="n">
        <v>10000</v>
      </c>
      <c r="D116" s="8" t="n"/>
      <c r="E116" s="8" t="n"/>
      <c r="F116" s="8" t="n"/>
      <c r="G116" s="8" t="n"/>
      <c r="H116" s="8" t="n"/>
      <c r="I116" s="8" t="n"/>
    </row>
    <row r="117">
      <c r="B117" s="6" t="inlineStr">
        <is>
          <t xml:space="preserve">            ПроДокторов</t>
        </is>
      </c>
      <c r="C117" s="7" t="n">
        <v>10000</v>
      </c>
      <c r="D117" s="8" t="n"/>
      <c r="E117" s="8" t="n"/>
      <c r="F117" s="8" t="n"/>
      <c r="G117" s="8" t="n"/>
      <c r="H117" s="8" t="n"/>
      <c r="I117" s="8" t="n"/>
    </row>
    <row r="118">
      <c r="B118" s="6" t="inlineStr">
        <is>
          <t xml:space="preserve">            Доставка</t>
        </is>
      </c>
      <c r="C118" s="7" t="n">
        <v>7495</v>
      </c>
      <c r="D118" s="8" t="n"/>
      <c r="E118" s="8" t="n"/>
      <c r="F118" s="8" t="n"/>
      <c r="G118" s="8" t="n"/>
      <c r="H118" s="8" t="n"/>
      <c r="I118" s="8" t="n"/>
    </row>
    <row r="119">
      <c r="B119" s="6" t="inlineStr">
        <is>
          <t xml:space="preserve">            ТО СКУД, пожарной сигнализации</t>
        </is>
      </c>
      <c r="C119" s="7" t="n">
        <v>7000</v>
      </c>
      <c r="D119" s="8" t="n"/>
      <c r="E119" s="8" t="n"/>
      <c r="F119" s="8" t="n"/>
      <c r="G119" s="8" t="n"/>
      <c r="H119" s="8" t="n"/>
      <c r="I119" s="8" t="n"/>
    </row>
    <row r="120">
      <c r="B120" s="6" t="inlineStr">
        <is>
          <t xml:space="preserve">            Оргтехника</t>
        </is>
      </c>
      <c r="C120" s="7" t="n">
        <v>5100</v>
      </c>
      <c r="D120" s="8" t="n"/>
      <c r="E120" s="8" t="n"/>
      <c r="F120" s="8" t="n"/>
      <c r="G120" s="8" t="n"/>
      <c r="H120" s="8" t="n"/>
      <c r="I120" s="8" t="n"/>
    </row>
    <row r="121">
      <c r="B121" s="6" t="inlineStr">
        <is>
          <t xml:space="preserve">            Обслуживание аквариума</t>
        </is>
      </c>
      <c r="C121" s="7" t="n">
        <v>5000</v>
      </c>
      <c r="D121" s="8" t="n"/>
      <c r="E121" s="8" t="n"/>
      <c r="F121" s="8" t="n"/>
      <c r="G121" s="8" t="n"/>
      <c r="H121" s="8" t="n"/>
      <c r="I121" s="8" t="n"/>
    </row>
    <row r="122">
      <c r="B122" s="6" t="inlineStr">
        <is>
          <t xml:space="preserve">            Консультационные услуги</t>
        </is>
      </c>
      <c r="C122" s="7" t="n">
        <v>1100</v>
      </c>
      <c r="D122" s="8" t="n"/>
      <c r="E122" s="8" t="n"/>
      <c r="F122" s="8" t="n"/>
      <c r="G122" s="8" t="n"/>
      <c r="H122" s="8" t="n"/>
      <c r="I122" s="8" t="n"/>
    </row>
    <row r="123">
      <c r="B123" s="24" t="inlineStr">
        <is>
          <t xml:space="preserve">        − личные расходы Маланичева, они внутри счёта 60</t>
        </is>
      </c>
      <c r="C123" s="25" t="n">
        <v>-170861.64</v>
      </c>
      <c r="D123" s="8" t="n"/>
      <c r="E123" s="8" t="n"/>
      <c r="F123" s="8" t="n"/>
      <c r="G123" s="8" t="n"/>
      <c r="H123" s="8" t="n"/>
      <c r="I123" s="10" t="inlineStr">
        <is>
          <t>заказано лично под врача — пополам не делится</t>
        </is>
      </c>
    </row>
    <row r="124">
      <c r="B124" s="24" t="inlineStr">
        <is>
          <t xml:space="preserve">        − личные расходы Погосяна, они внутри счёта 60</t>
        </is>
      </c>
      <c r="C124" s="25" t="n">
        <v>-1487162.05</v>
      </c>
      <c r="D124" s="8" t="n"/>
      <c r="E124" s="8" t="n"/>
      <c r="F124" s="8" t="n"/>
      <c r="G124" s="8" t="n"/>
      <c r="H124" s="8" t="n"/>
      <c r="I124" s="10" t="inlineStr">
        <is>
          <t>заказано лично под врача — пополам не делится</t>
        </is>
      </c>
    </row>
    <row r="125">
      <c r="B125" s="9" t="inlineStr">
        <is>
          <t>Поставщики к делению пополам</t>
        </is>
      </c>
      <c r="C125" s="23">
        <f>C54+C123+C124</f>
        <v/>
      </c>
      <c r="D125" s="23">
        <f>C125/2</f>
        <v/>
      </c>
      <c r="E125" s="23">
        <f>C125/2</f>
        <v/>
      </c>
      <c r="F125" s="8" t="n"/>
      <c r="G125" s="8" t="n"/>
      <c r="H125" s="8" t="n"/>
      <c r="I125" s="8" t="n"/>
    </row>
    <row r="126">
      <c r="B126" s="14" t="inlineStr">
        <is>
          <t>ИТОГО РАСХОДЫ К ДЕЛЕНИЮ ПОПОЛАМ</t>
        </is>
      </c>
      <c r="C126" s="15">
        <f>SUM(C49:C53)+C125</f>
        <v/>
      </c>
      <c r="D126" s="15">
        <f>C126/2</f>
        <v/>
      </c>
      <c r="E126" s="15">
        <f>C126/2</f>
        <v/>
      </c>
      <c r="F126" s="16" t="n"/>
      <c r="G126" s="16" t="n"/>
      <c r="H126" s="16" t="n"/>
      <c r="I126" s="17" t="inlineStr">
        <is>
          <t>строки «в том числе» в сумму не входят</t>
        </is>
      </c>
    </row>
    <row r="127">
      <c r="B127" s="6" t="inlineStr">
        <is>
          <t>+ Личные расходы, каждому свои</t>
        </is>
      </c>
      <c r="C127" s="7">
        <f>D127+E127</f>
        <v/>
      </c>
      <c r="D127" s="7" t="n">
        <v>170861.64</v>
      </c>
      <c r="E127" s="7" t="n">
        <v>1487162.05</v>
      </c>
      <c r="F127" s="8" t="n"/>
      <c r="G127" s="8" t="n"/>
      <c r="H127" s="8" t="n"/>
      <c r="I127" s="10" t="inlineStr">
        <is>
          <t>те самые суммы, что вычтены из счёта 60 выше</t>
        </is>
      </c>
    </row>
    <row r="128">
      <c r="B128" s="18" t="inlineStr">
        <is>
          <t xml:space="preserve">        Анализы</t>
        </is>
      </c>
      <c r="C128" s="19">
        <f>D128+E128</f>
        <v/>
      </c>
      <c r="D128" s="19" t="n">
        <v>30620</v>
      </c>
      <c r="E128" s="19" t="n">
        <v>12248</v>
      </c>
      <c r="F128" s="8" t="n"/>
      <c r="G128" s="8" t="n"/>
      <c r="H128" s="8" t="n"/>
      <c r="I128" s="8" t="n"/>
    </row>
    <row r="129">
      <c r="B129" s="18" t="inlineStr">
        <is>
          <t xml:space="preserve">        Материалы за операции</t>
        </is>
      </c>
      <c r="C129" s="19">
        <f>D129+E129</f>
        <v/>
      </c>
      <c r="D129" s="19" t="n">
        <v>140241.64</v>
      </c>
      <c r="E129" s="19" t="n">
        <v>1474914.05</v>
      </c>
      <c r="F129" s="8" t="n"/>
      <c r="G129" s="8" t="n"/>
      <c r="H129" s="8" t="n"/>
      <c r="I129" s="8" t="n"/>
    </row>
    <row r="130">
      <c r="B130" s="14" t="inlineStr">
        <is>
          <t>ДОЛЯ РАСХОДОВ КАЖДОГО</t>
        </is>
      </c>
      <c r="C130" s="15">
        <f>D130+E130</f>
        <v/>
      </c>
      <c r="D130" s="15">
        <f>D126+D127</f>
        <v/>
      </c>
      <c r="E130" s="15">
        <f>E126+E127</f>
        <v/>
      </c>
      <c r="F130" s="16" t="n"/>
      <c r="G130" s="16" t="n"/>
      <c r="H130" s="16" t="n"/>
      <c r="I130" s="17" t="inlineStr">
        <is>
          <t>к делению пополам плюс свои личные</t>
        </is>
      </c>
    </row>
    <row r="131">
      <c r="B131" s="21" t="inlineStr">
        <is>
          <t>Справочно: ремонт за счёт кредитной линии</t>
        </is>
      </c>
      <c r="C131" s="22" t="n">
        <v>11000000</v>
      </c>
      <c r="D131" s="8" t="n"/>
      <c r="E131" s="8" t="n"/>
      <c r="F131" s="8" t="n"/>
      <c r="G131" s="8" t="n"/>
      <c r="H131" s="8" t="n"/>
      <c r="I131" s="10" t="inlineStr">
        <is>
          <t>в расходы учредителей не входит — стройка идёт на заёмные</t>
        </is>
      </c>
    </row>
    <row r="133" ht="22" customHeight="1">
      <c r="B133" s="3" t="inlineStr">
        <is>
          <t>4. РАСЧЁТ ДОХОДА УЧРЕДИТЕЛЕЙ</t>
        </is>
      </c>
      <c r="C133" s="4" t="n"/>
      <c r="D133" s="4" t="n"/>
      <c r="E133" s="4" t="n"/>
      <c r="F133" s="4" t="n"/>
      <c r="G133" s="4" t="n"/>
      <c r="H133" s="4" t="n"/>
      <c r="I133" s="4" t="inlineStr">
        <is>
          <t>методика 50/50</t>
        </is>
      </c>
    </row>
    <row r="134" ht="26" customHeight="1">
      <c r="B134" s="5" t="inlineStr">
        <is>
          <t>Шаг</t>
        </is>
      </c>
      <c r="C134" s="5" t="inlineStr">
        <is>
          <t>Всего</t>
        </is>
      </c>
      <c r="D134" s="5" t="inlineStr">
        <is>
          <t>Маланичев</t>
        </is>
      </c>
      <c r="E134" s="5" t="inlineStr">
        <is>
          <t>Погосян</t>
        </is>
      </c>
      <c r="I134" s="5" t="inlineStr">
        <is>
          <t>Как считается</t>
        </is>
      </c>
    </row>
    <row r="135">
      <c r="B135" s="6" t="inlineStr">
        <is>
          <t>1. Личная выручка (свои операции)</t>
        </is>
      </c>
      <c r="C135" s="7">
        <f>D135+E135</f>
        <v/>
      </c>
      <c r="D135" s="7">
        <f>D35</f>
        <v/>
      </c>
      <c r="E135" s="7">
        <f>E35</f>
        <v/>
      </c>
      <c r="F135" s="8" t="n"/>
      <c r="G135" s="8" t="n"/>
      <c r="H135" s="8" t="n"/>
      <c r="I135" s="10" t="inlineStr">
        <is>
          <t>своя строка из блока «Выручка»</t>
        </is>
      </c>
    </row>
    <row r="136">
      <c r="B136" s="6" t="inlineStr">
        <is>
          <t>2. Половина выручки других хирургов</t>
        </is>
      </c>
      <c r="C136" s="7">
        <f>F35</f>
        <v/>
      </c>
      <c r="D136" s="7">
        <f>F35/2</f>
        <v/>
      </c>
      <c r="E136" s="7">
        <f>F35/2</f>
        <v/>
      </c>
      <c r="F136" s="8" t="n"/>
      <c r="G136" s="8" t="n"/>
      <c r="H136" s="8" t="n"/>
      <c r="I136" s="8" t="n"/>
    </row>
    <row r="137">
      <c r="B137" s="6" t="inlineStr">
        <is>
          <t>3. Половина выручки косметологии</t>
        </is>
      </c>
      <c r="C137" s="7">
        <f>H35</f>
        <v/>
      </c>
      <c r="D137" s="7">
        <f>H35/2</f>
        <v/>
      </c>
      <c r="E137" s="7">
        <f>H35/2</f>
        <v/>
      </c>
      <c r="F137" s="8" t="n"/>
      <c r="G137" s="8" t="n"/>
      <c r="H137" s="8" t="n"/>
      <c r="I137" s="8" t="n"/>
    </row>
    <row r="138">
      <c r="B138" s="6" t="inlineStr">
        <is>
          <t>4. Половина прочих доходов</t>
        </is>
      </c>
      <c r="C138" s="7">
        <f>G35</f>
        <v/>
      </c>
      <c r="D138" s="7">
        <f>G35/2</f>
        <v/>
      </c>
      <c r="E138" s="7">
        <f>G35/2</f>
        <v/>
      </c>
      <c r="F138" s="8" t="n"/>
      <c r="G138" s="8" t="n"/>
      <c r="H138" s="8" t="n"/>
      <c r="I138" s="8" t="n"/>
    </row>
    <row r="139">
      <c r="B139" s="6" t="inlineStr">
        <is>
          <t>5. Половина процентов по депозитам</t>
        </is>
      </c>
      <c r="C139" s="7" t="n">
        <v>396337.24</v>
      </c>
      <c r="D139" s="7">
        <f>C139/2</f>
        <v/>
      </c>
      <c r="E139" s="7">
        <f>C139/2</f>
        <v/>
      </c>
      <c r="F139" s="8" t="n"/>
      <c r="G139" s="8" t="n"/>
      <c r="H139" s="8" t="n"/>
      <c r="I139" s="10" t="inlineStr">
        <is>
          <t>начислены банком на остатки</t>
        </is>
      </c>
    </row>
    <row r="140">
      <c r="B140" s="24" t="inlineStr">
        <is>
          <t>6. Минус доля расходов</t>
        </is>
      </c>
      <c r="C140" s="25">
        <f>-C130</f>
        <v/>
      </c>
      <c r="D140" s="25">
        <f>-D130</f>
        <v/>
      </c>
      <c r="E140" s="25">
        <f>-E130</f>
        <v/>
      </c>
      <c r="F140" s="8" t="n"/>
      <c r="G140" s="8" t="n"/>
      <c r="H140" s="8" t="n"/>
      <c r="I140" s="10" t="inlineStr">
        <is>
          <t>строка «Доля расходов каждого» блока 3</t>
        </is>
      </c>
    </row>
    <row r="141">
      <c r="B141" s="14" t="inlineStr">
        <is>
          <t>ДОХОД ЗА МЕСЯЦ</t>
        </is>
      </c>
      <c r="C141" s="15">
        <f>SUM(C135:C140)</f>
        <v/>
      </c>
      <c r="D141" s="15">
        <f>SUM(D135:D140)</f>
        <v/>
      </c>
      <c r="E141" s="15">
        <f>SUM(E135:E140)</f>
        <v/>
      </c>
      <c r="F141" s="16" t="n"/>
      <c r="G141" s="16" t="n"/>
      <c r="H141" s="16" t="n"/>
      <c r="I141" s="16" t="n"/>
    </row>
    <row r="143" ht="22" customHeight="1">
      <c r="B143" s="3" t="inlineStr">
        <is>
          <t>5. К ВЫПЛАТЕ УЧРЕДИТЕЛЯМ</t>
        </is>
      </c>
      <c r="C143" s="4" t="n"/>
      <c r="D143" s="4" t="n"/>
      <c r="E143" s="4" t="n"/>
      <c r="F143" s="4" t="n"/>
      <c r="G143" s="4" t="n"/>
      <c r="H143" s="4" t="n"/>
      <c r="I143" s="4" t="inlineStr"/>
    </row>
    <row r="144" ht="26" customHeight="1">
      <c r="B144" s="5" t="inlineStr">
        <is>
          <t>Показатель</t>
        </is>
      </c>
      <c r="C144" s="5" t="inlineStr">
        <is>
          <t>Всего</t>
        </is>
      </c>
      <c r="D144" s="5" t="inlineStr">
        <is>
          <t>Маланичев</t>
        </is>
      </c>
      <c r="E144" s="5" t="inlineStr">
        <is>
          <t>Погосян</t>
        </is>
      </c>
      <c r="I144" s="5" t="inlineStr">
        <is>
          <t>Комментарий</t>
        </is>
      </c>
    </row>
    <row r="145">
      <c r="B145" s="6" t="inlineStr">
        <is>
          <t>Доход за месяц</t>
        </is>
      </c>
      <c r="C145" s="7">
        <f>C141</f>
        <v/>
      </c>
      <c r="D145" s="7">
        <f>D141</f>
        <v/>
      </c>
      <c r="E145" s="7">
        <f>E141</f>
        <v/>
      </c>
      <c r="F145" s="8" t="n"/>
      <c r="G145" s="8" t="n"/>
      <c r="H145" s="8" t="n"/>
      <c r="I145" s="8" t="n"/>
    </row>
    <row r="146">
      <c r="B146" s="6" t="inlineStr">
        <is>
          <t>Остаток с прошлого месяца</t>
        </is>
      </c>
      <c r="C146" s="7">
        <f>D146+E146</f>
        <v/>
      </c>
      <c r="D146" s="7" t="n">
        <v>30658896.02</v>
      </c>
      <c r="E146" s="7" t="n">
        <v>45275972.21</v>
      </c>
      <c r="F146" s="8" t="n"/>
      <c r="G146" s="8" t="n"/>
      <c r="H146" s="8" t="n"/>
      <c r="I146" s="10" t="inlineStr">
        <is>
          <t>ручной ввод бухгалтерии</t>
        </is>
      </c>
    </row>
    <row r="147">
      <c r="B147" s="24" t="inlineStr">
        <is>
          <t>Выплачены дивиденды</t>
        </is>
      </c>
      <c r="C147" s="25">
        <f>D147+E147</f>
        <v/>
      </c>
      <c r="D147" s="25" t="n">
        <v>-5882353</v>
      </c>
      <c r="E147" s="25" t="n">
        <v>-5882353</v>
      </c>
      <c r="F147" s="8" t="n"/>
      <c r="G147" s="8" t="n"/>
      <c r="H147" s="8" t="n"/>
      <c r="I147" s="10" t="inlineStr">
        <is>
          <t>начислено с НДФЛ</t>
        </is>
      </c>
    </row>
    <row r="148">
      <c r="B148" s="14" t="inlineStr">
        <is>
          <t>ИТОГО К ВЫПЛАТЕ НА 31.08.2026</t>
        </is>
      </c>
      <c r="C148" s="15">
        <f>SUM(C145:C147)</f>
        <v/>
      </c>
      <c r="D148" s="15">
        <f>SUM(D145:D147)</f>
        <v/>
      </c>
      <c r="E148" s="15">
        <f>SUM(E145:E147)</f>
        <v/>
      </c>
      <c r="F148" s="16" t="n"/>
      <c r="G148" s="16" t="n"/>
      <c r="H148" s="16" t="n"/>
      <c r="I148" s="16" t="n"/>
    </row>
    <row r="150" ht="22" customHeight="1">
      <c r="B150" s="3" t="inlineStr">
        <is>
          <t>6. СПРАВОЧНО</t>
        </is>
      </c>
      <c r="C150" s="4" t="n"/>
      <c r="D150" s="4" t="n"/>
      <c r="E150" s="4" t="n"/>
      <c r="F150" s="4" t="n"/>
      <c r="G150" s="4" t="n"/>
      <c r="H150" s="4" t="n"/>
      <c r="I150" s="4" t="inlineStr"/>
    </row>
    <row r="151" ht="26" customHeight="1">
      <c r="B151" s="5" t="inlineStr">
        <is>
          <t>Показатель</t>
        </is>
      </c>
      <c r="C151" s="5" t="inlineStr">
        <is>
          <t>Сумма</t>
        </is>
      </c>
      <c r="I151" s="5" t="inlineStr">
        <is>
          <t>Комментарий</t>
        </is>
      </c>
    </row>
    <row r="152">
      <c r="B152" s="6" t="inlineStr">
        <is>
          <t>Кредитная линия — долг на начало месяца</t>
        </is>
      </c>
      <c r="C152" s="7" t="n">
        <v>16545367</v>
      </c>
      <c r="D152" s="8" t="n"/>
      <c r="E152" s="8" t="n"/>
      <c r="F152" s="8" t="n"/>
      <c r="G152" s="8" t="n"/>
      <c r="H152" s="8" t="n"/>
      <c r="I152" s="10" t="inlineStr">
        <is>
          <t>счёт 67, контрагент «ОМЕГА ООО»</t>
        </is>
      </c>
    </row>
    <row r="153">
      <c r="B153" s="6" t="inlineStr">
        <is>
          <t>Кредитная линия — выбрано за месяц</t>
        </is>
      </c>
      <c r="C153" s="7" t="n">
        <v>11000000</v>
      </c>
      <c r="D153" s="8" t="n"/>
      <c r="E153" s="8" t="n"/>
      <c r="F153" s="8" t="n"/>
      <c r="G153" s="8" t="n"/>
      <c r="H153" s="8" t="n"/>
      <c r="I153" s="10" t="inlineStr">
        <is>
          <t>9 000 000 + 2 000 000, оба ушли Квалитету</t>
        </is>
      </c>
    </row>
    <row r="154">
      <c r="B154" s="6" t="inlineStr">
        <is>
          <t>Кредитная линия — долг на конец месяца</t>
        </is>
      </c>
      <c r="C154" s="7" t="n">
        <v>27545367</v>
      </c>
      <c r="D154" s="8" t="n"/>
      <c r="E154" s="8" t="n"/>
      <c r="F154" s="8" t="n"/>
      <c r="G154" s="8" t="n"/>
      <c r="H154" s="8" t="n"/>
      <c r="I154" s="8" t="n"/>
    </row>
    <row r="155">
      <c r="B155" s="6" t="inlineStr">
        <is>
          <t>Кредитная линия — лимит</t>
        </is>
      </c>
      <c r="C155" s="7" t="n">
        <v>30000000</v>
      </c>
      <c r="D155" s="8" t="n"/>
      <c r="E155" s="8" t="n"/>
      <c r="F155" s="8" t="n"/>
      <c r="G155" s="8" t="n"/>
      <c r="H155" s="8" t="n"/>
      <c r="I155" s="8" t="n"/>
    </row>
    <row r="156">
      <c r="B156" s="6" t="inlineStr">
        <is>
          <t>Кредитная линия — свободный остаток</t>
        </is>
      </c>
      <c r="C156" s="7" t="n">
        <v>2454633</v>
      </c>
      <c r="D156" s="8" t="n"/>
      <c r="E156" s="8" t="n"/>
      <c r="F156" s="8" t="n"/>
      <c r="G156" s="8" t="n"/>
      <c r="H156" s="8" t="n"/>
      <c r="I156" s="8" t="n"/>
    </row>
    <row r="157">
      <c r="B157" s="6" t="inlineStr">
        <is>
          <t>Проценты по кредиту, уплачено</t>
        </is>
      </c>
      <c r="C157" s="7" t="n">
        <v>204388.93</v>
      </c>
      <c r="D157" s="8" t="n"/>
      <c r="E157" s="8" t="n"/>
      <c r="F157" s="8" t="n"/>
      <c r="G157" s="8" t="n"/>
      <c r="H157" s="8" t="n"/>
      <c r="I157" s="10" t="inlineStr">
        <is>
          <t>счёт 67, контрагент «Филиал „Центральный“ Банка ВТБ»; в июле было 151 764,47</t>
        </is>
      </c>
    </row>
    <row r="158">
      <c r="B158" s="6" t="inlineStr">
        <is>
          <t>Проценты по депозитам за месяц</t>
        </is>
      </c>
      <c r="C158" s="7" t="n">
        <v>396337.24</v>
      </c>
      <c r="D158" s="8" t="n"/>
      <c r="E158" s="8" t="n"/>
      <c r="F158" s="8" t="n"/>
      <c r="G158" s="8" t="n"/>
      <c r="H158" s="8" t="n"/>
      <c r="I158" s="8" t="n"/>
    </row>
    <row r="159">
      <c r="B159" s="6" t="inlineStr">
        <is>
          <t>Остаток наличных в кассе</t>
        </is>
      </c>
      <c r="C159" s="7" t="n"/>
      <c r="D159" s="8" t="n"/>
      <c r="E159" s="8" t="n"/>
      <c r="F159" s="8" t="n"/>
      <c r="G159" s="8" t="n"/>
      <c r="H159" s="8" t="n"/>
      <c r="I159" s="10" t="inlineStr">
        <is>
          <t>не проставлен</t>
        </is>
      </c>
    </row>
    <row r="160">
      <c r="B160" s="6" t="inlineStr">
        <is>
          <t>Комиссия эквайринга, удержана банком</t>
        </is>
      </c>
      <c r="C160" s="7" t="n">
        <v>373487.16</v>
      </c>
      <c r="D160" s="8" t="n"/>
      <c r="E160" s="8" t="n"/>
      <c r="F160" s="8" t="n"/>
      <c r="G160" s="8" t="n"/>
      <c r="H160" s="8" t="n"/>
      <c r="I160" s="10" t="inlineStr">
        <is>
          <t>в расходы не ставится: безнал в выручке взят уже за вычетом комиссии</t>
        </is>
      </c>
    </row>
    <row r="161">
      <c r="B161" s="6" t="inlineStr">
        <is>
          <t>Онлайн-оплаты через сайт (интернет-эквайринг)</t>
        </is>
      </c>
      <c r="C161" s="7" t="n">
        <v>3284000</v>
      </c>
      <c r="D161" s="8" t="n"/>
      <c r="E161" s="8" t="n"/>
      <c r="F161" s="8" t="n"/>
      <c r="G161" s="8" t="n"/>
      <c r="H161" s="8" t="n"/>
      <c r="I161" s="10" t="inlineStr">
        <is>
          <t>счёт 62.01; отдельной строкой не добавляется — уже внутри безналичных поступлений</t>
        </is>
      </c>
    </row>
    <row r="162">
      <c r="B162" s="6" t="inlineStr">
        <is>
          <t>Авансы арендодателям на конец месяца</t>
        </is>
      </c>
      <c r="C162" s="7" t="n">
        <v>31195343.31</v>
      </c>
      <c r="D162" s="8" t="n"/>
      <c r="E162" s="8" t="n"/>
      <c r="F162" s="8" t="n"/>
      <c r="G162" s="8" t="n"/>
      <c r="H162" s="8" t="n"/>
      <c r="I162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Светильники и оборудование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Медоборудование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Импланты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Реклама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Внедрение финансового учёта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Импланты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Бланки, мед.журналы, мед.книжки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Реклама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Доктор Дискаунт (назначение уточняется)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Обслуживание 1СУправление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Дизайн-услуги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Консультационные услуги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74" customWidth="1" min="4" max="4"/>
  </cols>
  <sheetData>
    <row r="1">
      <c r="B1" s="1" t="inlineStr">
        <is>
          <t>Почему выручка не равна деньгам на счёте</t>
        </is>
      </c>
    </row>
    <row r="2">
      <c r="B2" s="2" t="inlineStr">
        <is>
          <t>Бухгалтерия считает по счёту 57 — это деньги, дошедшие до расчётного счёта. Выручка — то, что пробито в управленке. Базы разные, вот переход.</t>
        </is>
      </c>
    </row>
    <row r="4" ht="26" customHeight="1">
      <c r="B4" s="5" t="inlineStr">
        <is>
          <t>Шаг</t>
        </is>
      </c>
      <c r="C4" s="5" t="inlineStr">
        <is>
          <t>Сумма</t>
        </is>
      </c>
      <c r="D4" s="5" t="inlineStr">
        <is>
          <t>Откуда</t>
        </is>
      </c>
    </row>
    <row r="5">
      <c r="B5" s="9" t="inlineStr">
        <is>
          <t>Поступило на р/с через счёт 57 (нетто)</t>
        </is>
      </c>
      <c r="C5" s="23" t="n">
        <v>97353224.14</v>
      </c>
      <c r="D5" s="8" t="n"/>
      <c r="E5" s="8" t="n"/>
      <c r="F5" s="8" t="n"/>
      <c r="G5" s="8" t="n"/>
      <c r="H5" s="8" t="n"/>
      <c r="I5" s="10" t="inlineStr">
        <is>
          <t>153 496 343.14 с 57 на р/с минус 56 143 119.00 переводов между своими счетами</t>
        </is>
      </c>
    </row>
    <row r="6">
      <c r="B6" s="6" t="inlineStr">
        <is>
          <t xml:space="preserve">        инкассация наличных</t>
        </is>
      </c>
      <c r="C6" s="7" t="n">
        <v>35370000</v>
      </c>
      <c r="D6" s="8" t="n"/>
      <c r="E6" s="8" t="n"/>
      <c r="F6" s="8" t="n"/>
      <c r="G6" s="8" t="n"/>
      <c r="H6" s="8" t="n"/>
      <c r="I6" s="10" t="inlineStr">
        <is>
          <t>счёт 50 → 57</t>
        </is>
      </c>
    </row>
    <row r="7">
      <c r="B7" s="6" t="inlineStr">
        <is>
          <t xml:space="preserve">        эквайринг зачислен</t>
        </is>
      </c>
      <c r="C7" s="7" t="n">
        <v>61983224.14</v>
      </c>
      <c r="D7" s="8" t="n"/>
      <c r="E7" s="8" t="n"/>
      <c r="F7" s="8" t="n"/>
      <c r="G7" s="8" t="n"/>
      <c r="H7" s="8" t="n"/>
      <c r="I7" s="10" t="inlineStr">
        <is>
          <t>банк перечислил за вычетом комиссии</t>
        </is>
      </c>
    </row>
    <row r="8">
      <c r="B8" s="6" t="inlineStr">
        <is>
          <t>+ Комиссия эквайринга, удержана банком</t>
        </is>
      </c>
      <c r="C8" s="7" t="n">
        <v>373487.16</v>
      </c>
      <c r="D8" s="8" t="n"/>
      <c r="E8" s="8" t="n"/>
      <c r="F8" s="8" t="n"/>
      <c r="G8" s="8" t="n"/>
      <c r="H8" s="8" t="n"/>
      <c r="I8" s="10" t="inlineStr">
        <is>
          <t>счёт 57 → 91: пробито больше, чем зачислено</t>
        </is>
      </c>
    </row>
    <row r="9">
      <c r="B9" s="9" t="inlineStr">
        <is>
          <t>Пробито по банку</t>
        </is>
      </c>
      <c r="C9" s="23" t="n">
        <v>97726711.3</v>
      </c>
      <c r="D9" s="8" t="n"/>
      <c r="E9" s="8" t="n"/>
      <c r="F9" s="8" t="n"/>
      <c r="G9" s="8" t="n"/>
      <c r="H9" s="8" t="n"/>
      <c r="I9" s="10" t="inlineStr">
        <is>
          <t>инкассация + эквайринг до комиссии</t>
        </is>
      </c>
    </row>
    <row r="10">
      <c r="B10" s="24" t="inlineStr">
        <is>
          <t>− Инкассация больше пробитой налички</t>
        </is>
      </c>
      <c r="C10" s="25" t="n">
        <v>-388100</v>
      </c>
      <c r="D10" s="8" t="n"/>
      <c r="E10" s="8" t="n"/>
      <c r="F10" s="8" t="n"/>
      <c r="G10" s="8" t="n"/>
      <c r="H10" s="8" t="n"/>
      <c r="I10" s="10" t="inlineStr">
        <is>
          <t>сдали 35 370 000.00 при кассе 34 981 900.00 — вместе с остатком кассы с июля</t>
        </is>
      </c>
    </row>
    <row r="11">
      <c r="B11" s="24" t="inlineStr">
        <is>
          <t>− Эквайринг конца июля, зачисленный в августе</t>
        </is>
      </c>
      <c r="C11" s="25" t="n">
        <v>-373368.1599999964</v>
      </c>
      <c r="D11" s="8" t="n"/>
      <c r="E11" s="8" t="n"/>
      <c r="F11" s="8" t="n"/>
      <c r="G11" s="8" t="n"/>
      <c r="H11" s="8" t="n"/>
      <c r="I11" s="10" t="inlineStr">
        <is>
          <t>по банку 62 356 711.30 против 61 983 343.14 по картам</t>
        </is>
      </c>
    </row>
    <row r="12">
      <c r="B12" s="9" t="inlineStr">
        <is>
          <t>Поступления от пациентов за август</t>
        </is>
      </c>
      <c r="C12" s="23" t="n">
        <v>96965243.14</v>
      </c>
      <c r="D12" s="8" t="n"/>
      <c r="E12" s="8" t="n"/>
      <c r="F12" s="8" t="n"/>
      <c r="G12" s="8" t="n"/>
      <c r="H12" s="8" t="n"/>
      <c r="I12" s="10" t="inlineStr">
        <is>
          <t>до возвратов</t>
        </is>
      </c>
    </row>
    <row r="13">
      <c r="B13" s="24" t="inlineStr">
        <is>
          <t>− Возвраты пациентам</t>
        </is>
      </c>
      <c r="C13" s="25" t="n">
        <v>-465000</v>
      </c>
      <c r="D13" s="8" t="n"/>
      <c r="E13" s="8" t="n"/>
      <c r="F13" s="8" t="n"/>
      <c r="G13" s="8" t="n"/>
      <c r="H13" s="8" t="n"/>
      <c r="I13" s="10" t="inlineStr">
        <is>
          <t>ушли с р/с напрямую через счёт 62, счёта 57 не касаются</t>
        </is>
      </c>
    </row>
    <row r="14">
      <c r="B14" s="11" t="inlineStr">
        <is>
          <t>ВЫРУЧКА В ОТЧЁТЕ</t>
        </is>
      </c>
      <c r="C14" s="12" t="n">
        <v>96500243.15000001</v>
      </c>
      <c r="D14" s="13" t="n"/>
      <c r="E14" s="13" t="n"/>
      <c r="F14" s="13" t="n"/>
      <c r="G14" s="13" t="n"/>
      <c r="H14" s="13" t="n"/>
      <c r="I14" s="20" t="inlineStr">
        <is>
          <t>сходится до копейки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2" customWidth="1" min="4" max="4"/>
    <col width="40" customWidth="1" min="5" max="5"/>
  </cols>
  <sheetData>
    <row r="1">
      <c r="B1" s="1" t="inlineStr">
        <is>
          <t>Все статьи расходов по счёту 60</t>
        </is>
      </c>
    </row>
    <row r="2">
      <c r="B2" s="2" t="inlineStr">
        <is>
          <t>Полная расшифровка блока «Расходы» основного листа, без сворачивания</t>
        </is>
      </c>
    </row>
    <row r="4" ht="26" customHeight="1">
      <c r="B4" s="5" t="inlineStr">
        <is>
          <t>Статья</t>
        </is>
      </c>
      <c r="C4" s="5" t="inlineStr">
        <is>
          <t>Сумма</t>
        </is>
      </c>
      <c r="D4" s="5" t="inlineStr">
        <is>
          <t>Доля</t>
        </is>
      </c>
      <c r="E4" s="5" t="inlineStr">
        <is>
          <t>Блок</t>
        </is>
      </c>
    </row>
    <row r="5">
      <c r="B5" s="9" t="inlineStr">
        <is>
          <t>Медицинские — итого</t>
        </is>
      </c>
      <c r="C5" s="23" t="n">
        <v>56439832.64999999</v>
      </c>
      <c r="D5" s="8" t="n"/>
      <c r="E5" s="8" t="n"/>
      <c r="F5" s="8" t="n"/>
      <c r="G5" s="8" t="n"/>
      <c r="H5" s="8" t="n"/>
      <c r="I5" s="8" t="n"/>
    </row>
    <row r="6">
      <c r="B6" s="8" t="inlineStr">
        <is>
          <t xml:space="preserve">    Гонорары ИП хирургов</t>
        </is>
      </c>
      <c r="C6" s="26" t="n">
        <v>39819623</v>
      </c>
      <c r="D6" s="28" t="n">
        <v>0.5705403161180821</v>
      </c>
      <c r="E6" s="27" t="inlineStr">
        <is>
          <t>медицинские</t>
        </is>
      </c>
    </row>
    <row r="7">
      <c r="B7" s="8" t="inlineStr">
        <is>
          <t xml:space="preserve">    Импланты</t>
        </is>
      </c>
      <c r="C7" s="26" t="n">
        <v>4728500</v>
      </c>
      <c r="D7" s="28" t="n">
        <v>0.06775051297608596</v>
      </c>
      <c r="E7" s="27" t="inlineStr">
        <is>
          <t>медицинские</t>
        </is>
      </c>
    </row>
    <row r="8">
      <c r="B8" s="8" t="inlineStr">
        <is>
          <t xml:space="preserve">    Медицинские материалы</t>
        </is>
      </c>
      <c r="C8" s="26" t="n">
        <v>3298432.06</v>
      </c>
      <c r="D8" s="28" t="n">
        <v>0.04726032866274039</v>
      </c>
      <c r="E8" s="27" t="inlineStr">
        <is>
          <t>медицинские</t>
        </is>
      </c>
    </row>
    <row r="9">
      <c r="B9" s="8" t="inlineStr">
        <is>
          <t xml:space="preserve">    ИП Завиркин А.В.</t>
        </is>
      </c>
      <c r="C9" s="26" t="n">
        <v>2887658</v>
      </c>
      <c r="D9" s="28" t="n">
        <v>0.0413747088504808</v>
      </c>
      <c r="E9" s="27" t="inlineStr">
        <is>
          <t>медицинские</t>
        </is>
      </c>
    </row>
    <row r="10">
      <c r="B10" s="8" t="inlineStr">
        <is>
          <t xml:space="preserve">    Расходка</t>
        </is>
      </c>
      <c r="C10" s="26" t="n">
        <v>2250790.16</v>
      </c>
      <c r="D10" s="28" t="n">
        <v>0.03224959034398363</v>
      </c>
      <c r="E10" s="27" t="inlineStr">
        <is>
          <t>медицинские</t>
        </is>
      </c>
    </row>
    <row r="11">
      <c r="B11" s="8" t="inlineStr">
        <is>
          <t xml:space="preserve">    Лекарства</t>
        </is>
      </c>
      <c r="C11" s="26" t="n">
        <v>827352.65</v>
      </c>
      <c r="D11" s="28" t="n">
        <v>0.01185440762390274</v>
      </c>
      <c r="E11" s="27" t="inlineStr">
        <is>
          <t>медицинские</t>
        </is>
      </c>
    </row>
    <row r="12">
      <c r="B12" s="8" t="inlineStr">
        <is>
          <t xml:space="preserve">    ИП Чугуевская (ЗП Заведягин ОН)</t>
        </is>
      </c>
      <c r="C12" s="26" t="n">
        <v>570005</v>
      </c>
      <c r="D12" s="28" t="n">
        <v>0.008167099745994265</v>
      </c>
      <c r="E12" s="27" t="inlineStr">
        <is>
          <t>медицинские</t>
        </is>
      </c>
    </row>
    <row r="13">
      <c r="B13" s="8" t="inlineStr">
        <is>
          <t xml:space="preserve">    Медоборудование и расходники</t>
        </is>
      </c>
      <c r="C13" s="26" t="n">
        <v>515528</v>
      </c>
      <c r="D13" s="28" t="n">
        <v>0.007386546780910573</v>
      </c>
      <c r="E13" s="27" t="inlineStr">
        <is>
          <t>медицинские</t>
        </is>
      </c>
    </row>
    <row r="14">
      <c r="B14" s="8" t="inlineStr">
        <is>
          <t xml:space="preserve">    Питание</t>
        </is>
      </c>
      <c r="C14" s="26" t="n">
        <v>376950</v>
      </c>
      <c r="D14" s="28" t="n">
        <v>0.005400984639174285</v>
      </c>
      <c r="E14" s="27" t="inlineStr">
        <is>
          <t>медицинские</t>
        </is>
      </c>
    </row>
    <row r="15">
      <c r="B15" s="8" t="inlineStr">
        <is>
          <t xml:space="preserve">    Белье</t>
        </is>
      </c>
      <c r="C15" s="26" t="n">
        <v>345200</v>
      </c>
      <c r="D15" s="28" t="n">
        <v>0.004946066845584197</v>
      </c>
      <c r="E15" s="27" t="inlineStr">
        <is>
          <t>медицинские</t>
        </is>
      </c>
    </row>
    <row r="16">
      <c r="B16" s="8" t="inlineStr">
        <is>
          <t xml:space="preserve">    Аренда Inmode</t>
        </is>
      </c>
      <c r="C16" s="26" t="n">
        <v>210000</v>
      </c>
      <c r="D16" s="28" t="n">
        <v>0.003008905091461997</v>
      </c>
      <c r="E16" s="27" t="inlineStr">
        <is>
          <t>медицинские</t>
        </is>
      </c>
    </row>
    <row r="17">
      <c r="B17" s="8" t="inlineStr">
        <is>
          <t xml:space="preserve">    Кровь</t>
        </is>
      </c>
      <c r="C17" s="26" t="n">
        <v>181735.9</v>
      </c>
      <c r="D17" s="28" t="n">
        <v>0.00260393368957823</v>
      </c>
      <c r="E17" s="27" t="inlineStr">
        <is>
          <t>медицинские</t>
        </is>
      </c>
    </row>
    <row r="18">
      <c r="B18" s="8" t="inlineStr">
        <is>
          <t xml:space="preserve">    Медоборудование</t>
        </is>
      </c>
      <c r="C18" s="26" t="n">
        <v>173834.16</v>
      </c>
      <c r="D18" s="28" t="n">
        <v>0.002490716614733426</v>
      </c>
      <c r="E18" s="27" t="inlineStr">
        <is>
          <t>медицинские</t>
        </is>
      </c>
    </row>
    <row r="19">
      <c r="B19" s="8" t="inlineStr">
        <is>
          <t xml:space="preserve">    Анализы</t>
        </is>
      </c>
      <c r="C19" s="26" t="n">
        <v>102102</v>
      </c>
      <c r="D19" s="28" t="n">
        <v>0.001462929655468823</v>
      </c>
      <c r="E19" s="27" t="inlineStr">
        <is>
          <t>медицинские</t>
        </is>
      </c>
    </row>
    <row r="20">
      <c r="B20" s="8" t="inlineStr">
        <is>
          <t xml:space="preserve">    Бланки, мед.журналы, мед.книжки</t>
        </is>
      </c>
      <c r="C20" s="26" t="n">
        <v>63600</v>
      </c>
      <c r="D20" s="28" t="n">
        <v>0.0009112683991284906</v>
      </c>
      <c r="E20" s="27" t="inlineStr">
        <is>
          <t>медицинские</t>
        </is>
      </c>
    </row>
    <row r="21">
      <c r="B21" s="8" t="inlineStr">
        <is>
          <t xml:space="preserve">    Вывоз ТКО и мед отходов</t>
        </is>
      </c>
      <c r="C21" s="26" t="n">
        <v>52136.72</v>
      </c>
      <c r="D21" s="28" t="n">
        <v>0.0007470211536196597</v>
      </c>
      <c r="E21" s="27" t="inlineStr">
        <is>
          <t>медицинские</t>
        </is>
      </c>
    </row>
    <row r="22">
      <c r="B22" s="8" t="inlineStr">
        <is>
          <t xml:space="preserve">    Утилизация медотходов</t>
        </is>
      </c>
      <c r="C22" s="26" t="n">
        <v>23625</v>
      </c>
      <c r="D22" s="28" t="n">
        <v>0.0003385018227894747</v>
      </c>
      <c r="E22" s="27" t="inlineStr">
        <is>
          <t>медицинские</t>
        </is>
      </c>
    </row>
    <row r="23">
      <c r="B23" s="8" t="inlineStr">
        <is>
          <t xml:space="preserve">    Наркотики</t>
        </is>
      </c>
      <c r="C23" s="26" t="n">
        <v>12760</v>
      </c>
      <c r="D23" s="28" t="n">
        <v>0.0001828268046050242</v>
      </c>
      <c r="E23" s="27" t="inlineStr">
        <is>
          <t>медицинские</t>
        </is>
      </c>
    </row>
    <row r="24">
      <c r="B24" s="9" t="inlineStr">
        <is>
          <t>Управленческие — итого</t>
        </is>
      </c>
      <c r="C24" s="23" t="n">
        <v>13352996.84</v>
      </c>
      <c r="D24" s="8" t="n"/>
      <c r="E24" s="8" t="n"/>
      <c r="F24" s="8" t="n"/>
      <c r="G24" s="8" t="n"/>
      <c r="H24" s="8" t="n"/>
      <c r="I24" s="8" t="n"/>
    </row>
    <row r="25">
      <c r="B25" s="8" t="inlineStr">
        <is>
          <t xml:space="preserve">    Урегулирование досудебного спора</t>
        </is>
      </c>
      <c r="C25" s="26" t="n">
        <v>4692500</v>
      </c>
      <c r="D25" s="28" t="n">
        <v>0.06723470067469248</v>
      </c>
      <c r="E25" s="27" t="inlineStr">
        <is>
          <t>управленческие</t>
        </is>
      </c>
    </row>
    <row r="26">
      <c r="B26" s="8" t="inlineStr">
        <is>
          <t xml:space="preserve">    Маркетинговые услуги</t>
        </is>
      </c>
      <c r="C26" s="26" t="n">
        <v>2505800</v>
      </c>
      <c r="D26" s="28" t="n">
        <v>0.0359034018008832</v>
      </c>
      <c r="E26" s="27" t="inlineStr">
        <is>
          <t>управленческие</t>
        </is>
      </c>
    </row>
    <row r="27">
      <c r="B27" s="8" t="inlineStr">
        <is>
          <t xml:space="preserve">    Аренда Самокатная 1 стр1</t>
        </is>
      </c>
      <c r="C27" s="26" t="n">
        <v>1155000</v>
      </c>
      <c r="D27" s="28" t="n">
        <v>0.01654897800304098</v>
      </c>
      <c r="E27" s="27" t="inlineStr">
        <is>
          <t>управленческие</t>
        </is>
      </c>
    </row>
    <row r="28">
      <c r="B28" s="8" t="inlineStr">
        <is>
          <t xml:space="preserve">    Ремонт</t>
        </is>
      </c>
      <c r="C28" s="26" t="n">
        <v>516000</v>
      </c>
      <c r="D28" s="28" t="n">
        <v>0.007393309653306621</v>
      </c>
      <c r="E28" s="27" t="inlineStr">
        <is>
          <t>управленческие</t>
        </is>
      </c>
    </row>
    <row r="29">
      <c r="B29" s="8" t="inlineStr">
        <is>
          <t xml:space="preserve">    Обслуживание 1СУправление</t>
        </is>
      </c>
      <c r="C29" s="26" t="n">
        <v>441570</v>
      </c>
      <c r="D29" s="28" t="n">
        <v>0.006326867720175591</v>
      </c>
      <c r="E29" s="27" t="inlineStr">
        <is>
          <t>управленческие</t>
        </is>
      </c>
    </row>
    <row r="30">
      <c r="B30" s="8" t="inlineStr">
        <is>
          <t xml:space="preserve">    Фото видео</t>
        </is>
      </c>
      <c r="C30" s="26" t="n">
        <v>337440</v>
      </c>
      <c r="D30" s="28" t="n">
        <v>0.004834880638394935</v>
      </c>
      <c r="E30" s="27" t="inlineStr">
        <is>
          <t>управленческие</t>
        </is>
      </c>
    </row>
    <row r="31">
      <c r="B31" s="8" t="inlineStr">
        <is>
          <t xml:space="preserve">    Услуги юриста</t>
        </is>
      </c>
      <c r="C31" s="26" t="n">
        <v>330000</v>
      </c>
      <c r="D31" s="28" t="n">
        <v>0.004728279429440281</v>
      </c>
      <c r="E31" s="27" t="inlineStr">
        <is>
          <t>управленческие</t>
        </is>
      </c>
    </row>
    <row r="32">
      <c r="B32" s="8" t="inlineStr">
        <is>
          <t xml:space="preserve">    Складской учет</t>
        </is>
      </c>
      <c r="C32" s="26" t="n">
        <v>320000</v>
      </c>
      <c r="D32" s="28" t="n">
        <v>0.004584998234608758</v>
      </c>
      <c r="E32" s="27" t="inlineStr">
        <is>
          <t>управленческие</t>
        </is>
      </c>
    </row>
    <row r="33">
      <c r="B33" s="8" t="inlineStr">
        <is>
          <t xml:space="preserve">    ПО и IT-сервисы</t>
        </is>
      </c>
      <c r="C33" s="26" t="n">
        <v>279349.86</v>
      </c>
      <c r="D33" s="28" t="n">
        <v>0.004002558171681886</v>
      </c>
      <c r="E33" s="27" t="inlineStr">
        <is>
          <t>управленческие</t>
        </is>
      </c>
    </row>
    <row r="34">
      <c r="B34" s="8" t="inlineStr">
        <is>
          <t xml:space="preserve">    Битрикс 24</t>
        </is>
      </c>
      <c r="C34" s="26" t="n">
        <v>264850</v>
      </c>
      <c r="D34" s="28" t="n">
        <v>0.003794802445112904</v>
      </c>
      <c r="E34" s="27" t="inlineStr">
        <is>
          <t>управленческие</t>
        </is>
      </c>
    </row>
    <row r="35">
      <c r="B35" s="8" t="inlineStr">
        <is>
          <t xml:space="preserve">    Сайт</t>
        </is>
      </c>
      <c r="C35" s="26" t="n">
        <v>254000</v>
      </c>
      <c r="D35" s="28" t="n">
        <v>0.003639342348720701</v>
      </c>
      <c r="E35" s="27" t="inlineStr">
        <is>
          <t>управленческие</t>
        </is>
      </c>
    </row>
    <row r="36">
      <c r="B36" s="8" t="inlineStr">
        <is>
          <t xml:space="preserve">    IT услуги</t>
        </is>
      </c>
      <c r="C36" s="26" t="n">
        <v>247935.06</v>
      </c>
      <c r="D36" s="28" t="n">
        <v>0.003552443163742551</v>
      </c>
      <c r="E36" s="27" t="inlineStr">
        <is>
          <t>управленческие</t>
        </is>
      </c>
    </row>
    <row r="37">
      <c r="B37" s="8" t="inlineStr">
        <is>
          <t xml:space="preserve">    Реклама</t>
        </is>
      </c>
      <c r="C37" s="26" t="n">
        <v>227800</v>
      </c>
      <c r="D37" s="28" t="n">
        <v>0.003263945618262109</v>
      </c>
      <c r="E37" s="27" t="inlineStr">
        <is>
          <t>управленческие</t>
        </is>
      </c>
    </row>
    <row r="38">
      <c r="B38" s="8" t="inlineStr">
        <is>
          <t xml:space="preserve">    Светильники и оборудование</t>
        </is>
      </c>
      <c r="C38" s="26" t="n">
        <v>179400</v>
      </c>
      <c r="D38" s="28" t="n">
        <v>0.002570464635277535</v>
      </c>
      <c r="E38" s="27" t="inlineStr">
        <is>
          <t>управленческие</t>
        </is>
      </c>
    </row>
    <row r="39">
      <c r="B39" s="8" t="inlineStr">
        <is>
          <t xml:space="preserve">    Услуги инженера</t>
        </is>
      </c>
      <c r="C39" s="26" t="n">
        <v>159575</v>
      </c>
      <c r="D39" s="28" t="n">
        <v>0.002286409666524039</v>
      </c>
      <c r="E39" s="27" t="inlineStr">
        <is>
          <t>управленческие</t>
        </is>
      </c>
    </row>
    <row r="40">
      <c r="B40" s="8" t="inlineStr">
        <is>
          <t xml:space="preserve">    Канц и хоз расходы</t>
        </is>
      </c>
      <c r="C40" s="26" t="n">
        <v>157671.72</v>
      </c>
      <c r="D40" s="28" t="n">
        <v>0.002259139243274145</v>
      </c>
      <c r="E40" s="27" t="inlineStr">
        <is>
          <t>управленческие</t>
        </is>
      </c>
    </row>
    <row r="41">
      <c r="B41" s="8" t="inlineStr">
        <is>
          <t xml:space="preserve">    Сервис речевой аналитики</t>
        </is>
      </c>
      <c r="C41" s="26" t="n">
        <v>152250</v>
      </c>
      <c r="D41" s="28" t="n">
        <v>0.002181456191309948</v>
      </c>
      <c r="E41" s="27" t="inlineStr">
        <is>
          <t>управленческие</t>
        </is>
      </c>
    </row>
    <row r="42">
      <c r="B42" s="8" t="inlineStr">
        <is>
          <t xml:space="preserve">    Общехозяйственные</t>
        </is>
      </c>
      <c r="C42" s="26" t="n">
        <v>137116</v>
      </c>
      <c r="D42" s="28" t="n">
        <v>0.00196461443105192</v>
      </c>
      <c r="E42" s="27" t="inlineStr">
        <is>
          <t>управленческие</t>
        </is>
      </c>
    </row>
    <row r="43">
      <c r="B43" s="8" t="inlineStr">
        <is>
          <t xml:space="preserve">    Косметология</t>
        </is>
      </c>
      <c r="C43" s="26" t="n">
        <v>114858</v>
      </c>
      <c r="D43" s="28" t="n">
        <v>0.001645699147595914</v>
      </c>
      <c r="E43" s="27" t="inlineStr">
        <is>
          <t>управленческие</t>
        </is>
      </c>
    </row>
    <row r="44">
      <c r="B44" s="8" t="inlineStr">
        <is>
          <t xml:space="preserve">    Такси</t>
        </is>
      </c>
      <c r="C44" s="26" t="n">
        <v>100000</v>
      </c>
      <c r="D44" s="28" t="n">
        <v>0.001432811948315237</v>
      </c>
      <c r="E44" s="27" t="inlineStr">
        <is>
          <t>управленческие</t>
        </is>
      </c>
    </row>
    <row r="45">
      <c r="B45" s="8" t="inlineStr">
        <is>
          <t xml:space="preserve">    Внедрение финансового учёта</t>
        </is>
      </c>
      <c r="C45" s="26" t="n">
        <v>85000</v>
      </c>
      <c r="D45" s="28" t="n">
        <v>0.001217890156067951</v>
      </c>
      <c r="E45" s="27" t="inlineStr">
        <is>
          <t>управленческие</t>
        </is>
      </c>
    </row>
    <row r="46">
      <c r="B46" s="8" t="inlineStr">
        <is>
          <t xml:space="preserve">    Краснодар</t>
        </is>
      </c>
      <c r="C46" s="26" t="n">
        <v>81075</v>
      </c>
      <c r="D46" s="28" t="n">
        <v>0.001161652287096578</v>
      </c>
      <c r="E46" s="27" t="inlineStr">
        <is>
          <t>управленческие</t>
        </is>
      </c>
    </row>
    <row r="47">
      <c r="B47" s="8" t="inlineStr">
        <is>
          <t xml:space="preserve">    Хоз расходы</t>
        </is>
      </c>
      <c r="C47" s="26" t="n">
        <v>77247</v>
      </c>
      <c r="D47" s="28" t="n">
        <v>0.001106804245715071</v>
      </c>
      <c r="E47" s="27" t="inlineStr">
        <is>
          <t>управленческие</t>
        </is>
      </c>
    </row>
    <row r="48">
      <c r="B48" s="8" t="inlineStr">
        <is>
          <t xml:space="preserve">    Связь</t>
        </is>
      </c>
      <c r="C48" s="26" t="n">
        <v>53760</v>
      </c>
      <c r="D48" s="28" t="n">
        <v>0.0007702797034142713</v>
      </c>
      <c r="E48" s="27" t="inlineStr">
        <is>
          <t>управленческие</t>
        </is>
      </c>
    </row>
    <row r="49">
      <c r="B49" s="8" t="inlineStr">
        <is>
          <t xml:space="preserve">    Кофе</t>
        </is>
      </c>
      <c r="C49" s="26" t="n">
        <v>48301.44</v>
      </c>
      <c r="D49" s="28" t="n">
        <v>0.0006920688035283151</v>
      </c>
      <c r="E49" s="27" t="inlineStr">
        <is>
          <t>управленческие</t>
        </is>
      </c>
    </row>
    <row r="50">
      <c r="B50" s="8" t="inlineStr">
        <is>
          <t xml:space="preserve">    Цветы</t>
        </is>
      </c>
      <c r="C50" s="26" t="n">
        <v>40000</v>
      </c>
      <c r="D50" s="28" t="n">
        <v>0.0005731247793260947</v>
      </c>
      <c r="E50" s="27" t="inlineStr">
        <is>
          <t>управленческие</t>
        </is>
      </c>
    </row>
    <row r="51">
      <c r="B51" s="8" t="inlineStr">
        <is>
          <t xml:space="preserve">    Программное обнспечение</t>
        </is>
      </c>
      <c r="C51" s="26" t="n">
        <v>39200</v>
      </c>
      <c r="D51" s="28" t="n">
        <v>0.0005616622837395727</v>
      </c>
      <c r="E51" s="27" t="inlineStr">
        <is>
          <t>управленческие</t>
        </is>
      </c>
    </row>
    <row r="52">
      <c r="B52" s="8" t="inlineStr">
        <is>
          <t xml:space="preserve">    Средства гигиены</t>
        </is>
      </c>
      <c r="C52" s="26" t="n">
        <v>37568</v>
      </c>
      <c r="D52" s="28" t="n">
        <v>0.0005382787927430681</v>
      </c>
      <c r="E52" s="27" t="inlineStr">
        <is>
          <t>управленческие</t>
        </is>
      </c>
    </row>
    <row r="53">
      <c r="B53" s="8" t="inlineStr">
        <is>
          <t xml:space="preserve">    Доктор Дискаунт (назначение уточняется)</t>
        </is>
      </c>
      <c r="C53" s="26" t="n">
        <v>35920.61</v>
      </c>
      <c r="D53" s="28" t="n">
        <v>0.0005146747919877177</v>
      </c>
      <c r="E53" s="27" t="inlineStr">
        <is>
          <t>управленческие</t>
        </is>
      </c>
    </row>
    <row r="54">
      <c r="B54" s="8" t="inlineStr">
        <is>
          <t xml:space="preserve">    Капвложения и работы</t>
        </is>
      </c>
      <c r="C54" s="26" t="n">
        <v>29800</v>
      </c>
      <c r="D54" s="28" t="n">
        <v>0.0004269779605979405</v>
      </c>
      <c r="E54" s="27" t="inlineStr">
        <is>
          <t>управленческие</t>
        </is>
      </c>
    </row>
    <row r="55">
      <c r="B55" s="8" t="inlineStr">
        <is>
          <t xml:space="preserve">    Подбор персонала</t>
        </is>
      </c>
      <c r="C55" s="26" t="n">
        <v>27629</v>
      </c>
      <c r="D55" s="28" t="n">
        <v>0.0003958716132000168</v>
      </c>
      <c r="E55" s="27" t="inlineStr">
        <is>
          <t>управленческие</t>
        </is>
      </c>
    </row>
    <row r="56">
      <c r="B56" s="8" t="inlineStr">
        <is>
          <t xml:space="preserve">    Охрана</t>
        </is>
      </c>
      <c r="C56" s="26" t="n">
        <v>26600</v>
      </c>
      <c r="D56" s="28" t="n">
        <v>0.0003811279782518529</v>
      </c>
      <c r="E56" s="27" t="inlineStr">
        <is>
          <t>управленческие</t>
        </is>
      </c>
    </row>
    <row r="57">
      <c r="B57" s="8" t="inlineStr">
        <is>
          <t xml:space="preserve">    Мебель, инвентарь</t>
        </is>
      </c>
      <c r="C57" s="26" t="n">
        <v>22130</v>
      </c>
      <c r="D57" s="28" t="n">
        <v>0.0003170812841621619</v>
      </c>
      <c r="E57" s="27" t="inlineStr">
        <is>
          <t>управленческие</t>
        </is>
      </c>
    </row>
    <row r="58">
      <c r="B58" s="8" t="inlineStr">
        <is>
          <t xml:space="preserve">    Вода</t>
        </is>
      </c>
      <c r="C58" s="26" t="n">
        <v>20000</v>
      </c>
      <c r="D58" s="28" t="n">
        <v>0.0002865623896630474</v>
      </c>
      <c r="E58" s="27" t="inlineStr">
        <is>
          <t>управленческие</t>
        </is>
      </c>
    </row>
    <row r="59">
      <c r="B59" s="8" t="inlineStr">
        <is>
          <t xml:space="preserve">    Техподдержка ККТ</t>
        </is>
      </c>
      <c r="C59" s="26" t="n">
        <v>17900</v>
      </c>
      <c r="D59" s="28" t="n">
        <v>0.0002564733387484274</v>
      </c>
      <c r="E59" s="27" t="inlineStr">
        <is>
          <t>управленческие</t>
        </is>
      </c>
    </row>
    <row r="60">
      <c r="B60" s="8" t="inlineStr">
        <is>
          <t xml:space="preserve">    Электрооборудование</t>
        </is>
      </c>
      <c r="C60" s="26" t="n">
        <v>17740</v>
      </c>
      <c r="D60" s="28" t="n">
        <v>0.000254180839631123</v>
      </c>
      <c r="E60" s="27" t="inlineStr">
        <is>
          <t>управленческие</t>
        </is>
      </c>
    </row>
    <row r="61">
      <c r="B61" s="8" t="inlineStr">
        <is>
          <t xml:space="preserve">    Дизайн-услуги</t>
        </is>
      </c>
      <c r="C61" s="26" t="n">
        <v>17060</v>
      </c>
      <c r="D61" s="28" t="n">
        <v>0.0002444377183825794</v>
      </c>
      <c r="E61" s="27" t="inlineStr">
        <is>
          <t>управленческие</t>
        </is>
      </c>
    </row>
    <row r="62">
      <c r="B62" s="8" t="inlineStr">
        <is>
          <t xml:space="preserve">    Интернет</t>
        </is>
      </c>
      <c r="C62" s="26" t="n">
        <v>16235.15</v>
      </c>
      <c r="D62" s="28" t="n">
        <v>0.0002326191690269011</v>
      </c>
      <c r="E62" s="27" t="inlineStr">
        <is>
          <t>управленческие</t>
        </is>
      </c>
    </row>
    <row r="63">
      <c r="B63" s="8" t="inlineStr">
        <is>
          <t xml:space="preserve">    Расходник</t>
        </is>
      </c>
      <c r="C63" s="26" t="n">
        <v>15120</v>
      </c>
      <c r="D63" s="28" t="n">
        <v>0.0002166411665852638</v>
      </c>
      <c r="E63" s="27" t="inlineStr">
        <is>
          <t>управленческие</t>
        </is>
      </c>
    </row>
    <row r="64">
      <c r="B64" s="8" t="inlineStr">
        <is>
          <t xml:space="preserve">    Аренда кофемашины</t>
        </is>
      </c>
      <c r="C64" s="26" t="n">
        <v>15000</v>
      </c>
      <c r="D64" s="28" t="n">
        <v>0.0002149217922472855</v>
      </c>
      <c r="E64" s="27" t="inlineStr">
        <is>
          <t>управленческие</t>
        </is>
      </c>
    </row>
    <row r="65">
      <c r="B65" s="8" t="inlineStr">
        <is>
          <t xml:space="preserve">    Обучение персонала</t>
        </is>
      </c>
      <c r="C65" s="26" t="n">
        <v>10900</v>
      </c>
      <c r="D65" s="28" t="n">
        <v>0.0001561765023663608</v>
      </c>
      <c r="E65" s="27" t="inlineStr">
        <is>
          <t>управленческие</t>
        </is>
      </c>
    </row>
    <row r="66">
      <c r="B66" s="8" t="inlineStr">
        <is>
          <t xml:space="preserve">    Общехоз.расходы прочие</t>
        </is>
      </c>
      <c r="C66" s="26" t="n">
        <v>10000</v>
      </c>
      <c r="D66" s="28" t="n">
        <v>0.0001432811948315237</v>
      </c>
      <c r="E66" s="27" t="inlineStr">
        <is>
          <t>управленческие</t>
        </is>
      </c>
    </row>
    <row r="67">
      <c r="B67" s="8" t="inlineStr">
        <is>
          <t xml:space="preserve">    ПроДокторов</t>
        </is>
      </c>
      <c r="C67" s="26" t="n">
        <v>10000</v>
      </c>
      <c r="D67" s="28" t="n">
        <v>0.0001432811948315237</v>
      </c>
      <c r="E67" s="27" t="inlineStr">
        <is>
          <t>управленческие</t>
        </is>
      </c>
    </row>
    <row r="68">
      <c r="B68" s="8" t="inlineStr">
        <is>
          <t xml:space="preserve">    Доставка</t>
        </is>
      </c>
      <c r="C68" s="26" t="n">
        <v>7495</v>
      </c>
      <c r="D68" s="28" t="n">
        <v>0.000107389255526227</v>
      </c>
      <c r="E68" s="27" t="inlineStr">
        <is>
          <t>управленческие</t>
        </is>
      </c>
    </row>
    <row r="69">
      <c r="B69" s="8" t="inlineStr">
        <is>
          <t xml:space="preserve">    ТО СКУД, пожарной сигнализации</t>
        </is>
      </c>
      <c r="C69" s="26" t="n">
        <v>7000</v>
      </c>
      <c r="D69" s="28" t="n">
        <v>0.0001002968363820666</v>
      </c>
      <c r="E69" s="27" t="inlineStr">
        <is>
          <t>управленческие</t>
        </is>
      </c>
    </row>
    <row r="70">
      <c r="B70" s="8" t="inlineStr">
        <is>
          <t xml:space="preserve">    Оргтехника</t>
        </is>
      </c>
      <c r="C70" s="26" t="n">
        <v>5100</v>
      </c>
      <c r="D70" s="28" t="n">
        <v>7.307340936407707e-05</v>
      </c>
      <c r="E70" s="27" t="inlineStr">
        <is>
          <t>управленческие</t>
        </is>
      </c>
    </row>
    <row r="71">
      <c r="B71" s="8" t="inlineStr">
        <is>
          <t xml:space="preserve">    Обслуживание аквариума</t>
        </is>
      </c>
      <c r="C71" s="26" t="n">
        <v>5000</v>
      </c>
      <c r="D71" s="28" t="n">
        <v>7.164059741576184e-05</v>
      </c>
      <c r="E71" s="27" t="inlineStr">
        <is>
          <t>управленческие</t>
        </is>
      </c>
    </row>
    <row r="72">
      <c r="B72" s="8" t="inlineStr">
        <is>
          <t xml:space="preserve">    Консультационные услуги</t>
        </is>
      </c>
      <c r="C72" s="26" t="n">
        <v>1100</v>
      </c>
      <c r="D72" s="28" t="n">
        <v>1.57609314314676e-05</v>
      </c>
      <c r="E72" s="27" t="inlineStr">
        <is>
          <t>управленческие</t>
        </is>
      </c>
    </row>
    <row r="73">
      <c r="B73" s="11" t="inlineStr">
        <is>
          <t>ИТОГО ПО СЧЁТУ 60</t>
        </is>
      </c>
      <c r="C73" s="12" t="n">
        <v>69792829.48999999</v>
      </c>
      <c r="D73" s="13" t="n"/>
      <c r="E73" s="13" t="n"/>
      <c r="F73" s="13" t="n"/>
      <c r="G73" s="13" t="n"/>
      <c r="H73" s="13" t="n"/>
      <c r="I73" s="20" t="inlineStr">
        <is>
          <t>совпадает со строкой «Поставщики и подрядчики» основного листа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1255200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2026-09-10T09:48:33Z</dcterms:created>
  <dcterms:modified xsi:type="dcterms:W3CDTF">2026-09-10T09:48:33Z</dcterms:modified>
</cp:coreProperties>
</file>