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A3423B"/>
      <sz val="11"/>
    </font>
    <font>
      <color rgb="008A7350"/>
      <sz val="11"/>
    </font>
    <font>
      <color rgb="00807A70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76495706.81999999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(эквайринг)</t>
        </is>
      </c>
      <c r="C39" s="7" t="n">
        <v>61284454</v>
      </c>
      <c r="D39" s="8" t="n"/>
      <c r="E39" s="8" t="n"/>
      <c r="F39" s="8" t="n"/>
      <c r="G39" s="8" t="n"/>
      <c r="H39" s="8" t="n"/>
      <c r="I39" s="10" t="inlineStr">
        <is>
          <t>01–10.08: 19 519 514; 11–31.08: 41 764 940</t>
        </is>
      </c>
    </row>
    <row r="40">
      <c r="B40" s="6" t="inlineStr">
        <is>
          <t xml:space="preserve">    Оплаты физлиц на расчётный счёт</t>
        </is>
      </c>
      <c r="C40" s="7" t="n">
        <v>1035500</v>
      </c>
      <c r="D40" s="8" t="n"/>
      <c r="E40" s="8" t="n"/>
      <c r="F40" s="8" t="n"/>
      <c r="G40" s="8" t="n"/>
      <c r="H40" s="8" t="n"/>
      <c r="I40" s="8" t="n"/>
    </row>
    <row r="41">
      <c r="B41" s="18" t="inlineStr">
        <is>
          <t xml:space="preserve">    Возвраты пациентам</t>
        </is>
      </c>
      <c r="C41" s="19" t="n">
        <v>-350000</v>
      </c>
      <c r="D41" s="8" t="n"/>
      <c r="E41" s="8" t="n"/>
      <c r="F41" s="8" t="n"/>
      <c r="G41" s="8" t="n"/>
      <c r="H41" s="8" t="n"/>
      <c r="I41" s="8" t="n"/>
    </row>
    <row r="42">
      <c r="B42" s="11" t="inlineStr">
        <is>
          <t>Итого по каналам</t>
        </is>
      </c>
      <c r="C42" s="12">
        <f>SUM(C38:C41)</f>
        <v/>
      </c>
      <c r="D42" s="13" t="n"/>
      <c r="E42" s="13" t="n"/>
      <c r="F42" s="13" t="n"/>
      <c r="G42" s="13" t="n"/>
      <c r="H42" s="13" t="n"/>
      <c r="I42" s="20" t="inlineStr">
        <is>
          <t>должно совпасть с итогом выручки выше</t>
        </is>
      </c>
    </row>
    <row r="44">
      <c r="B44" s="21" t="inlineStr">
        <is>
          <t>Справочно: оказано услуг за месяц</t>
        </is>
      </c>
      <c r="C44" s="22" t="n">
        <v>94366672</v>
      </c>
      <c r="D44" s="8" t="n"/>
      <c r="E44" s="8" t="n"/>
      <c r="F44" s="8" t="n"/>
      <c r="G44" s="8" t="n"/>
      <c r="H44" s="8" t="n"/>
      <c r="I44" s="10" t="inlineStr">
        <is>
          <t>01–10.08: 29 476 382; 11–31.08: 64 890 290</t>
        </is>
      </c>
    </row>
    <row r="45">
      <c r="B45" s="21" t="inlineStr">
        <is>
          <t>Справочно: авансы под будущие операции</t>
        </is>
      </c>
      <c r="C45" s="22" t="n">
        <v>2585181.99</v>
      </c>
      <c r="D45" s="8" t="n"/>
      <c r="E45" s="8" t="n"/>
      <c r="F45" s="8" t="n"/>
      <c r="G45" s="8" t="n"/>
      <c r="H45" s="8" t="n"/>
      <c r="I45" s="10" t="inlineStr">
        <is>
          <t>выручка минус оказанные услуги: деньги получены, операция ещё впереди — 2,7% выручки месяца</t>
        </is>
      </c>
    </row>
    <row r="47" ht="22" customHeight="1">
      <c r="B47" s="3" t="inlineStr">
        <is>
          <t>3. РАСХОДЫ (оплаченные)</t>
        </is>
      </c>
      <c r="C47" s="4" t="n"/>
      <c r="D47" s="4" t="n"/>
      <c r="E47" s="4" t="n"/>
      <c r="F47" s="4" t="n"/>
      <c r="G47" s="4" t="n"/>
      <c r="H47" s="4" t="n"/>
      <c r="I47" s="4" t="inlineStr">
        <is>
          <t>делятся между учредителями 50/50</t>
        </is>
      </c>
    </row>
    <row r="48" ht="26" customHeight="1">
      <c r="B48" s="5" t="inlineStr">
        <is>
          <t>Статья</t>
        </is>
      </c>
      <c r="C48" s="5" t="inlineStr">
        <is>
          <t>Всего</t>
        </is>
      </c>
      <c r="D48" s="5" t="inlineStr">
        <is>
          <t>Маланичев</t>
        </is>
      </c>
      <c r="E48" s="5" t="inlineStr">
        <is>
          <t>Погосян</t>
        </is>
      </c>
      <c r="I48" s="5" t="inlineStr">
        <is>
          <t>Комментарий</t>
        </is>
      </c>
    </row>
    <row r="49">
      <c r="B49" s="6" t="inlineStr">
        <is>
          <t>Налоги с ФОТ (счета 68.90 и 69)</t>
        </is>
      </c>
      <c r="C49" s="7" t="n">
        <v>6135792.28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Зарплата по банку</t>
        </is>
      </c>
      <c r="C50" s="7" t="n">
        <v>12490831.85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(общие)</t>
        </is>
      </c>
      <c r="C51" s="7" t="n">
        <v>141191.07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Услуги банка (эквайринг)</t>
        </is>
      </c>
      <c r="C52" s="7" t="n">
        <v>373487.16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6" t="inlineStr">
        <is>
          <t>Алименты (удержание из зарплаты)</t>
        </is>
      </c>
      <c r="C53" s="7" t="n">
        <v>38726.66</v>
      </c>
      <c r="D53" s="7">
        <f>C53/2</f>
        <v/>
      </c>
      <c r="E53" s="7">
        <f>C53/2</f>
        <v/>
      </c>
      <c r="F53" s="8" t="n"/>
      <c r="G53" s="8" t="n"/>
      <c r="H53" s="8" t="n"/>
      <c r="I53" s="8" t="n"/>
    </row>
    <row r="54">
      <c r="B54" s="6" t="inlineStr">
        <is>
          <t>Проценты по кредиту</t>
        </is>
      </c>
      <c r="C54" s="7" t="n">
        <v>204388.93</v>
      </c>
      <c r="D54" s="7">
        <f>C54/2</f>
        <v/>
      </c>
      <c r="E54" s="7">
        <f>C54/2</f>
        <v/>
      </c>
      <c r="F54" s="8" t="n"/>
      <c r="G54" s="8" t="n"/>
      <c r="H54" s="8" t="n"/>
      <c r="I54" s="8" t="n"/>
    </row>
    <row r="55">
      <c r="B55" s="9" t="inlineStr">
        <is>
          <t>Поставщики и подрядчики (счёт 60)</t>
        </is>
      </c>
      <c r="C55" s="23" t="n">
        <v>69794048.05</v>
      </c>
      <c r="D55" s="23">
        <f>C55/2</f>
        <v/>
      </c>
      <c r="E55" s="23">
        <f>C55/2</f>
        <v/>
      </c>
      <c r="F55" s="8" t="n"/>
      <c r="G55" s="8" t="n"/>
      <c r="H55" s="8" t="n"/>
      <c r="I55" s="10" t="inlineStr">
        <is>
          <t>без оплаченного за счёт кредитной линии</t>
        </is>
      </c>
    </row>
    <row r="56">
      <c r="B56" s="24" t="inlineStr">
        <is>
          <t xml:space="preserve">        в том числе медицинские и гонорары:</t>
        </is>
      </c>
      <c r="C56" s="8" t="n"/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Гонорары ИП хирургов</t>
        </is>
      </c>
      <c r="C57" s="7" t="n">
        <v>39819623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Импланты</t>
        </is>
      </c>
      <c r="C58" s="7" t="n">
        <v>4527900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Медицинские материалы</t>
        </is>
      </c>
      <c r="C59" s="7" t="n">
        <v>3298432.06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ИП Завиркин А.В.</t>
        </is>
      </c>
      <c r="C60" s="7" t="n">
        <v>2887658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Расходка</t>
        </is>
      </c>
      <c r="C61" s="7" t="n">
        <v>2250790.16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Лекарства</t>
        </is>
      </c>
      <c r="C62" s="7" t="n">
        <v>827352.65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ИП Чугуевская (ЗП Заведягин ОН)</t>
        </is>
      </c>
      <c r="C63" s="7" t="n">
        <v>570005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Медоборудование и расходники</t>
        </is>
      </c>
      <c r="C64" s="7" t="n">
        <v>515528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Питание</t>
        </is>
      </c>
      <c r="C65" s="7" t="n">
        <v>376950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Белье</t>
        </is>
      </c>
      <c r="C66" s="7" t="n">
        <v>345200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прочие статьи блока</t>
        </is>
      </c>
      <c r="C67" s="7" t="n">
        <v>582359.62</v>
      </c>
      <c r="D67" s="8" t="n"/>
      <c r="E67" s="8" t="n"/>
      <c r="F67" s="8" t="n"/>
      <c r="G67" s="8" t="n"/>
      <c r="H67" s="8" t="n"/>
      <c r="I67" s="8" t="n"/>
    </row>
    <row r="68">
      <c r="B68" s="24" t="inlineStr">
        <is>
          <t xml:space="preserve">        в том числе управленческие:</t>
        </is>
      </c>
      <c r="C68" s="8" t="n"/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Урегулирование досудебного спора</t>
        </is>
      </c>
      <c r="C69" s="7" t="n">
        <v>4692500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Маркетинговые услуги</t>
        </is>
      </c>
      <c r="C70" s="7" t="n">
        <v>2505800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Аренда Самокатная 1 стр1</t>
        </is>
      </c>
      <c r="C71" s="7" t="n">
        <v>1155000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управленческие</t>
        </is>
      </c>
      <c r="C72" s="7" t="n">
        <v>878789.77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Ремонт</t>
        </is>
      </c>
      <c r="C73" s="7" t="n">
        <v>516000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Обслуживание 1СУправление</t>
        </is>
      </c>
      <c r="C74" s="7" t="n">
        <v>435435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Фото видео</t>
        </is>
      </c>
      <c r="C75" s="7" t="n">
        <v>337440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Услуги юриста</t>
        </is>
      </c>
      <c r="C76" s="7" t="n">
        <v>330000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Складской учет</t>
        </is>
      </c>
      <c r="C77" s="7" t="n">
        <v>320000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прочие статьи блока</t>
        </is>
      </c>
      <c r="C78" s="7" t="n">
        <v>2621284.79</v>
      </c>
      <c r="D78" s="8" t="n"/>
      <c r="E78" s="8" t="n"/>
      <c r="F78" s="8" t="n"/>
      <c r="G78" s="8" t="n"/>
      <c r="H78" s="8" t="n"/>
      <c r="I78" s="8" t="n"/>
    </row>
    <row r="79">
      <c r="B79" s="14" t="inlineStr">
        <is>
          <t>ИТОГО РАСХОДЫ</t>
        </is>
      </c>
      <c r="C79" s="15">
        <f>SUM(C49:C55)</f>
        <v/>
      </c>
      <c r="D79" s="15">
        <f>SUM(D49:D55)</f>
        <v/>
      </c>
      <c r="E79" s="15">
        <f>SUM(E49:E55)</f>
        <v/>
      </c>
      <c r="F79" s="16" t="n"/>
      <c r="G79" s="16" t="n"/>
      <c r="H79" s="16" t="n"/>
      <c r="I79" s="17" t="inlineStr">
        <is>
          <t>строки «в том числе» в сумму не входят</t>
        </is>
      </c>
    </row>
    <row r="80">
      <c r="B80" s="21" t="inlineStr">
        <is>
          <t>Справочно: ремонт за счёт кредитной линии</t>
        </is>
      </c>
      <c r="C80" s="22" t="n">
        <v>11000000</v>
      </c>
      <c r="D80" s="8" t="n"/>
      <c r="E80" s="8" t="n"/>
      <c r="F80" s="8" t="n"/>
      <c r="G80" s="8" t="n"/>
      <c r="H80" s="8" t="n"/>
      <c r="I80" s="10" t="inlineStr">
        <is>
          <t>в расходы учредителей не входит — стройка идёт на заёмные</t>
        </is>
      </c>
    </row>
    <row r="82" ht="22" customHeight="1">
      <c r="B82" s="3" t="inlineStr">
        <is>
          <t>4. РАСЧЁТ ДОХОДА УЧРЕДИТЕЛЕЙ</t>
        </is>
      </c>
      <c r="C82" s="4" t="n"/>
      <c r="D82" s="4" t="n"/>
      <c r="E82" s="4" t="n"/>
      <c r="F82" s="4" t="n"/>
      <c r="G82" s="4" t="n"/>
      <c r="H82" s="4" t="n"/>
      <c r="I82" s="4" t="inlineStr">
        <is>
          <t>методика 50/50</t>
        </is>
      </c>
    </row>
    <row r="83" ht="26" customHeight="1">
      <c r="B83" s="5" t="inlineStr">
        <is>
          <t>Шаг</t>
        </is>
      </c>
      <c r="C83" s="5" t="inlineStr">
        <is>
          <t>Всего</t>
        </is>
      </c>
      <c r="D83" s="5" t="inlineStr">
        <is>
          <t>Маланичев</t>
        </is>
      </c>
      <c r="E83" s="5" t="inlineStr">
        <is>
          <t>Погосян</t>
        </is>
      </c>
      <c r="I83" s="5" t="inlineStr">
        <is>
          <t>Как считается</t>
        </is>
      </c>
    </row>
    <row r="84">
      <c r="B84" s="6" t="inlineStr">
        <is>
          <t>1. Личная выручка (свои операции)</t>
        </is>
      </c>
      <c r="C84" s="7">
        <f>D84+E84</f>
        <v/>
      </c>
      <c r="D84" s="7">
        <f>D35</f>
        <v/>
      </c>
      <c r="E84" s="7">
        <f>E35</f>
        <v/>
      </c>
      <c r="F84" s="8" t="n"/>
      <c r="G84" s="8" t="n"/>
      <c r="H84" s="8" t="n"/>
      <c r="I84" s="10" t="inlineStr">
        <is>
          <t>своя строка из блока «Выручка»</t>
        </is>
      </c>
    </row>
    <row r="85">
      <c r="B85" s="6" t="inlineStr">
        <is>
          <t>2. Половина выручки других хирургов</t>
        </is>
      </c>
      <c r="C85" s="7">
        <f>F35</f>
        <v/>
      </c>
      <c r="D85" s="7">
        <f>F35/2</f>
        <v/>
      </c>
      <c r="E85" s="7">
        <f>F35/2</f>
        <v/>
      </c>
      <c r="F85" s="8" t="n"/>
      <c r="G85" s="8" t="n"/>
      <c r="H85" s="8" t="n"/>
      <c r="I85" s="8" t="n"/>
    </row>
    <row r="86">
      <c r="B86" s="6" t="inlineStr">
        <is>
          <t>3. Половина выручки косметологии</t>
        </is>
      </c>
      <c r="C86" s="7">
        <f>H35</f>
        <v/>
      </c>
      <c r="D86" s="7">
        <f>H35/2</f>
        <v/>
      </c>
      <c r="E86" s="7">
        <f>H35/2</f>
        <v/>
      </c>
      <c r="F86" s="8" t="n"/>
      <c r="G86" s="8" t="n"/>
      <c r="H86" s="8" t="n"/>
      <c r="I86" s="8" t="n"/>
    </row>
    <row r="87">
      <c r="B87" s="6" t="inlineStr">
        <is>
          <t>4. Половина прочих доходов</t>
        </is>
      </c>
      <c r="C87" s="7">
        <f>G35</f>
        <v/>
      </c>
      <c r="D87" s="7">
        <f>G35/2</f>
        <v/>
      </c>
      <c r="E87" s="7">
        <f>G35/2</f>
        <v/>
      </c>
      <c r="F87" s="8" t="n"/>
      <c r="G87" s="8" t="n"/>
      <c r="H87" s="8" t="n"/>
      <c r="I87" s="8" t="n"/>
    </row>
    <row r="88">
      <c r="B88" s="6" t="inlineStr">
        <is>
          <t>5. Половина процентов по депозитам</t>
        </is>
      </c>
      <c r="C88" s="7" t="n">
        <v>396337.24</v>
      </c>
      <c r="D88" s="7">
        <f>C88/2</f>
        <v/>
      </c>
      <c r="E88" s="7">
        <f>C88/2</f>
        <v/>
      </c>
      <c r="F88" s="8" t="n"/>
      <c r="G88" s="8" t="n"/>
      <c r="H88" s="8" t="n"/>
      <c r="I88" s="10" t="inlineStr">
        <is>
          <t>начислены банком на остатки</t>
        </is>
      </c>
    </row>
    <row r="89">
      <c r="B89" s="18" t="inlineStr">
        <is>
          <t>6. Минус доля расходов</t>
        </is>
      </c>
      <c r="C89" s="19">
        <f>-C79</f>
        <v/>
      </c>
      <c r="D89" s="19">
        <f>-D79</f>
        <v/>
      </c>
      <c r="E89" s="19">
        <f>-E79</f>
        <v/>
      </c>
      <c r="F89" s="8" t="n"/>
      <c r="G89" s="8" t="n"/>
      <c r="H89" s="8" t="n"/>
      <c r="I89" s="10" t="inlineStr">
        <is>
          <t>итог блока «Расходы», пополам</t>
        </is>
      </c>
    </row>
    <row r="90">
      <c r="B90" s="18" t="inlineStr">
        <is>
          <t>7. Личные анализы: каждый несёт свои</t>
        </is>
      </c>
      <c r="C90" s="19" t="n">
        <v>0</v>
      </c>
      <c r="D90" s="19" t="n">
        <v>-9186</v>
      </c>
      <c r="E90" s="19" t="n">
        <v>9186</v>
      </c>
      <c r="F90" s="8" t="n"/>
      <c r="G90" s="8" t="n"/>
      <c r="H90" s="8" t="n"/>
      <c r="I90" s="10" t="inlineStr">
        <is>
          <t>лист «Расходы врачей»: Маланичев 30 620, Погосян 12 248</t>
        </is>
      </c>
    </row>
    <row r="91">
      <c r="B91" s="14" t="inlineStr">
        <is>
          <t>ДОХОД ЗА МЕСЯЦ</t>
        </is>
      </c>
      <c r="C91" s="15">
        <f>SUM(C84:C90)</f>
        <v/>
      </c>
      <c r="D91" s="15">
        <f>SUM(D84:D90)</f>
        <v/>
      </c>
      <c r="E91" s="15">
        <f>SUM(E84:E90)</f>
        <v/>
      </c>
      <c r="F91" s="16" t="n"/>
      <c r="G91" s="16" t="n"/>
      <c r="H91" s="16" t="n"/>
      <c r="I91" s="16" t="n"/>
    </row>
    <row r="93" ht="22" customHeight="1">
      <c r="B93" s="3" t="inlineStr">
        <is>
          <t>5. К ВЫПЛАТЕ УЧРЕДИТЕЛЯМ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Всего</t>
        </is>
      </c>
      <c r="D94" s="5" t="inlineStr">
        <is>
          <t>Маланичев</t>
        </is>
      </c>
      <c r="E94" s="5" t="inlineStr">
        <is>
          <t>Погосян</t>
        </is>
      </c>
      <c r="I94" s="5" t="inlineStr">
        <is>
          <t>Комментарий</t>
        </is>
      </c>
    </row>
    <row r="95">
      <c r="B95" s="6" t="inlineStr">
        <is>
          <t>Доход за месяц</t>
        </is>
      </c>
      <c r="C95" s="7">
        <f>C91</f>
        <v/>
      </c>
      <c r="D95" s="7">
        <f>D91</f>
        <v/>
      </c>
      <c r="E95" s="7">
        <f>E91</f>
        <v/>
      </c>
      <c r="F95" s="8" t="n"/>
      <c r="G95" s="8" t="n"/>
      <c r="H95" s="8" t="n"/>
      <c r="I95" s="8" t="n"/>
    </row>
    <row r="96">
      <c r="B96" s="6" t="inlineStr">
        <is>
          <t>Остаток с прошлого месяца</t>
        </is>
      </c>
      <c r="C96" s="7">
        <f>D96+E96</f>
        <v/>
      </c>
      <c r="D96" s="7" t="n">
        <v>30658896.02</v>
      </c>
      <c r="E96" s="7" t="n">
        <v>45275972.21</v>
      </c>
      <c r="F96" s="8" t="n"/>
      <c r="G96" s="8" t="n"/>
      <c r="H96" s="8" t="n"/>
      <c r="I96" s="10" t="inlineStr">
        <is>
          <t>ручной ввод бухгалтерии</t>
        </is>
      </c>
    </row>
    <row r="97">
      <c r="B97" s="18" t="inlineStr">
        <is>
          <t>Выплачены дивиденды</t>
        </is>
      </c>
      <c r="C97" s="19">
        <f>D97+E97</f>
        <v/>
      </c>
      <c r="D97" s="19" t="n">
        <v>-5882353</v>
      </c>
      <c r="E97" s="19" t="n">
        <v>-5882353</v>
      </c>
      <c r="F97" s="8" t="n"/>
      <c r="G97" s="8" t="n"/>
      <c r="H97" s="8" t="n"/>
      <c r="I97" s="10" t="inlineStr">
        <is>
          <t>начислено с НДФЛ</t>
        </is>
      </c>
    </row>
    <row r="98">
      <c r="B98" s="14" t="inlineStr">
        <is>
          <t>ИТОГО К ВЫПЛАТЕ НА 31.08.2026</t>
        </is>
      </c>
      <c r="C98" s="15">
        <f>SUM(C95:C97)</f>
        <v/>
      </c>
      <c r="D98" s="15">
        <f>SUM(D95:D97)</f>
        <v/>
      </c>
      <c r="E98" s="15">
        <f>SUM(E95:E97)</f>
        <v/>
      </c>
      <c r="F98" s="16" t="n"/>
      <c r="G98" s="16" t="n"/>
      <c r="H98" s="16" t="n"/>
      <c r="I98" s="16" t="n"/>
    </row>
    <row r="100" ht="22" customHeight="1">
      <c r="B100" s="3" t="inlineStr">
        <is>
          <t>6. СПРАВОЧНО</t>
        </is>
      </c>
      <c r="C100" s="4" t="n"/>
      <c r="D100" s="4" t="n"/>
      <c r="E100" s="4" t="n"/>
      <c r="F100" s="4" t="n"/>
      <c r="G100" s="4" t="n"/>
      <c r="H100" s="4" t="n"/>
      <c r="I100" s="4" t="inlineStr"/>
    </row>
    <row r="101" ht="26" customHeight="1">
      <c r="B101" s="5" t="inlineStr">
        <is>
          <t>Показатель</t>
        </is>
      </c>
      <c r="C101" s="5" t="inlineStr">
        <is>
          <t>Сумма</t>
        </is>
      </c>
      <c r="I101" s="5" t="inlineStr">
        <is>
          <t>Комментарий</t>
        </is>
      </c>
    </row>
    <row r="102">
      <c r="B102" s="6" t="inlineStr">
        <is>
          <t>Кредитная линия — долг на начало месяца</t>
        </is>
      </c>
      <c r="C102" s="7" t="n">
        <v>16545367</v>
      </c>
      <c r="D102" s="8" t="n"/>
      <c r="E102" s="8" t="n"/>
      <c r="F102" s="8" t="n"/>
      <c r="G102" s="8" t="n"/>
      <c r="H102" s="8" t="n"/>
      <c r="I102" s="10" t="inlineStr">
        <is>
          <t>счёт 67, контрагент «ОМЕГА ООО»</t>
        </is>
      </c>
    </row>
    <row r="103">
      <c r="B103" s="6" t="inlineStr">
        <is>
          <t>Кредитная линия — выбрано за месяц</t>
        </is>
      </c>
      <c r="C103" s="7" t="n">
        <v>11000000</v>
      </c>
      <c r="D103" s="8" t="n"/>
      <c r="E103" s="8" t="n"/>
      <c r="F103" s="8" t="n"/>
      <c r="G103" s="8" t="n"/>
      <c r="H103" s="8" t="n"/>
      <c r="I103" s="10" t="inlineStr">
        <is>
          <t>9 000 000 + 2 000 000, оба ушли Квалитету</t>
        </is>
      </c>
    </row>
    <row r="104">
      <c r="B104" s="6" t="inlineStr">
        <is>
          <t>Кредитная линия — долг на конец месяца</t>
        </is>
      </c>
      <c r="C104" s="7" t="n">
        <v>27545367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>Кредитная линия — лимит</t>
        </is>
      </c>
      <c r="C105" s="7" t="n">
        <v>30000000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свободный остаток</t>
        </is>
      </c>
      <c r="C106" s="7" t="n">
        <v>2454633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Проценты по кредиту, уплачено</t>
        </is>
      </c>
      <c r="C107" s="7" t="n">
        <v>204388.93</v>
      </c>
      <c r="D107" s="8" t="n"/>
      <c r="E107" s="8" t="n"/>
      <c r="F107" s="8" t="n"/>
      <c r="G107" s="8" t="n"/>
      <c r="H107" s="8" t="n"/>
      <c r="I107" s="10" t="inlineStr">
        <is>
          <t>счёт 67, контрагент «Филиал „Центральный“ Банка ВТБ»; в июле было 151 764,47</t>
        </is>
      </c>
    </row>
    <row r="108">
      <c r="B108" s="6" t="inlineStr">
        <is>
          <t>Проценты по депозитам за месяц</t>
        </is>
      </c>
      <c r="C108" s="7" t="n">
        <v>396337.24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>Остаток наличных в кассе</t>
        </is>
      </c>
      <c r="C109" s="7" t="n"/>
      <c r="D109" s="8" t="n"/>
      <c r="E109" s="8" t="n"/>
      <c r="F109" s="8" t="n"/>
      <c r="G109" s="8" t="n"/>
      <c r="H109" s="8" t="n"/>
      <c r="I109" s="10" t="inlineStr">
        <is>
          <t>не проставлен</t>
        </is>
      </c>
    </row>
    <row r="110">
      <c r="B110" s="6" t="inlineStr">
        <is>
          <t>Комиссия эквайринга</t>
        </is>
      </c>
      <c r="C110" s="7" t="n">
        <v>373487.16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>Онлайн-оплаты через сайт (интернет-эквайринг)</t>
        </is>
      </c>
      <c r="C111" s="7" t="n">
        <v>3284000</v>
      </c>
      <c r="D111" s="8" t="n"/>
      <c r="E111" s="8" t="n"/>
      <c r="F111" s="8" t="n"/>
      <c r="G111" s="8" t="n"/>
      <c r="H111" s="8" t="n"/>
      <c r="I111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3907000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2698594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3846700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2026-09-09T12:00:14Z</dcterms:created>
  <dcterms:modified xsi:type="dcterms:W3CDTF">2026-09-09T12:00:14Z</dcterms:modified>
</cp:coreProperties>
</file>