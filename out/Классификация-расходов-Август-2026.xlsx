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рагенты" sheetId="1" state="visible" r:id="rId1"/>
    <sheet name="Статьи" sheetId="2" state="visible" r:id="rId2"/>
    <sheet name="Сво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—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A1613"/>
      <sz val="14"/>
    </font>
    <font>
      <color rgb="00807A70"/>
      <sz val="9"/>
    </font>
    <font>
      <b val="1"/>
      <color rgb="001A1613"/>
      <sz val="10"/>
    </font>
    <font>
      <color rgb="001A1613"/>
      <sz val="10"/>
    </font>
    <font>
      <color rgb="008A6A3C"/>
      <sz val="10"/>
    </font>
    <font>
      <b val="1"/>
      <color rgb="008A6A3C"/>
      <sz val="10"/>
    </font>
    <font>
      <b val="1"/>
      <color rgb="001A1613"/>
      <sz val="11"/>
    </font>
    <font>
      <b val="1"/>
      <color rgb="008A6A3C"/>
      <sz val="11"/>
    </font>
  </fonts>
  <fills count="4">
    <fill>
      <patternFill/>
    </fill>
    <fill>
      <patternFill patternType="gray125"/>
    </fill>
    <fill>
      <patternFill patternType="solid">
        <fgColor rgb="00EFEAE2"/>
      </patternFill>
    </fill>
    <fill>
      <patternFill patternType="solid">
        <fgColor rgb="00F6F1E8"/>
      </patternFill>
    </fill>
  </fills>
  <borders count="2">
    <border>
      <left/>
      <right/>
      <top/>
      <bottom/>
      <diagonal/>
    </border>
    <border>
      <bottom style="thin">
        <color rgb="00D9D2C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164" fontId="3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indent="2"/>
    </xf>
    <xf numFmtId="0" fontId="2" fillId="0" borderId="1" pivotButton="0" quotePrefix="0" xfId="0"/>
    <xf numFmtId="165" fontId="2" fillId="0" borderId="1" pivotButton="0" quotePrefix="0" xfId="0"/>
    <xf numFmtId="0" fontId="3" fillId="3" borderId="0" applyAlignment="1" pivotButton="0" quotePrefix="0" xfId="0">
      <alignment indent="2"/>
    </xf>
    <xf numFmtId="0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34" customWidth="1" min="4" max="4"/>
    <col width="24" customWidth="1" min="5" max="5"/>
  </cols>
  <sheetData>
    <row r="2">
      <c r="B2" s="1" t="inlineStr">
        <is>
          <t>Контрагенты счёта 60 — что к какой статье относится</t>
        </is>
      </c>
    </row>
    <row r="3">
      <c r="B3" s="2" t="inlineStr">
        <is>
          <t>Меняете статью или блок в этой таблице — суммы на листах «Статьи» и «Свод» пересчитываются сами. Столбцы «Блок» — выпадающий список.</t>
        </is>
      </c>
    </row>
    <row r="5" ht="26" customHeight="1">
      <c r="B5" s="3" t="inlineStr">
        <is>
          <t>Контрагент</t>
        </is>
      </c>
      <c r="C5" s="3" t="inlineStr">
        <is>
          <t>Оплачено</t>
        </is>
      </c>
      <c r="D5" s="3" t="inlineStr">
        <is>
          <t>Статья</t>
        </is>
      </c>
      <c r="E5" s="3" t="inlineStr">
        <is>
          <t>Блок</t>
        </is>
      </c>
    </row>
    <row r="6">
      <c r="B6" s="4" t="inlineStr">
        <is>
          <t>КВАЛИТЕТ ООО</t>
        </is>
      </c>
      <c r="C6" s="5" t="n">
        <v>11000000</v>
      </c>
      <c r="D6" s="4" t="inlineStr">
        <is>
          <t>Ремонт Самокатная 1 стр12</t>
        </is>
      </c>
      <c r="E6" s="6" t="inlineStr">
        <is>
          <t>за счёт кредитной линии</t>
        </is>
      </c>
    </row>
    <row r="7">
      <c r="B7" s="4" t="inlineStr">
        <is>
          <t>Маркарян Максим Рачьянович ИП</t>
        </is>
      </c>
      <c r="C7" s="5" t="n">
        <v>10966274</v>
      </c>
      <c r="D7" s="4" t="inlineStr">
        <is>
          <t>Гонорары ИП хирургов</t>
        </is>
      </c>
      <c r="E7" s="6" t="inlineStr">
        <is>
          <t>медицинские</t>
        </is>
      </c>
    </row>
    <row r="8">
      <c r="B8" s="4" t="inlineStr">
        <is>
          <t>БУРДИНА Е.С. ИП</t>
        </is>
      </c>
      <c r="C8" s="5" t="n">
        <v>5382764</v>
      </c>
      <c r="D8" s="4" t="inlineStr">
        <is>
          <t>Гонорары ИП хирургов</t>
        </is>
      </c>
      <c r="E8" s="6" t="inlineStr">
        <is>
          <t>медицинские</t>
        </is>
      </c>
    </row>
    <row r="9">
      <c r="B9" s="4" t="inlineStr">
        <is>
          <t>Сехина Виктория Дмитриевна</t>
        </is>
      </c>
      <c r="C9" s="5" t="n">
        <v>4692500</v>
      </c>
      <c r="D9" s="4" t="inlineStr">
        <is>
          <t>Урегулирование досудебного спора</t>
        </is>
      </c>
      <c r="E9" s="6" t="inlineStr">
        <is>
          <t>управленческие</t>
        </is>
      </c>
    </row>
    <row r="10">
      <c r="B10" s="4" t="inlineStr">
        <is>
          <t>Ужахов Тимур Магомедович ИП</t>
        </is>
      </c>
      <c r="C10" s="5" t="n">
        <v>4518074</v>
      </c>
      <c r="D10" s="4" t="inlineStr">
        <is>
          <t>Гонорары ИП хирургов</t>
        </is>
      </c>
      <c r="E10" s="6" t="inlineStr">
        <is>
          <t>медицинские</t>
        </is>
      </c>
    </row>
    <row r="11">
      <c r="B11" s="4" t="inlineStr">
        <is>
          <t>КЛОВЕРМЕД ООО</t>
        </is>
      </c>
      <c r="C11" s="5" t="n">
        <v>4196900</v>
      </c>
      <c r="D11" s="4" t="inlineStr">
        <is>
          <t>Импланты</t>
        </is>
      </c>
      <c r="E11" s="6" t="inlineStr">
        <is>
          <t>медицинские</t>
        </is>
      </c>
    </row>
    <row r="12">
      <c r="B12" s="4" t="inlineStr">
        <is>
          <t>Завиркин Антон Владимирович ИП</t>
        </is>
      </c>
      <c r="C12" s="5" t="n">
        <v>2887658</v>
      </c>
      <c r="D12" s="4" t="inlineStr">
        <is>
          <t>ИП Завиркин А.В.</t>
        </is>
      </c>
      <c r="E12" s="6" t="inlineStr">
        <is>
          <t>медицинские</t>
        </is>
      </c>
    </row>
    <row r="13">
      <c r="B13" s="4" t="inlineStr">
        <is>
          <t>Маржохов Астемир Ануарович ИП</t>
        </is>
      </c>
      <c r="C13" s="5" t="n">
        <v>2811745</v>
      </c>
      <c r="D13" s="4" t="inlineStr">
        <is>
          <t>Гонорары ИП хирургов</t>
        </is>
      </c>
      <c r="E13" s="6" t="inlineStr">
        <is>
          <t>медицинские</t>
        </is>
      </c>
    </row>
    <row r="14">
      <c r="B14" s="4" t="inlineStr">
        <is>
          <t>Габеев Алан Ирбекович ИП</t>
        </is>
      </c>
      <c r="C14" s="5" t="n">
        <v>2631347</v>
      </c>
      <c r="D14" s="4" t="inlineStr">
        <is>
          <t>Гонорары ИП хирургов</t>
        </is>
      </c>
      <c r="E14" s="6" t="inlineStr">
        <is>
          <t>медицинские</t>
        </is>
      </c>
    </row>
    <row r="15">
      <c r="B15" s="4" t="inlineStr">
        <is>
          <t>Ласукова Екатерина Борисовна</t>
        </is>
      </c>
      <c r="C15" s="5" t="n">
        <v>2505800</v>
      </c>
      <c r="D15" s="4" t="inlineStr">
        <is>
          <t>Маркетинговые услуги</t>
        </is>
      </c>
      <c r="E15" s="6" t="inlineStr">
        <is>
          <t>управленческие</t>
        </is>
      </c>
    </row>
    <row r="16">
      <c r="B16" s="4" t="inlineStr">
        <is>
          <t>Пономарёва Елена Юрьевна ИП</t>
        </is>
      </c>
      <c r="C16" s="5" t="n">
        <v>2272677</v>
      </c>
      <c r="D16" s="4" t="inlineStr">
        <is>
          <t>Гонорары ИП хирургов</t>
        </is>
      </c>
      <c r="E16" s="6" t="inlineStr">
        <is>
          <t>медицинские</t>
        </is>
      </c>
    </row>
    <row r="17">
      <c r="B17" s="4" t="inlineStr">
        <is>
          <t>БУРДИН С. А. ИП</t>
        </is>
      </c>
      <c r="C17" s="5" t="n">
        <v>2227217</v>
      </c>
      <c r="D17" s="4" t="inlineStr">
        <is>
          <t>Гонорары ИП хирургов</t>
        </is>
      </c>
      <c r="E17" s="6" t="inlineStr">
        <is>
          <t>медицинские</t>
        </is>
      </c>
    </row>
    <row r="18">
      <c r="B18" s="4" t="inlineStr">
        <is>
          <t>Ханукаев Александр Ильич</t>
        </is>
      </c>
      <c r="C18" s="5" t="n">
        <v>2210015</v>
      </c>
      <c r="D18" s="4" t="inlineStr">
        <is>
          <t>Гонорары ИП хирургов</t>
        </is>
      </c>
      <c r="E18" s="6" t="inlineStr">
        <is>
          <t>медицинские</t>
        </is>
      </c>
    </row>
    <row r="19">
      <c r="B19" s="4" t="inlineStr">
        <is>
          <t>СистеМед ООО</t>
        </is>
      </c>
      <c r="C19" s="5" t="n">
        <v>1857678.61</v>
      </c>
      <c r="D19" s="4" t="inlineStr">
        <is>
          <t>Медицинские материалы</t>
        </is>
      </c>
      <c r="E19" s="6" t="inlineStr">
        <is>
          <t>медицинские</t>
        </is>
      </c>
    </row>
    <row r="20">
      <c r="B20" s="4" t="inlineStr">
        <is>
          <t>ПОКАЛЕНЬЕВ Н. С. ИП</t>
        </is>
      </c>
      <c r="C20" s="5" t="n">
        <v>1740957</v>
      </c>
      <c r="D20" s="4" t="inlineStr">
        <is>
          <t>Гонорары ИП хирургов</t>
        </is>
      </c>
      <c r="E20" s="6" t="inlineStr">
        <is>
          <t>медицинские</t>
        </is>
      </c>
    </row>
    <row r="21">
      <c r="B21" s="4" t="inlineStr">
        <is>
          <t>СЛЕСАРЕВ ПАВЕЛ ИГОРЕВИЧ ИП</t>
        </is>
      </c>
      <c r="C21" s="5" t="n">
        <v>1337422</v>
      </c>
      <c r="D21" s="4" t="inlineStr">
        <is>
          <t>Гонорары ИП хирургов</t>
        </is>
      </c>
      <c r="E21" s="6" t="inlineStr">
        <is>
          <t>медицинские</t>
        </is>
      </c>
    </row>
    <row r="22">
      <c r="B22" s="4" t="inlineStr">
        <is>
          <t>ДельтаМед ООО</t>
        </is>
      </c>
      <c r="C22" s="5" t="n">
        <v>1157543.1</v>
      </c>
      <c r="D22" s="4" t="inlineStr">
        <is>
          <t>Расходка</t>
        </is>
      </c>
      <c r="E22" s="6" t="inlineStr">
        <is>
          <t>медицинские</t>
        </is>
      </c>
    </row>
    <row r="23">
      <c r="B23" s="4" t="inlineStr">
        <is>
          <t>Никифоров Сергей Арнольдович</t>
        </is>
      </c>
      <c r="C23" s="5" t="n">
        <v>1155000</v>
      </c>
      <c r="D23" s="4" t="inlineStr">
        <is>
          <t>Аренда Самокатная 1 стр1</t>
        </is>
      </c>
      <c r="E23" s="6" t="inlineStr">
        <is>
          <t>управленческие</t>
        </is>
      </c>
    </row>
    <row r="24">
      <c r="B24" s="4" t="inlineStr">
        <is>
          <t>Врачев Владислав Юрьевич ИП</t>
        </is>
      </c>
      <c r="C24" s="5" t="n">
        <v>927938</v>
      </c>
      <c r="D24" s="4" t="inlineStr">
        <is>
          <t>Гонорары ИП хирургов</t>
        </is>
      </c>
      <c r="E24" s="6" t="inlineStr">
        <is>
          <t>медицинские</t>
        </is>
      </c>
    </row>
    <row r="25">
      <c r="B25" s="4" t="inlineStr">
        <is>
          <t>Береснев Алексей Игоревич ИП</t>
        </is>
      </c>
      <c r="C25" s="5" t="n">
        <v>792876</v>
      </c>
      <c r="D25" s="4" t="inlineStr">
        <is>
          <t>Гонорары ИП хирургов</t>
        </is>
      </c>
      <c r="E25" s="6" t="inlineStr">
        <is>
          <t>медицинские</t>
        </is>
      </c>
    </row>
    <row r="26">
      <c r="B26" s="4" t="inlineStr">
        <is>
          <t>Макеенко Николай Владимирович ИП</t>
        </is>
      </c>
      <c r="C26" s="5" t="n">
        <v>703266</v>
      </c>
      <c r="D26" s="4" t="inlineStr">
        <is>
          <t>Гонорары ИП хирургов</t>
        </is>
      </c>
      <c r="E26" s="6" t="inlineStr">
        <is>
          <t>медицинские</t>
        </is>
      </c>
    </row>
    <row r="27">
      <c r="B27" s="4" t="inlineStr">
        <is>
          <t>ИП КАЧАЯН В.А. ИП</t>
        </is>
      </c>
      <c r="C27" s="5" t="n">
        <v>656611</v>
      </c>
      <c r="D27" s="4" t="inlineStr">
        <is>
          <t>Гонорары ИП хирургов</t>
        </is>
      </c>
      <c r="E27" s="6" t="inlineStr">
        <is>
          <t>медицинские</t>
        </is>
      </c>
    </row>
    <row r="28">
      <c r="B28" s="4" t="inlineStr">
        <is>
          <t>Чугуевская Ирина Сергеевна ИП</t>
        </is>
      </c>
      <c r="C28" s="5" t="n">
        <v>570005</v>
      </c>
      <c r="D28" s="4" t="inlineStr">
        <is>
          <t>ИП Чугуевская (ЗП Заведягин ОН)</t>
        </is>
      </c>
      <c r="E28" s="6" t="inlineStr">
        <is>
          <t>медицинские</t>
        </is>
      </c>
    </row>
    <row r="29">
      <c r="B29" s="4" t="inlineStr">
        <is>
          <t>СИРИУС ММ ООО</t>
        </is>
      </c>
      <c r="C29" s="5" t="n">
        <v>550653.36</v>
      </c>
      <c r="D29" s="4" t="inlineStr">
        <is>
          <t>Расходка</t>
        </is>
      </c>
      <c r="E29" s="6" t="inlineStr">
        <is>
          <t>медицинские</t>
        </is>
      </c>
    </row>
    <row r="30">
      <c r="B30" s="4" t="inlineStr">
        <is>
          <t>Громова Наталья Юрьевна ИП</t>
        </is>
      </c>
      <c r="C30" s="5" t="n">
        <v>516000</v>
      </c>
      <c r="D30" s="4" t="inlineStr">
        <is>
          <t>Ремонт</t>
        </is>
      </c>
      <c r="E30" s="6" t="inlineStr">
        <is>
          <t>управленческие</t>
        </is>
      </c>
    </row>
    <row r="31">
      <c r="B31" s="4" t="inlineStr">
        <is>
          <t>КИТ МЕД ООО</t>
        </is>
      </c>
      <c r="C31" s="5" t="n">
        <v>515528</v>
      </c>
      <c r="D31" s="4" t="inlineStr">
        <is>
          <t>Медоборудование и расходники</t>
        </is>
      </c>
      <c r="E31" s="6" t="inlineStr">
        <is>
          <t>медицинские</t>
        </is>
      </c>
    </row>
    <row r="32">
      <c r="B32" s="4" t="inlineStr">
        <is>
          <t>ЦВ ПРОТЕК АО</t>
        </is>
      </c>
      <c r="C32" s="5" t="n">
        <v>477406.58</v>
      </c>
      <c r="D32" s="4" t="inlineStr">
        <is>
          <t>Лекарства</t>
        </is>
      </c>
      <c r="E32" s="6" t="inlineStr">
        <is>
          <t>медицинские</t>
        </is>
      </c>
    </row>
    <row r="33">
      <c r="B33" s="4" t="inlineStr">
        <is>
          <t>ИТ-ЭКСПЕРТ ООО</t>
        </is>
      </c>
      <c r="C33" s="5" t="n">
        <v>435435</v>
      </c>
      <c r="D33" s="4" t="inlineStr">
        <is>
          <t>Обслуживание 1СУправление</t>
        </is>
      </c>
      <c r="E33" s="6" t="inlineStr">
        <is>
          <t>управленческие</t>
        </is>
      </c>
    </row>
    <row r="34">
      <c r="B34" s="4" t="inlineStr">
        <is>
          <t>АЛЬДЖЕНСА ООО</t>
        </is>
      </c>
      <c r="C34" s="5" t="n">
        <v>376950</v>
      </c>
      <c r="D34" s="4" t="inlineStr">
        <is>
          <t>Питание</t>
        </is>
      </c>
      <c r="E34" s="6" t="inlineStr">
        <is>
          <t>медицинские</t>
        </is>
      </c>
    </row>
    <row r="35">
      <c r="B35" s="4" t="inlineStr">
        <is>
          <t>ВИТТА КОМПАНИ ООО</t>
        </is>
      </c>
      <c r="C35" s="5" t="n">
        <v>349946.07</v>
      </c>
      <c r="D35" s="4" t="inlineStr">
        <is>
          <t>Лекарства</t>
        </is>
      </c>
      <c r="E35" s="6" t="inlineStr">
        <is>
          <t>медицинские</t>
        </is>
      </c>
    </row>
    <row r="36">
      <c r="B36" s="4" t="inlineStr">
        <is>
          <t>РЕНЕССАНС ЭСТЕТИКА ООО</t>
        </is>
      </c>
      <c r="C36" s="5" t="n">
        <v>331000</v>
      </c>
      <c r="D36" s="4" t="inlineStr">
        <is>
          <t>Импланты</t>
        </is>
      </c>
      <c r="E36" s="6" t="inlineStr">
        <is>
          <t>медицинские</t>
        </is>
      </c>
    </row>
    <row r="37">
      <c r="B37" s="4" t="inlineStr">
        <is>
          <t>Электростальский филиал МОКА</t>
        </is>
      </c>
      <c r="C37" s="5" t="n">
        <v>330000</v>
      </c>
      <c r="D37" s="4" t="inlineStr">
        <is>
          <t>Услуги юриста</t>
        </is>
      </c>
      <c r="E37" s="6" t="inlineStr">
        <is>
          <t>управленческие</t>
        </is>
      </c>
    </row>
    <row r="38">
      <c r="B38" s="4" t="inlineStr">
        <is>
          <t>Самозанятый Завиркина Лилия Викторовна</t>
        </is>
      </c>
      <c r="C38" s="5" t="n">
        <v>320000</v>
      </c>
      <c r="D38" s="4" t="inlineStr">
        <is>
          <t>Складской учет</t>
        </is>
      </c>
      <c r="E38" s="6" t="inlineStr">
        <is>
          <t>управленческие</t>
        </is>
      </c>
    </row>
    <row r="39">
      <c r="B39" s="4" t="inlineStr">
        <is>
          <t>Стародубов Дмитрий Александрович ИП</t>
        </is>
      </c>
      <c r="C39" s="5" t="n">
        <v>293400</v>
      </c>
      <c r="D39" s="4" t="inlineStr">
        <is>
          <t>Медицинские материалы</t>
        </is>
      </c>
      <c r="E39" s="6" t="inlineStr">
        <is>
          <t>медицинские</t>
        </is>
      </c>
    </row>
    <row r="40">
      <c r="B40" s="4" t="inlineStr">
        <is>
          <t>ПФ СКБ Контур АО</t>
        </is>
      </c>
      <c r="C40" s="5" t="n">
        <v>279349.86</v>
      </c>
      <c r="D40" s="4" t="inlineStr">
        <is>
          <t>ПО и IT-сервисы</t>
        </is>
      </c>
      <c r="E40" s="6" t="inlineStr">
        <is>
          <t>управленческие</t>
        </is>
      </c>
    </row>
    <row r="41">
      <c r="B41" s="4" t="inlineStr">
        <is>
          <t>Выскуб Ольга Анатольевна ИП</t>
        </is>
      </c>
      <c r="C41" s="5" t="n">
        <v>275300</v>
      </c>
      <c r="D41" s="4" t="inlineStr">
        <is>
          <t>Гонорары ИП хирургов</t>
        </is>
      </c>
      <c r="E41" s="6" t="inlineStr">
        <is>
          <t>медицинские</t>
        </is>
      </c>
    </row>
    <row r="42">
      <c r="B42" s="4" t="inlineStr">
        <is>
          <t>РОКЕТ СЕРВИС ООО</t>
        </is>
      </c>
      <c r="C42" s="5" t="n">
        <v>264850</v>
      </c>
      <c r="D42" s="4" t="inlineStr">
        <is>
          <t>Битрикс 24</t>
        </is>
      </c>
      <c r="E42" s="6" t="inlineStr">
        <is>
          <t>управленческие</t>
        </is>
      </c>
    </row>
    <row r="43">
      <c r="B43" s="4" t="inlineStr">
        <is>
          <t>ГЕРАСИМОВА А.В. ИП</t>
        </is>
      </c>
      <c r="C43" s="5" t="n">
        <v>260766</v>
      </c>
      <c r="D43" s="4" t="inlineStr">
        <is>
          <t>Гонорары ИП хирургов</t>
        </is>
      </c>
      <c r="E43" s="6" t="inlineStr">
        <is>
          <t>медицинские</t>
        </is>
      </c>
    </row>
    <row r="44">
      <c r="B44" s="4" t="inlineStr">
        <is>
          <t>Хафизов Станислав Ильшатович ИП</t>
        </is>
      </c>
      <c r="C44" s="5" t="n">
        <v>254000</v>
      </c>
      <c r="D44" s="4" t="inlineStr">
        <is>
          <t>Сайт</t>
        </is>
      </c>
      <c r="E44" s="6" t="inlineStr">
        <is>
          <t>управленческие</t>
        </is>
      </c>
    </row>
    <row r="45">
      <c r="B45" s="4" t="inlineStr">
        <is>
          <t>КРЕЙТ ООО</t>
        </is>
      </c>
      <c r="C45" s="5" t="n">
        <v>246913.68</v>
      </c>
      <c r="D45" s="4" t="inlineStr">
        <is>
          <t>Медицинские материалы</t>
        </is>
      </c>
      <c r="E45" s="6" t="inlineStr">
        <is>
          <t>медицинские</t>
        </is>
      </c>
    </row>
    <row r="46">
      <c r="B46" s="4" t="inlineStr">
        <is>
          <t>МЕДПРО ООО</t>
        </is>
      </c>
      <c r="C46" s="5" t="n">
        <v>235200</v>
      </c>
      <c r="D46" s="4" t="inlineStr">
        <is>
          <t>Белье</t>
        </is>
      </c>
      <c r="E46" s="6" t="inlineStr">
        <is>
          <t>медицинские</t>
        </is>
      </c>
    </row>
    <row r="47">
      <c r="B47" s="4" t="inlineStr">
        <is>
          <t>ЛЕ МОНЛИД ООО</t>
        </is>
      </c>
      <c r="C47" s="5" t="n">
        <v>222551.24</v>
      </c>
      <c r="D47" s="4" t="inlineStr">
        <is>
          <t>Медицинские материалы</t>
        </is>
      </c>
      <c r="E47" s="6" t="inlineStr">
        <is>
          <t>медицинские</t>
        </is>
      </c>
    </row>
    <row r="48">
      <c r="B48" s="4" t="inlineStr">
        <is>
          <t>Рыболова Анастасия Алексеевна ИП</t>
        </is>
      </c>
      <c r="C48" s="5" t="n">
        <v>220000</v>
      </c>
      <c r="D48" s="4" t="inlineStr">
        <is>
          <t>Расходка</t>
        </is>
      </c>
      <c r="E48" s="6" t="inlineStr">
        <is>
          <t>медицинские</t>
        </is>
      </c>
    </row>
    <row r="49">
      <c r="B49" s="4" t="inlineStr">
        <is>
          <t>Богачко Елизавета Максимовна ИП</t>
        </is>
      </c>
      <c r="C49" s="5" t="n">
        <v>210000</v>
      </c>
      <c r="D49" s="4" t="inlineStr">
        <is>
          <t>Аренда Inmode</t>
        </is>
      </c>
      <c r="E49" s="6" t="inlineStr">
        <is>
          <t>медицинские</t>
        </is>
      </c>
    </row>
    <row r="50">
      <c r="B50" s="4" t="inlineStr">
        <is>
          <t>МЕДИНТОРГ АО</t>
        </is>
      </c>
      <c r="C50" s="5" t="n">
        <v>206303.7</v>
      </c>
      <c r="D50" s="4" t="inlineStr">
        <is>
          <t>Расходка</t>
        </is>
      </c>
      <c r="E50" s="6" t="inlineStr">
        <is>
          <t>медицинские</t>
        </is>
      </c>
    </row>
    <row r="51">
      <c r="B51" s="4" t="inlineStr">
        <is>
          <t>ФГБУЗ Центр крови ФМБА России УФК по г.Москве (ФГБУЗ Центр крови ФМБА России) л/с 20736У64550</t>
        </is>
      </c>
      <c r="C51" s="5" t="n">
        <v>181735.9</v>
      </c>
      <c r="D51" s="4" t="inlineStr">
        <is>
          <t>Кровь</t>
        </is>
      </c>
      <c r="E51" s="6" t="inlineStr">
        <is>
          <t>медицинские</t>
        </is>
      </c>
    </row>
    <row r="52">
      <c r="B52" s="4" t="inlineStr">
        <is>
          <t>ПЗСПП ООО</t>
        </is>
      </c>
      <c r="C52" s="5" t="n">
        <v>179400</v>
      </c>
      <c r="D52" s="4" t="inlineStr">
        <is>
          <t>Светильники и оборудование</t>
        </is>
      </c>
      <c r="E52" s="6" t="inlineStr">
        <is>
          <t>управленческие</t>
        </is>
      </c>
    </row>
    <row r="53">
      <c r="B53" s="4" t="inlineStr">
        <is>
          <t>БЕЛВА ООО ПТК</t>
        </is>
      </c>
      <c r="C53" s="5" t="n">
        <v>173834.16</v>
      </c>
      <c r="D53" s="4" t="inlineStr">
        <is>
          <t>Медоборудование</t>
        </is>
      </c>
      <c r="E53" s="6" t="inlineStr">
        <is>
          <t>медицинские</t>
        </is>
      </c>
    </row>
    <row r="54">
      <c r="B54" s="4" t="inlineStr">
        <is>
          <t>Самозанятый Маланичев Юрий Васильевич</t>
        </is>
      </c>
      <c r="C54" s="5" t="n">
        <v>159575</v>
      </c>
      <c r="D54" s="4" t="inlineStr">
        <is>
          <t>Услуги инженера</t>
        </is>
      </c>
      <c r="E54" s="6" t="inlineStr">
        <is>
          <t>управленческие</t>
        </is>
      </c>
    </row>
    <row r="55">
      <c r="B55" s="4" t="inlineStr">
        <is>
          <t>КОМУС ООО</t>
        </is>
      </c>
      <c r="C55" s="5" t="n">
        <v>157671.72</v>
      </c>
      <c r="D55" s="4" t="inlineStr">
        <is>
          <t>Канц и хоз расходы</t>
        </is>
      </c>
      <c r="E55" s="6" t="inlineStr">
        <is>
          <t>управленческие</t>
        </is>
      </c>
    </row>
    <row r="56">
      <c r="B56" s="4" t="inlineStr">
        <is>
          <t>ИМОТИО ООО</t>
        </is>
      </c>
      <c r="C56" s="5" t="n">
        <v>152250</v>
      </c>
      <c r="D56" s="4" t="inlineStr">
        <is>
          <t>Сервис речевой аналитики</t>
        </is>
      </c>
      <c r="E56" s="6" t="inlineStr">
        <is>
          <t>управленческие</t>
        </is>
      </c>
    </row>
    <row r="57">
      <c r="B57" s="4" t="inlineStr">
        <is>
          <t>Кудря Дарья Сергеевна ИП</t>
        </is>
      </c>
      <c r="C57" s="5" t="n">
        <v>149600</v>
      </c>
      <c r="D57" s="4" t="inlineStr">
        <is>
          <t>Фото видео</t>
        </is>
      </c>
      <c r="E57" s="6" t="inlineStr">
        <is>
          <t>управленческие</t>
        </is>
      </c>
    </row>
    <row r="58">
      <c r="B58" s="4" t="inlineStr">
        <is>
          <t>АЛКАНА А ООО</t>
        </is>
      </c>
      <c r="C58" s="5" t="n">
        <v>146600</v>
      </c>
      <c r="D58" s="4" t="inlineStr">
        <is>
          <t>Медицинские материалы</t>
        </is>
      </c>
      <c r="E58" s="6" t="inlineStr">
        <is>
          <t>медицинские</t>
        </is>
      </c>
    </row>
    <row r="59">
      <c r="B59" s="4" t="inlineStr">
        <is>
          <t>ИТМЕДИКАЛ ООО</t>
        </is>
      </c>
      <c r="C59" s="5" t="n">
        <v>136000</v>
      </c>
      <c r="D59" s="4" t="inlineStr">
        <is>
          <t>Импланты</t>
        </is>
      </c>
      <c r="E59" s="6" t="inlineStr">
        <is>
          <t>медицинские</t>
        </is>
      </c>
    </row>
    <row r="60">
      <c r="B60" s="4" t="inlineStr">
        <is>
          <t>ТД ТИНКО ООО</t>
        </is>
      </c>
      <c r="C60" s="5" t="n">
        <v>118740.75</v>
      </c>
      <c r="D60" s="4" t="inlineStr">
        <is>
          <t>Медицинские материалы</t>
        </is>
      </c>
      <c r="E60" s="6" t="inlineStr">
        <is>
          <t>медицинские</t>
        </is>
      </c>
    </row>
    <row r="61">
      <c r="B61" s="4" t="inlineStr">
        <is>
          <t>Елизаров Андрей Владимирович ИП</t>
        </is>
      </c>
      <c r="C61" s="5" t="n">
        <v>118735.06</v>
      </c>
      <c r="D61" s="4" t="inlineStr">
        <is>
          <t>IT услуги</t>
        </is>
      </c>
      <c r="E61" s="6" t="inlineStr">
        <is>
          <t>управленческие</t>
        </is>
      </c>
    </row>
    <row r="62">
      <c r="B62" s="4" t="inlineStr">
        <is>
          <t>А410 ООО</t>
        </is>
      </c>
      <c r="C62" s="5" t="n">
        <v>114858</v>
      </c>
      <c r="D62" s="4" t="inlineStr">
        <is>
          <t>Косметология</t>
        </is>
      </c>
      <c r="E62" s="6" t="inlineStr">
        <is>
          <t>управленческие</t>
        </is>
      </c>
    </row>
    <row r="63">
      <c r="B63" s="4" t="inlineStr">
        <is>
          <t>Ершов Эдуард Владимирович ИП</t>
        </is>
      </c>
      <c r="C63" s="5" t="n">
        <v>111300</v>
      </c>
      <c r="D63" s="4" t="inlineStr">
        <is>
          <t>Фото видео</t>
        </is>
      </c>
      <c r="E63" s="6" t="inlineStr">
        <is>
          <t>управленческие</t>
        </is>
      </c>
    </row>
    <row r="64">
      <c r="B64" s="4" t="inlineStr">
        <is>
          <t>МИА ООО</t>
        </is>
      </c>
      <c r="C64" s="5" t="n">
        <v>110000</v>
      </c>
      <c r="D64" s="4" t="inlineStr">
        <is>
          <t>Белье</t>
        </is>
      </c>
      <c r="E64" s="6" t="inlineStr">
        <is>
          <t>медицинские</t>
        </is>
      </c>
    </row>
    <row r="65">
      <c r="B65" s="4" t="inlineStr">
        <is>
          <t>Дубровина Юлия Игоревна ИП</t>
        </is>
      </c>
      <c r="C65" s="5" t="n">
        <v>104374</v>
      </c>
      <c r="D65" s="4" t="inlineStr">
        <is>
          <t>Гонорары ИП хирургов</t>
        </is>
      </c>
      <c r="E65" s="6" t="inlineStr">
        <is>
          <t>медицинские</t>
        </is>
      </c>
    </row>
    <row r="66">
      <c r="B66" s="4" t="inlineStr">
        <is>
          <t>КДЛ ДОМОДЕДОВО-ТЕСТ ООО</t>
        </is>
      </c>
      <c r="C66" s="5" t="n">
        <v>102102</v>
      </c>
      <c r="D66" s="4" t="inlineStr">
        <is>
          <t>Анализы</t>
        </is>
      </c>
      <c r="E66" s="6" t="inlineStr">
        <is>
          <t>медицинские</t>
        </is>
      </c>
    </row>
    <row r="67">
      <c r="B67" s="4" t="inlineStr">
        <is>
          <t>Звоник Юрий Алексеевич</t>
        </is>
      </c>
      <c r="C67" s="5" t="n">
        <v>100000</v>
      </c>
      <c r="D67" s="4" t="inlineStr">
        <is>
          <t>Реклама</t>
        </is>
      </c>
      <c r="E67" s="6" t="inlineStr">
        <is>
          <t>управленческие</t>
        </is>
      </c>
    </row>
    <row r="68">
      <c r="B68" s="4" t="inlineStr">
        <is>
          <t>ЯНДЕКС.ТАКСИ ООО</t>
        </is>
      </c>
      <c r="C68" s="5" t="n">
        <v>100000</v>
      </c>
      <c r="D68" s="4" t="inlineStr">
        <is>
          <t>Такси</t>
        </is>
      </c>
      <c r="E68" s="6" t="inlineStr">
        <is>
          <t>управленческие</t>
        </is>
      </c>
    </row>
    <row r="69">
      <c r="B69" s="4" t="inlineStr">
        <is>
          <t>ТЕХПРОФИТ ООО</t>
        </is>
      </c>
      <c r="C69" s="5" t="n">
        <v>99200</v>
      </c>
      <c r="D69" s="4" t="inlineStr">
        <is>
          <t>IT услуги</t>
        </is>
      </c>
      <c r="E69" s="6" t="inlineStr">
        <is>
          <t>управленческие</t>
        </is>
      </c>
    </row>
    <row r="70">
      <c r="B70" s="4" t="inlineStr">
        <is>
          <t>Самозанятый Дроздецкий Дмитрий Александрович</t>
        </is>
      </c>
      <c r="C70" s="5" t="n">
        <v>90100</v>
      </c>
      <c r="D70" s="4" t="inlineStr">
        <is>
          <t>Реклама</t>
        </is>
      </c>
      <c r="E70" s="6" t="inlineStr">
        <is>
          <t>управленческие</t>
        </is>
      </c>
    </row>
    <row r="71">
      <c r="B71" s="4" t="inlineStr">
        <is>
          <t>ДельтаМедКомпани ООО</t>
        </is>
      </c>
      <c r="C71" s="5" t="n">
        <v>87600</v>
      </c>
      <c r="D71" s="4" t="inlineStr">
        <is>
          <t>Расходка</t>
        </is>
      </c>
      <c r="E71" s="6" t="inlineStr">
        <is>
          <t>медицинские</t>
        </is>
      </c>
    </row>
    <row r="72">
      <c r="B72" s="4" t="inlineStr">
        <is>
          <t>ИННОВАЦИОННЫЕ ТЕХНОЛОГИИ ООО</t>
        </is>
      </c>
      <c r="C72" s="5" t="n">
        <v>85000</v>
      </c>
      <c r="D72" s="4" t="inlineStr">
        <is>
          <t>Внедрение финансового учёта</t>
        </is>
      </c>
      <c r="E72" s="6" t="inlineStr">
        <is>
          <t>управленческие</t>
        </is>
      </c>
    </row>
    <row r="73">
      <c r="B73" s="4" t="inlineStr">
        <is>
          <t>ЦЕНТР-ОТЕЛЬ ООО</t>
        </is>
      </c>
      <c r="C73" s="5" t="n">
        <v>81075</v>
      </c>
      <c r="D73" s="4" t="inlineStr">
        <is>
          <t>Краснодар</t>
        </is>
      </c>
      <c r="E73" s="6" t="inlineStr">
        <is>
          <t>управленческие</t>
        </is>
      </c>
    </row>
    <row r="74">
      <c r="B74" s="4" t="inlineStr">
        <is>
          <t>М-ИНВЕСТ ООО</t>
        </is>
      </c>
      <c r="C74" s="5" t="n">
        <v>77412</v>
      </c>
      <c r="D74" s="4" t="inlineStr">
        <is>
          <t>Медицинские материалы</t>
        </is>
      </c>
      <c r="E74" s="6" t="inlineStr">
        <is>
          <t>медицинские</t>
        </is>
      </c>
    </row>
    <row r="75">
      <c r="B75" s="4" t="inlineStr">
        <is>
          <t>ИНТЕРНЕТ РЕШЕНИЯ ООО</t>
        </is>
      </c>
      <c r="C75" s="5" t="n">
        <v>77247</v>
      </c>
      <c r="D75" s="4" t="inlineStr">
        <is>
          <t>Хоз расходы</t>
        </is>
      </c>
      <c r="E75" s="6" t="inlineStr">
        <is>
          <t>управленческие</t>
        </is>
      </c>
    </row>
    <row r="76">
      <c r="B76" s="4" t="inlineStr">
        <is>
          <t>ДЕЗНЭТ ООО</t>
        </is>
      </c>
      <c r="C76" s="5" t="n">
        <v>76940</v>
      </c>
      <c r="D76" s="4" t="inlineStr">
        <is>
          <t>Медицинские материалы</t>
        </is>
      </c>
      <c r="E76" s="6" t="inlineStr">
        <is>
          <t>медицинские</t>
        </is>
      </c>
    </row>
    <row r="77">
      <c r="B77" s="4" t="inlineStr">
        <is>
          <t>Самозанятый Лукина Екатерина Витальевна</t>
        </is>
      </c>
      <c r="C77" s="5" t="n">
        <v>76540</v>
      </c>
      <c r="D77" s="4" t="inlineStr">
        <is>
          <t>Фото видео</t>
        </is>
      </c>
      <c r="E77" s="6" t="inlineStr">
        <is>
          <t>управленческие</t>
        </is>
      </c>
    </row>
    <row r="78">
      <c r="B78" s="4" t="inlineStr">
        <is>
          <t>ПРОМТЕКСТИЛЬ ООО ТД</t>
        </is>
      </c>
      <c r="C78" s="5" t="n">
        <v>76000</v>
      </c>
      <c r="D78" s="4" t="inlineStr">
        <is>
          <t>Медицинские материалы</t>
        </is>
      </c>
      <c r="E78" s="6" t="inlineStr">
        <is>
          <t>медицинские</t>
        </is>
      </c>
    </row>
    <row r="79">
      <c r="B79" s="4" t="inlineStr">
        <is>
          <t>Самозанятый Орлов Сергей Юрьевич</t>
        </is>
      </c>
      <c r="C79" s="5" t="n">
        <v>72360</v>
      </c>
      <c r="D79" s="4" t="inlineStr">
        <is>
          <t>Общехозяйственные</t>
        </is>
      </c>
      <c r="E79" s="6" t="inlineStr">
        <is>
          <t>управленческие</t>
        </is>
      </c>
    </row>
    <row r="80">
      <c r="B80" s="4" t="inlineStr">
        <is>
          <t>Евтеев Александр Викторович Самозанятый</t>
        </is>
      </c>
      <c r="C80" s="5" t="n">
        <v>64756</v>
      </c>
      <c r="D80" s="4" t="inlineStr">
        <is>
          <t>Консультационные услуги</t>
        </is>
      </c>
      <c r="E80" s="6" t="inlineStr">
        <is>
          <t>управленческие</t>
        </is>
      </c>
    </row>
    <row r="81">
      <c r="B81" s="4" t="inlineStr">
        <is>
          <t>АЛКАНА М ООО</t>
        </is>
      </c>
      <c r="C81" s="5" t="n">
        <v>64600</v>
      </c>
      <c r="D81" s="4" t="inlineStr">
        <is>
          <t>Импланты</t>
        </is>
      </c>
      <c r="E81" s="6" t="inlineStr">
        <is>
          <t>медицинские</t>
        </is>
      </c>
    </row>
    <row r="82">
      <c r="B82" s="4" t="inlineStr">
        <is>
          <t>СитиМед ООО</t>
        </is>
      </c>
      <c r="C82" s="5" t="n">
        <v>63600</v>
      </c>
      <c r="D82" s="4" t="inlineStr">
        <is>
          <t>Бланки, мед.журналы, мед.книжки</t>
        </is>
      </c>
      <c r="E82" s="6" t="inlineStr">
        <is>
          <t>медицинские</t>
        </is>
      </c>
    </row>
    <row r="83">
      <c r="B83" s="4" t="inlineStr">
        <is>
          <t>ЭКОТЕХПРОМ АО</t>
        </is>
      </c>
      <c r="C83" s="5" t="n">
        <v>52136.72</v>
      </c>
      <c r="D83" s="4" t="inlineStr">
        <is>
          <t>Вывоз ТКО и мед отходов</t>
        </is>
      </c>
      <c r="E83" s="6" t="inlineStr">
        <is>
          <t>медицинские</t>
        </is>
      </c>
    </row>
    <row r="84">
      <c r="B84" s="4" t="inlineStr">
        <is>
          <t>МЕДИКЛЦЕНТРСЕРВИС ООО</t>
        </is>
      </c>
      <c r="C84" s="5" t="n">
        <v>51760</v>
      </c>
      <c r="D84" s="4" t="inlineStr">
        <is>
          <t>Медицинские материалы</t>
        </is>
      </c>
      <c r="E84" s="6" t="inlineStr">
        <is>
          <t>медицинские</t>
        </is>
      </c>
    </row>
    <row r="85">
      <c r="B85" s="4" t="inlineStr">
        <is>
          <t>КРИОФАРМ ООО</t>
        </is>
      </c>
      <c r="C85" s="5" t="n">
        <v>51675</v>
      </c>
      <c r="D85" s="4" t="inlineStr">
        <is>
          <t>Медицинские материалы</t>
        </is>
      </c>
      <c r="E85" s="6" t="inlineStr">
        <is>
          <t>медицинские</t>
        </is>
      </c>
    </row>
    <row r="86">
      <c r="B86" s="4" t="inlineStr">
        <is>
          <t>БАРИСТА ООО</t>
        </is>
      </c>
      <c r="C86" s="5" t="n">
        <v>48301.44</v>
      </c>
      <c r="D86" s="4" t="inlineStr">
        <is>
          <t>Кофе</t>
        </is>
      </c>
      <c r="E86" s="6" t="inlineStr">
        <is>
          <t>управленческие</t>
        </is>
      </c>
    </row>
    <row r="87">
      <c r="B87" s="4" t="inlineStr">
        <is>
          <t>СИСТЕМА ООО</t>
        </is>
      </c>
      <c r="C87" s="5" t="n">
        <v>48285.78</v>
      </c>
      <c r="D87" s="4" t="inlineStr">
        <is>
          <t>Медицинские материалы</t>
        </is>
      </c>
      <c r="E87" s="6" t="inlineStr">
        <is>
          <t>медицинские</t>
        </is>
      </c>
    </row>
    <row r="88">
      <c r="B88" s="4" t="inlineStr">
        <is>
          <t>Семин Сергей Владиславович</t>
        </is>
      </c>
      <c r="C88" s="5" t="n">
        <v>40000</v>
      </c>
      <c r="D88" s="4" t="inlineStr">
        <is>
          <t>Цветы</t>
        </is>
      </c>
      <c r="E88" s="6" t="inlineStr">
        <is>
          <t>управленческие</t>
        </is>
      </c>
    </row>
    <row r="89">
      <c r="B89" s="4" t="inlineStr">
        <is>
          <t>КОЛТАЧ СОЛЮШНС ООО</t>
        </is>
      </c>
      <c r="C89" s="5" t="n">
        <v>39200</v>
      </c>
      <c r="D89" s="4" t="inlineStr">
        <is>
          <t>Программное обнспечение</t>
        </is>
      </c>
      <c r="E89" s="6" t="inlineStr">
        <is>
          <t>управленческие</t>
        </is>
      </c>
    </row>
    <row r="90">
      <c r="B90" s="4" t="inlineStr">
        <is>
          <t>СМБ-СЕРВИС ООО</t>
        </is>
      </c>
      <c r="C90" s="5" t="n">
        <v>37700</v>
      </c>
      <c r="D90" s="4" t="inlineStr">
        <is>
          <t>Реклама</t>
        </is>
      </c>
      <c r="E90" s="6" t="inlineStr">
        <is>
          <t>управленческие</t>
        </is>
      </c>
    </row>
    <row r="91">
      <c r="B91" s="4" t="inlineStr">
        <is>
          <t>ГРАНД КОМФОРТ ООО</t>
        </is>
      </c>
      <c r="C91" s="5" t="n">
        <v>37568</v>
      </c>
      <c r="D91" s="4" t="inlineStr">
        <is>
          <t>Средства гигиены</t>
        </is>
      </c>
      <c r="E91" s="6" t="inlineStr">
        <is>
          <t>управленческие</t>
        </is>
      </c>
    </row>
    <row r="92">
      <c r="B92" s="4" t="inlineStr">
        <is>
          <t>ДОКТОР ДИСКАУНТ ООО</t>
        </is>
      </c>
      <c r="C92" s="5" t="n">
        <v>35920.61</v>
      </c>
      <c r="D92" s="4" t="inlineStr">
        <is>
          <t>Доктор Дискаунт (назначение уточняется)</t>
        </is>
      </c>
      <c r="E92" s="6" t="inlineStr">
        <is>
          <t>управленческие</t>
        </is>
      </c>
    </row>
    <row r="93">
      <c r="B93" s="4" t="inlineStr">
        <is>
          <t>Селектел АО</t>
        </is>
      </c>
      <c r="C93" s="5" t="n">
        <v>30000</v>
      </c>
      <c r="D93" s="4" t="inlineStr">
        <is>
          <t>IT услуги</t>
        </is>
      </c>
      <c r="E93" s="6" t="inlineStr">
        <is>
          <t>управленческие</t>
        </is>
      </c>
    </row>
    <row r="94">
      <c r="B94" s="4" t="inlineStr">
        <is>
          <t>МЕДЛИГА АО</t>
        </is>
      </c>
      <c r="C94" s="5" t="n">
        <v>29800</v>
      </c>
      <c r="D94" s="4" t="inlineStr">
        <is>
          <t>Капвложения и работы</t>
        </is>
      </c>
      <c r="E94" s="6" t="inlineStr">
        <is>
          <t>управленческие</t>
        </is>
      </c>
    </row>
    <row r="95">
      <c r="B95" s="4" t="inlineStr">
        <is>
          <t>ХЭДХАНТЕР ООО</t>
        </is>
      </c>
      <c r="C95" s="5" t="n">
        <v>27629</v>
      </c>
      <c r="D95" s="4" t="inlineStr">
        <is>
          <t>Подбор персонала</t>
        </is>
      </c>
      <c r="E95" s="6" t="inlineStr">
        <is>
          <t>управленческие</t>
        </is>
      </c>
    </row>
    <row r="96">
      <c r="B96" s="4" t="inlineStr">
        <is>
          <t>ЭКМУС ООО</t>
        </is>
      </c>
      <c r="C96" s="5" t="n">
        <v>23625</v>
      </c>
      <c r="D96" s="4" t="inlineStr">
        <is>
          <t>Утилизация медотходов</t>
        </is>
      </c>
      <c r="E96" s="6" t="inlineStr">
        <is>
          <t>медицинские</t>
        </is>
      </c>
    </row>
    <row r="97">
      <c r="B97" s="4" t="inlineStr">
        <is>
          <t>МЕТАЛЛИЧЕСКАЯ МЕБЕЛЬ ООО</t>
        </is>
      </c>
      <c r="C97" s="5" t="n">
        <v>22130</v>
      </c>
      <c r="D97" s="4" t="inlineStr">
        <is>
          <t>Мебель, инвентарь</t>
        </is>
      </c>
      <c r="E97" s="6" t="inlineStr">
        <is>
          <t>управленческие</t>
        </is>
      </c>
    </row>
    <row r="98">
      <c r="B98" s="4" t="inlineStr">
        <is>
          <t>МАНГО ТЕЛЕКОМ ООО</t>
        </is>
      </c>
      <c r="C98" s="5" t="n">
        <v>20000</v>
      </c>
      <c r="D98" s="4" t="inlineStr">
        <is>
          <t>Связь</t>
        </is>
      </c>
      <c r="E98" s="6" t="inlineStr">
        <is>
          <t>управленческие</t>
        </is>
      </c>
    </row>
    <row r="99">
      <c r="B99" s="4" t="inlineStr">
        <is>
          <t>ТАТАРОВА В. Г. ИП</t>
        </is>
      </c>
      <c r="C99" s="5" t="n">
        <v>20000</v>
      </c>
      <c r="D99" s="4" t="inlineStr">
        <is>
          <t>Вода</t>
        </is>
      </c>
      <c r="E99" s="6" t="inlineStr">
        <is>
          <t>управленческие</t>
        </is>
      </c>
    </row>
    <row r="100">
      <c r="B100" s="4" t="inlineStr">
        <is>
          <t>ТАКСКОМ ООО</t>
        </is>
      </c>
      <c r="C100" s="5" t="n">
        <v>17900</v>
      </c>
      <c r="D100" s="4" t="inlineStr">
        <is>
          <t>Техподдержка ККТ</t>
        </is>
      </c>
      <c r="E100" s="6" t="inlineStr">
        <is>
          <t>управленческие</t>
        </is>
      </c>
    </row>
    <row r="101">
      <c r="B101" s="4" t="inlineStr">
        <is>
          <t>МРК-СНАБ ООО</t>
        </is>
      </c>
      <c r="C101" s="5" t="n">
        <v>17750</v>
      </c>
      <c r="D101" s="4" t="inlineStr">
        <is>
          <t>Расходка</t>
        </is>
      </c>
      <c r="E101" s="6" t="inlineStr">
        <is>
          <t>медицинские</t>
        </is>
      </c>
    </row>
    <row r="102">
      <c r="B102" s="4" t="inlineStr">
        <is>
          <t>ОнЛайн Трейд ООО</t>
        </is>
      </c>
      <c r="C102" s="5" t="n">
        <v>17740</v>
      </c>
      <c r="D102" s="4" t="inlineStr">
        <is>
          <t>Электрооборудование</t>
        </is>
      </c>
      <c r="E102" s="6" t="inlineStr">
        <is>
          <t>управленческие</t>
        </is>
      </c>
    </row>
    <row r="103">
      <c r="B103" s="4" t="inlineStr">
        <is>
          <t>КантриКом АО</t>
        </is>
      </c>
      <c r="C103" s="5" t="n">
        <v>17568</v>
      </c>
      <c r="D103" s="4" t="inlineStr">
        <is>
          <t>Связь</t>
        </is>
      </c>
      <c r="E103" s="6" t="inlineStr">
        <is>
          <t>управленческие</t>
        </is>
      </c>
    </row>
    <row r="104">
      <c r="B104" s="4" t="inlineStr">
        <is>
          <t>ЧОО Спектр секъюрити ООО</t>
        </is>
      </c>
      <c r="C104" s="5" t="n">
        <v>16800</v>
      </c>
      <c r="D104" s="4" t="inlineStr">
        <is>
          <t>Охрана</t>
        </is>
      </c>
      <c r="E104" s="6" t="inlineStr">
        <is>
          <t>управленческие</t>
        </is>
      </c>
    </row>
    <row r="105">
      <c r="B105" s="4" t="inlineStr">
        <is>
          <t>ВЕСТ КОЛЛ ЛТД ООО</t>
        </is>
      </c>
      <c r="C105" s="5" t="n">
        <v>16235.15</v>
      </c>
      <c r="D105" s="4" t="inlineStr">
        <is>
          <t>Интернет</t>
        </is>
      </c>
      <c r="E105" s="6" t="inlineStr">
        <is>
          <t>управленческие</t>
        </is>
      </c>
    </row>
    <row r="106">
      <c r="B106" s="4" t="inlineStr">
        <is>
          <t>ТЕЛЕМИР ООО</t>
        </is>
      </c>
      <c r="C106" s="5" t="n">
        <v>16192</v>
      </c>
      <c r="D106" s="4" t="inlineStr">
        <is>
          <t>Связь</t>
        </is>
      </c>
      <c r="E106" s="6" t="inlineStr">
        <is>
          <t>управленческие</t>
        </is>
      </c>
    </row>
    <row r="107">
      <c r="B107" s="4" t="inlineStr">
        <is>
          <t>ИНСТРУ-МЕД ООО</t>
        </is>
      </c>
      <c r="C107" s="5" t="n">
        <v>15120</v>
      </c>
      <c r="D107" s="4" t="inlineStr">
        <is>
          <t>Расходник</t>
        </is>
      </c>
      <c r="E107" s="6" t="inlineStr">
        <is>
          <t>управленческие</t>
        </is>
      </c>
    </row>
    <row r="108">
      <c r="B108" s="4" t="inlineStr">
        <is>
          <t>Алдошин Павел Александрович ИП</t>
        </is>
      </c>
      <c r="C108" s="5" t="n">
        <v>15000</v>
      </c>
      <c r="D108" s="4" t="inlineStr">
        <is>
          <t>Аренда кофемашины</t>
        </is>
      </c>
      <c r="E108" s="6" t="inlineStr">
        <is>
          <t>управленческие</t>
        </is>
      </c>
    </row>
    <row r="109">
      <c r="B109" s="4" t="inlineStr">
        <is>
          <t>Вилорд ООО</t>
        </is>
      </c>
      <c r="C109" s="5" t="n">
        <v>12800</v>
      </c>
      <c r="D109" s="4" t="inlineStr">
        <is>
          <t>Медицинские материалы</t>
        </is>
      </c>
      <c r="E109" s="6" t="inlineStr">
        <is>
          <t>медицинские</t>
        </is>
      </c>
    </row>
    <row r="110">
      <c r="B110" s="4" t="inlineStr">
        <is>
          <t>ГБУЗ ЦЛО ДЗМ</t>
        </is>
      </c>
      <c r="C110" s="5" t="n">
        <v>12760</v>
      </c>
      <c r="D110" s="4" t="inlineStr">
        <is>
          <t>Наркотики</t>
        </is>
      </c>
      <c r="E110" s="6" t="inlineStr">
        <is>
          <t>медицинские</t>
        </is>
      </c>
    </row>
    <row r="111">
      <c r="B111" s="4" t="inlineStr">
        <is>
          <t>АТОЛ ОНЛАЙН ООО</t>
        </is>
      </c>
      <c r="C111" s="5" t="n">
        <v>12505</v>
      </c>
      <c r="D111" s="4" t="inlineStr">
        <is>
          <t>Медицинские материалы</t>
        </is>
      </c>
      <c r="E111" s="6" t="inlineStr">
        <is>
          <t>медицинские</t>
        </is>
      </c>
    </row>
    <row r="112">
      <c r="B112" s="4" t="inlineStr">
        <is>
          <t>Самозанятый Кожина Наталия Васильевна</t>
        </is>
      </c>
      <c r="C112" s="5" t="n">
        <v>11660</v>
      </c>
      <c r="D112" s="4" t="inlineStr">
        <is>
          <t>Дизайн-услуги</t>
        </is>
      </c>
      <c r="E112" s="6" t="inlineStr">
        <is>
          <t>управленческие</t>
        </is>
      </c>
    </row>
    <row r="113">
      <c r="B113" s="4" t="inlineStr">
        <is>
          <t>АСПРОМЕД ООО</t>
        </is>
      </c>
      <c r="C113" s="5" t="n">
        <v>10940</v>
      </c>
      <c r="D113" s="4" t="inlineStr">
        <is>
          <t>Расходка</t>
        </is>
      </c>
      <c r="E113" s="6" t="inlineStr">
        <is>
          <t>медицинские</t>
        </is>
      </c>
    </row>
    <row r="114">
      <c r="B114" s="4" t="inlineStr">
        <is>
          <t>МГУТУ АНО ДПО</t>
        </is>
      </c>
      <c r="C114" s="5" t="n">
        <v>10900</v>
      </c>
      <c r="D114" s="4" t="inlineStr">
        <is>
          <t>Обучение персонала</t>
        </is>
      </c>
      <c r="E114" s="6" t="inlineStr">
        <is>
          <t>управленческие</t>
        </is>
      </c>
    </row>
    <row r="115">
      <c r="B115" s="4" t="inlineStr">
        <is>
          <t>АО "Почта России"</t>
        </is>
      </c>
      <c r="C115" s="5" t="n">
        <v>10000</v>
      </c>
      <c r="D115" s="4" t="inlineStr">
        <is>
          <t>Общехоз.расходы прочие</t>
        </is>
      </c>
      <c r="E115" s="6" t="inlineStr">
        <is>
          <t>управленческие</t>
        </is>
      </c>
    </row>
    <row r="116">
      <c r="B116" s="4" t="inlineStr">
        <is>
          <t>МЕДРОКЕТ ООО</t>
        </is>
      </c>
      <c r="C116" s="5" t="n">
        <v>10000</v>
      </c>
      <c r="D116" s="4" t="inlineStr">
        <is>
          <t>ПроДокторов</t>
        </is>
      </c>
      <c r="E116" s="6" t="inlineStr">
        <is>
          <t>управленческие</t>
        </is>
      </c>
    </row>
    <row r="117">
      <c r="B117" s="4" t="inlineStr">
        <is>
          <t>ТЕХМОНТАЖ ООО</t>
        </is>
      </c>
      <c r="C117" s="5" t="n">
        <v>9800</v>
      </c>
      <c r="D117" s="4" t="inlineStr">
        <is>
          <t>Охрана</t>
        </is>
      </c>
      <c r="E117" s="6" t="inlineStr">
        <is>
          <t>управленческие</t>
        </is>
      </c>
    </row>
    <row r="118">
      <c r="B118" s="4" t="inlineStr">
        <is>
          <t>Деловые линии ООО</t>
        </is>
      </c>
      <c r="C118" s="5" t="n">
        <v>7495</v>
      </c>
      <c r="D118" s="4" t="inlineStr">
        <is>
          <t>Доставка</t>
        </is>
      </c>
      <c r="E118" s="6" t="inlineStr">
        <is>
          <t>управленческие</t>
        </is>
      </c>
    </row>
    <row r="119">
      <c r="B119" s="4" t="inlineStr">
        <is>
          <t>ТЕХМОНТАЖСЕРВИС ООО</t>
        </is>
      </c>
      <c r="C119" s="5" t="n">
        <v>7000</v>
      </c>
      <c r="D119" s="4" t="inlineStr">
        <is>
          <t>ТО СКУД, пожарной сигнализации</t>
        </is>
      </c>
      <c r="E119" s="6" t="inlineStr">
        <is>
          <t>управленческие</t>
        </is>
      </c>
    </row>
    <row r="120">
      <c r="B120" s="4" t="inlineStr">
        <is>
          <t>КИКОТЬ ОЛЕГ МИХАЙЛОВИЧ ИП</t>
        </is>
      </c>
      <c r="C120" s="5" t="n">
        <v>6135</v>
      </c>
      <c r="D120" s="4" t="inlineStr">
        <is>
          <t>Обслуживание 1СУправление</t>
        </is>
      </c>
      <c r="E120" s="6" t="inlineStr">
        <is>
          <t>управленческие</t>
        </is>
      </c>
    </row>
    <row r="121">
      <c r="B121" s="4" t="inlineStr">
        <is>
          <t>Самозанятый Кучер Татьяна Александровна</t>
        </is>
      </c>
      <c r="C121" s="5" t="n">
        <v>5400</v>
      </c>
      <c r="D121" s="4" t="inlineStr">
        <is>
          <t>Дизайн-услуги</t>
        </is>
      </c>
      <c r="E121" s="6" t="inlineStr">
        <is>
          <t>управленческие</t>
        </is>
      </c>
    </row>
    <row r="122">
      <c r="B122" s="4" t="inlineStr">
        <is>
          <t>ДЕАЛМЕД АО</t>
        </is>
      </c>
      <c r="C122" s="5" t="n">
        <v>5170</v>
      </c>
      <c r="D122" s="4" t="inlineStr">
        <is>
          <t>Медицинские материалы</t>
        </is>
      </c>
      <c r="E122" s="6" t="inlineStr">
        <is>
          <t>медицинские</t>
        </is>
      </c>
    </row>
    <row r="123">
      <c r="B123" s="4" t="inlineStr">
        <is>
          <t>ИНФОТЕХ ООО</t>
        </is>
      </c>
      <c r="C123" s="5" t="n">
        <v>5100</v>
      </c>
      <c r="D123" s="4" t="inlineStr">
        <is>
          <t>Оргтехника</t>
        </is>
      </c>
      <c r="E123" s="6" t="inlineStr">
        <is>
          <t>управленческие</t>
        </is>
      </c>
    </row>
    <row r="124">
      <c r="B124" s="4" t="inlineStr">
        <is>
          <t>Аквапрактика ООО</t>
        </is>
      </c>
      <c r="C124" s="5" t="n">
        <v>5000</v>
      </c>
      <c r="D124" s="4" t="inlineStr">
        <is>
          <t>Обслуживание аквариума</t>
        </is>
      </c>
      <c r="E124" s="6" t="inlineStr">
        <is>
          <t>управленческие</t>
        </is>
      </c>
    </row>
    <row r="125">
      <c r="B125" s="4" t="inlineStr">
        <is>
          <t>Cамозанятый Котлярова Олеся Владимировна</t>
        </is>
      </c>
      <c r="C125" s="5" t="n">
        <v>1100</v>
      </c>
      <c r="D125" s="4" t="inlineStr">
        <is>
          <t>Консультационные услуги</t>
        </is>
      </c>
      <c r="E125" s="6" t="inlineStr">
        <is>
          <t>управленческие</t>
        </is>
      </c>
    </row>
    <row r="126">
      <c r="B126" s="4" t="inlineStr">
        <is>
          <t>АО "Альфа Банк"</t>
        </is>
      </c>
      <c r="C126" s="5" t="n">
        <v>668.5599999999999</v>
      </c>
      <c r="D126" s="4" t="inlineStr">
        <is>
          <t>Услуги банка</t>
        </is>
      </c>
      <c r="E126" s="6" t="inlineStr">
        <is>
          <t>услуги банка</t>
        </is>
      </c>
    </row>
    <row r="127">
      <c r="B127" s="4" t="inlineStr">
        <is>
          <t>БАНК ВТБ (ПАО)</t>
        </is>
      </c>
      <c r="C127" s="5" t="n">
        <v>550</v>
      </c>
      <c r="D127" s="4" t="inlineStr">
        <is>
          <t>Услуги банка</t>
        </is>
      </c>
      <c r="E127" s="6" t="inlineStr">
        <is>
          <t>услуги банка</t>
        </is>
      </c>
    </row>
    <row r="128">
      <c r="B128" s="7" t="inlineStr">
        <is>
          <t>ИТОГО ПО СЧЁТУ 60</t>
        </is>
      </c>
      <c r="C128" s="8">
        <f>SUM(C6:C127)</f>
        <v/>
      </c>
      <c r="D128" s="9" t="n"/>
      <c r="E128" s="9" t="n"/>
    </row>
  </sheetData>
  <dataValidations count="1">
    <dataValidation sqref="E6:E127" showDropDown="0" showInputMessage="0" showErrorMessage="0" allowBlank="0" type="list">
      <formula1>"медицинские,управленческие,услуги банка,за счёт кредитной линии"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24" customWidth="1" min="3" max="3"/>
    <col width="18" customWidth="1" min="4" max="4"/>
    <col width="10" customWidth="1" min="5" max="5"/>
    <col width="14" customWidth="1" min="6" max="6"/>
  </cols>
  <sheetData>
    <row r="2">
      <c r="B2" s="1" t="inlineStr">
        <is>
          <t>Статьи расходов</t>
        </is>
      </c>
    </row>
    <row r="3">
      <c r="B3" s="2" t="inlineStr">
        <is>
          <t>Сумма каждой статьи — SUMIF по листу «Контрагенты». Формулу видно в ячейке.</t>
        </is>
      </c>
    </row>
    <row r="5" ht="26" customHeight="1">
      <c r="B5" s="3" t="inlineStr">
        <is>
          <t>Статья</t>
        </is>
      </c>
      <c r="C5" s="3" t="inlineStr">
        <is>
          <t>Блок</t>
        </is>
      </c>
      <c r="D5" s="3" t="inlineStr">
        <is>
          <t>Сумма</t>
        </is>
      </c>
      <c r="E5" s="3" t="inlineStr">
        <is>
          <t>Доля</t>
        </is>
      </c>
      <c r="F5" s="3" t="inlineStr">
        <is>
          <t>Контрагентов</t>
        </is>
      </c>
    </row>
    <row r="6">
      <c r="B6" s="10" t="inlineStr">
        <is>
          <t>МЕДИЦИНСКИЕ</t>
        </is>
      </c>
    </row>
    <row r="7">
      <c r="B7" s="11" t="inlineStr">
        <is>
          <t>Анализы</t>
        </is>
      </c>
      <c r="C7" s="12" t="inlineStr">
        <is>
          <t>медицинские</t>
        </is>
      </c>
      <c r="D7" s="5">
        <f>SUMIF(Контрагенты!$D$6:$D$127,B7&amp;"",Контрагенты!$C$6:$C$127)</f>
        <v/>
      </c>
      <c r="E7" s="13">
        <f>D7/Контрагенты!$C$128</f>
        <v/>
      </c>
      <c r="F7" s="12">
        <f>COUNTIF(Контрагенты!$D$6:$D$127,B7&amp;"")</f>
        <v/>
      </c>
    </row>
    <row r="8">
      <c r="B8" s="11" t="inlineStr">
        <is>
          <t>Аренда Inmode</t>
        </is>
      </c>
      <c r="C8" s="12" t="inlineStr">
        <is>
          <t>медицинские</t>
        </is>
      </c>
      <c r="D8" s="5">
        <f>SUMIF(Контрагенты!$D$6:$D$127,B8&amp;"",Контрагенты!$C$6:$C$127)</f>
        <v/>
      </c>
      <c r="E8" s="13">
        <f>D8/Контрагенты!$C$128</f>
        <v/>
      </c>
      <c r="F8" s="12">
        <f>COUNTIF(Контрагенты!$D$6:$D$127,B8&amp;"")</f>
        <v/>
      </c>
    </row>
    <row r="9">
      <c r="B9" s="11" t="inlineStr">
        <is>
          <t>Белье</t>
        </is>
      </c>
      <c r="C9" s="12" t="inlineStr">
        <is>
          <t>медицинские</t>
        </is>
      </c>
      <c r="D9" s="5">
        <f>SUMIF(Контрагенты!$D$6:$D$127,B9&amp;"",Контрагенты!$C$6:$C$127)</f>
        <v/>
      </c>
      <c r="E9" s="13">
        <f>D9/Контрагенты!$C$128</f>
        <v/>
      </c>
      <c r="F9" s="12">
        <f>COUNTIF(Контрагенты!$D$6:$D$127,B9&amp;"")</f>
        <v/>
      </c>
    </row>
    <row r="10">
      <c r="B10" s="11" t="inlineStr">
        <is>
          <t>Бланки, мед.журналы, мед.книжки</t>
        </is>
      </c>
      <c r="C10" s="12" t="inlineStr">
        <is>
          <t>медицинские</t>
        </is>
      </c>
      <c r="D10" s="5">
        <f>SUMIF(Контрагенты!$D$6:$D$127,B10&amp;"",Контрагенты!$C$6:$C$127)</f>
        <v/>
      </c>
      <c r="E10" s="13">
        <f>D10/Контрагенты!$C$128</f>
        <v/>
      </c>
      <c r="F10" s="12">
        <f>COUNTIF(Контрагенты!$D$6:$D$127,B10&amp;"")</f>
        <v/>
      </c>
    </row>
    <row r="11">
      <c r="B11" s="11" t="inlineStr">
        <is>
          <t>Вывоз ТКО и мед отходов</t>
        </is>
      </c>
      <c r="C11" s="12" t="inlineStr">
        <is>
          <t>медицинские</t>
        </is>
      </c>
      <c r="D11" s="5">
        <f>SUMIF(Контрагенты!$D$6:$D$127,B11&amp;"",Контрагенты!$C$6:$C$127)</f>
        <v/>
      </c>
      <c r="E11" s="13">
        <f>D11/Контрагенты!$C$128</f>
        <v/>
      </c>
      <c r="F11" s="12">
        <f>COUNTIF(Контрагенты!$D$6:$D$127,B11&amp;"")</f>
        <v/>
      </c>
    </row>
    <row r="12">
      <c r="B12" s="11" t="inlineStr">
        <is>
          <t>Гонорары ИП хирургов</t>
        </is>
      </c>
      <c r="C12" s="12" t="inlineStr">
        <is>
          <t>медицинские</t>
        </is>
      </c>
      <c r="D12" s="5">
        <f>SUMIF(Контрагенты!$D$6:$D$127,B12&amp;"",Контрагенты!$C$6:$C$127)</f>
        <v/>
      </c>
      <c r="E12" s="13">
        <f>D12/Контрагенты!$C$128</f>
        <v/>
      </c>
      <c r="F12" s="12">
        <f>COUNTIF(Контрагенты!$D$6:$D$127,B12&amp;"")</f>
        <v/>
      </c>
    </row>
    <row r="13">
      <c r="B13" s="11" t="inlineStr">
        <is>
          <t>ИП Завиркин А.В.</t>
        </is>
      </c>
      <c r="C13" s="12" t="inlineStr">
        <is>
          <t>медицинские</t>
        </is>
      </c>
      <c r="D13" s="5">
        <f>SUMIF(Контрагенты!$D$6:$D$127,B13&amp;"",Контрагенты!$C$6:$C$127)</f>
        <v/>
      </c>
      <c r="E13" s="13">
        <f>D13/Контрагенты!$C$128</f>
        <v/>
      </c>
      <c r="F13" s="12">
        <f>COUNTIF(Контрагенты!$D$6:$D$127,B13&amp;"")</f>
        <v/>
      </c>
    </row>
    <row r="14">
      <c r="B14" s="11" t="inlineStr">
        <is>
          <t>ИП Чугуевская (ЗП Заведягин ОН)</t>
        </is>
      </c>
      <c r="C14" s="12" t="inlineStr">
        <is>
          <t>медицинские</t>
        </is>
      </c>
      <c r="D14" s="5">
        <f>SUMIF(Контрагенты!$D$6:$D$127,B14&amp;"",Контрагенты!$C$6:$C$127)</f>
        <v/>
      </c>
      <c r="E14" s="13">
        <f>D14/Контрагенты!$C$128</f>
        <v/>
      </c>
      <c r="F14" s="12">
        <f>COUNTIF(Контрагенты!$D$6:$D$127,B14&amp;"")</f>
        <v/>
      </c>
    </row>
    <row r="15">
      <c r="B15" s="11" t="inlineStr">
        <is>
          <t>Импланты</t>
        </is>
      </c>
      <c r="C15" s="12" t="inlineStr">
        <is>
          <t>медицинские</t>
        </is>
      </c>
      <c r="D15" s="5">
        <f>SUMIF(Контрагенты!$D$6:$D$127,B15&amp;"",Контрагенты!$C$6:$C$127)</f>
        <v/>
      </c>
      <c r="E15" s="13">
        <f>D15/Контрагенты!$C$128</f>
        <v/>
      </c>
      <c r="F15" s="12">
        <f>COUNTIF(Контрагенты!$D$6:$D$127,B15&amp;"")</f>
        <v/>
      </c>
    </row>
    <row r="16">
      <c r="B16" s="11" t="inlineStr">
        <is>
          <t>Кровь</t>
        </is>
      </c>
      <c r="C16" s="12" t="inlineStr">
        <is>
          <t>медицинские</t>
        </is>
      </c>
      <c r="D16" s="5">
        <f>SUMIF(Контрагенты!$D$6:$D$127,B16&amp;"",Контрагенты!$C$6:$C$127)</f>
        <v/>
      </c>
      <c r="E16" s="13">
        <f>D16/Контрагенты!$C$128</f>
        <v/>
      </c>
      <c r="F16" s="12">
        <f>COUNTIF(Контрагенты!$D$6:$D$127,B16&amp;"")</f>
        <v/>
      </c>
    </row>
    <row r="17">
      <c r="B17" s="11" t="inlineStr">
        <is>
          <t>Лекарства</t>
        </is>
      </c>
      <c r="C17" s="12" t="inlineStr">
        <is>
          <t>медицинские</t>
        </is>
      </c>
      <c r="D17" s="5">
        <f>SUMIF(Контрагенты!$D$6:$D$127,B17&amp;"",Контрагенты!$C$6:$C$127)</f>
        <v/>
      </c>
      <c r="E17" s="13">
        <f>D17/Контрагенты!$C$128</f>
        <v/>
      </c>
      <c r="F17" s="12">
        <f>COUNTIF(Контрагенты!$D$6:$D$127,B17&amp;"")</f>
        <v/>
      </c>
    </row>
    <row r="18">
      <c r="B18" s="11" t="inlineStr">
        <is>
          <t>Медицинские материалы</t>
        </is>
      </c>
      <c r="C18" s="12" t="inlineStr">
        <is>
          <t>медицинские</t>
        </is>
      </c>
      <c r="D18" s="5">
        <f>SUMIF(Контрагенты!$D$6:$D$127,B18&amp;"",Контрагенты!$C$6:$C$127)</f>
        <v/>
      </c>
      <c r="E18" s="13">
        <f>D18/Контрагенты!$C$128</f>
        <v/>
      </c>
      <c r="F18" s="12">
        <f>COUNTIF(Контрагенты!$D$6:$D$127,B18&amp;"")</f>
        <v/>
      </c>
    </row>
    <row r="19">
      <c r="B19" s="11" t="inlineStr">
        <is>
          <t>Медоборудование</t>
        </is>
      </c>
      <c r="C19" s="12" t="inlineStr">
        <is>
          <t>медицинские</t>
        </is>
      </c>
      <c r="D19" s="5">
        <f>SUMIF(Контрагенты!$D$6:$D$127,B19&amp;"",Контрагенты!$C$6:$C$127)</f>
        <v/>
      </c>
      <c r="E19" s="13">
        <f>D19/Контрагенты!$C$128</f>
        <v/>
      </c>
      <c r="F19" s="12">
        <f>COUNTIF(Контрагенты!$D$6:$D$127,B19&amp;"")</f>
        <v/>
      </c>
    </row>
    <row r="20">
      <c r="B20" s="11" t="inlineStr">
        <is>
          <t>Медоборудование и расходники</t>
        </is>
      </c>
      <c r="C20" s="12" t="inlineStr">
        <is>
          <t>медицинские</t>
        </is>
      </c>
      <c r="D20" s="5">
        <f>SUMIF(Контрагенты!$D$6:$D$127,B20&amp;"",Контрагенты!$C$6:$C$127)</f>
        <v/>
      </c>
      <c r="E20" s="13">
        <f>D20/Контрагенты!$C$128</f>
        <v/>
      </c>
      <c r="F20" s="12">
        <f>COUNTIF(Контрагенты!$D$6:$D$127,B20&amp;"")</f>
        <v/>
      </c>
    </row>
    <row r="21">
      <c r="B21" s="11" t="inlineStr">
        <is>
          <t>Наркотики</t>
        </is>
      </c>
      <c r="C21" s="12" t="inlineStr">
        <is>
          <t>медицинские</t>
        </is>
      </c>
      <c r="D21" s="5">
        <f>SUMIF(Контрагенты!$D$6:$D$127,B21&amp;"",Контрагенты!$C$6:$C$127)</f>
        <v/>
      </c>
      <c r="E21" s="13">
        <f>D21/Контрагенты!$C$128</f>
        <v/>
      </c>
      <c r="F21" s="12">
        <f>COUNTIF(Контрагенты!$D$6:$D$127,B21&amp;"")</f>
        <v/>
      </c>
    </row>
    <row r="22">
      <c r="B22" s="11" t="inlineStr">
        <is>
          <t>Питание</t>
        </is>
      </c>
      <c r="C22" s="12" t="inlineStr">
        <is>
          <t>медицинские</t>
        </is>
      </c>
      <c r="D22" s="5">
        <f>SUMIF(Контрагенты!$D$6:$D$127,B22&amp;"",Контрагенты!$C$6:$C$127)</f>
        <v/>
      </c>
      <c r="E22" s="13">
        <f>D22/Контрагенты!$C$128</f>
        <v/>
      </c>
      <c r="F22" s="12">
        <f>COUNTIF(Контрагенты!$D$6:$D$127,B22&amp;"")</f>
        <v/>
      </c>
    </row>
    <row r="23">
      <c r="B23" s="11" t="inlineStr">
        <is>
          <t>Расходка</t>
        </is>
      </c>
      <c r="C23" s="12" t="inlineStr">
        <is>
          <t>медицинские</t>
        </is>
      </c>
      <c r="D23" s="5">
        <f>SUMIF(Контрагенты!$D$6:$D$127,B23&amp;"",Контрагенты!$C$6:$C$127)</f>
        <v/>
      </c>
      <c r="E23" s="13">
        <f>D23/Контрагенты!$C$128</f>
        <v/>
      </c>
      <c r="F23" s="12">
        <f>COUNTIF(Контрагенты!$D$6:$D$127,B23&amp;"")</f>
        <v/>
      </c>
    </row>
    <row r="24">
      <c r="B24" s="11" t="inlineStr">
        <is>
          <t>Утилизация медотходов</t>
        </is>
      </c>
      <c r="C24" s="12" t="inlineStr">
        <is>
          <t>медицинские</t>
        </is>
      </c>
      <c r="D24" s="5">
        <f>SUMIF(Контрагенты!$D$6:$D$127,B24&amp;"",Контрагенты!$C$6:$C$127)</f>
        <v/>
      </c>
      <c r="E24" s="13">
        <f>D24/Контрагенты!$C$128</f>
        <v/>
      </c>
      <c r="F24" s="12">
        <f>COUNTIF(Контрагенты!$D$6:$D$127,B24&amp;"")</f>
        <v/>
      </c>
    </row>
    <row r="25">
      <c r="B25" s="14" t="inlineStr">
        <is>
          <t>Итого «медицинские»</t>
        </is>
      </c>
      <c r="C25" s="9" t="n"/>
      <c r="D25" s="8">
        <f>SUM(D7:D24)</f>
        <v/>
      </c>
      <c r="E25" s="9" t="n"/>
      <c r="F25" s="9" t="n"/>
    </row>
    <row r="27">
      <c r="B27" s="10" t="inlineStr">
        <is>
          <t>УПРАВЛЕНЧЕСКИЕ</t>
        </is>
      </c>
    </row>
    <row r="28">
      <c r="B28" s="11" t="inlineStr">
        <is>
          <t>IT услуги</t>
        </is>
      </c>
      <c r="C28" s="12" t="inlineStr">
        <is>
          <t>управленческие</t>
        </is>
      </c>
      <c r="D28" s="5">
        <f>SUMIF(Контрагенты!$D$6:$D$127,B28&amp;"",Контрагенты!$C$6:$C$127)</f>
        <v/>
      </c>
      <c r="E28" s="13">
        <f>D28/Контрагенты!$C$128</f>
        <v/>
      </c>
      <c r="F28" s="12">
        <f>COUNTIF(Контрагенты!$D$6:$D$127,B28&amp;"")</f>
        <v/>
      </c>
    </row>
    <row r="29">
      <c r="B29" s="11" t="inlineStr">
        <is>
          <t>Аренда Самокатная 1 стр1</t>
        </is>
      </c>
      <c r="C29" s="12" t="inlineStr">
        <is>
          <t>управленческие</t>
        </is>
      </c>
      <c r="D29" s="5">
        <f>SUMIF(Контрагенты!$D$6:$D$127,B29&amp;"",Контрагенты!$C$6:$C$127)</f>
        <v/>
      </c>
      <c r="E29" s="13">
        <f>D29/Контрагенты!$C$128</f>
        <v/>
      </c>
      <c r="F29" s="12">
        <f>COUNTIF(Контрагенты!$D$6:$D$127,B29&amp;"")</f>
        <v/>
      </c>
    </row>
    <row r="30">
      <c r="B30" s="11" t="inlineStr">
        <is>
          <t>Аренда кофемашины</t>
        </is>
      </c>
      <c r="C30" s="12" t="inlineStr">
        <is>
          <t>управленческие</t>
        </is>
      </c>
      <c r="D30" s="5">
        <f>SUMIF(Контрагенты!$D$6:$D$127,B30&amp;"",Контрагенты!$C$6:$C$127)</f>
        <v/>
      </c>
      <c r="E30" s="13">
        <f>D30/Контрагенты!$C$128</f>
        <v/>
      </c>
      <c r="F30" s="12">
        <f>COUNTIF(Контрагенты!$D$6:$D$127,B30&amp;"")</f>
        <v/>
      </c>
    </row>
    <row r="31">
      <c r="B31" s="11" t="inlineStr">
        <is>
          <t>Битрикс 24</t>
        </is>
      </c>
      <c r="C31" s="12" t="inlineStr">
        <is>
          <t>управленческие</t>
        </is>
      </c>
      <c r="D31" s="5">
        <f>SUMIF(Контрагенты!$D$6:$D$127,B31&amp;"",Контрагенты!$C$6:$C$127)</f>
        <v/>
      </c>
      <c r="E31" s="13">
        <f>D31/Контрагенты!$C$128</f>
        <v/>
      </c>
      <c r="F31" s="12">
        <f>COUNTIF(Контрагенты!$D$6:$D$127,B31&amp;"")</f>
        <v/>
      </c>
    </row>
    <row r="32">
      <c r="B32" s="11" t="inlineStr">
        <is>
          <t>Внедрение финансового учёта</t>
        </is>
      </c>
      <c r="C32" s="12" t="inlineStr">
        <is>
          <t>управленческие</t>
        </is>
      </c>
      <c r="D32" s="5">
        <f>SUMIF(Контрагенты!$D$6:$D$127,B32&amp;"",Контрагенты!$C$6:$C$127)</f>
        <v/>
      </c>
      <c r="E32" s="13">
        <f>D32/Контрагенты!$C$128</f>
        <v/>
      </c>
      <c r="F32" s="12">
        <f>COUNTIF(Контрагенты!$D$6:$D$127,B32&amp;"")</f>
        <v/>
      </c>
    </row>
    <row r="33">
      <c r="B33" s="11" t="inlineStr">
        <is>
          <t>Вода</t>
        </is>
      </c>
      <c r="C33" s="12" t="inlineStr">
        <is>
          <t>управленческие</t>
        </is>
      </c>
      <c r="D33" s="5">
        <f>SUMIF(Контрагенты!$D$6:$D$127,B33&amp;"",Контрагенты!$C$6:$C$127)</f>
        <v/>
      </c>
      <c r="E33" s="13">
        <f>D33/Контрагенты!$C$128</f>
        <v/>
      </c>
      <c r="F33" s="12">
        <f>COUNTIF(Контрагенты!$D$6:$D$127,B33&amp;"")</f>
        <v/>
      </c>
    </row>
    <row r="34">
      <c r="B34" s="11" t="inlineStr">
        <is>
          <t>Дизайн-услуги</t>
        </is>
      </c>
      <c r="C34" s="12" t="inlineStr">
        <is>
          <t>управленческие</t>
        </is>
      </c>
      <c r="D34" s="5">
        <f>SUMIF(Контрагенты!$D$6:$D$127,B34&amp;"",Контрагенты!$C$6:$C$127)</f>
        <v/>
      </c>
      <c r="E34" s="13">
        <f>D34/Контрагенты!$C$128</f>
        <v/>
      </c>
      <c r="F34" s="12">
        <f>COUNTIF(Контрагенты!$D$6:$D$127,B34&amp;"")</f>
        <v/>
      </c>
    </row>
    <row r="35">
      <c r="B35" s="11" t="inlineStr">
        <is>
          <t>Доктор Дискаунт (назначение уточняется)</t>
        </is>
      </c>
      <c r="C35" s="12" t="inlineStr">
        <is>
          <t>управленческие</t>
        </is>
      </c>
      <c r="D35" s="5">
        <f>SUMIF(Контрагенты!$D$6:$D$127,B35&amp;"",Контрагенты!$C$6:$C$127)</f>
        <v/>
      </c>
      <c r="E35" s="13">
        <f>D35/Контрагенты!$C$128</f>
        <v/>
      </c>
      <c r="F35" s="12">
        <f>COUNTIF(Контрагенты!$D$6:$D$127,B35&amp;"")</f>
        <v/>
      </c>
    </row>
    <row r="36">
      <c r="B36" s="11" t="inlineStr">
        <is>
          <t>Доставка</t>
        </is>
      </c>
      <c r="C36" s="12" t="inlineStr">
        <is>
          <t>управленческие</t>
        </is>
      </c>
      <c r="D36" s="5">
        <f>SUMIF(Контрагенты!$D$6:$D$127,B36&amp;"",Контрагенты!$C$6:$C$127)</f>
        <v/>
      </c>
      <c r="E36" s="13">
        <f>D36/Контрагенты!$C$128</f>
        <v/>
      </c>
      <c r="F36" s="12">
        <f>COUNTIF(Контрагенты!$D$6:$D$127,B36&amp;"")</f>
        <v/>
      </c>
    </row>
    <row r="37">
      <c r="B37" s="11" t="inlineStr">
        <is>
          <t>Интернет</t>
        </is>
      </c>
      <c r="C37" s="12" t="inlineStr">
        <is>
          <t>управленческие</t>
        </is>
      </c>
      <c r="D37" s="5">
        <f>SUMIF(Контрагенты!$D$6:$D$127,B37&amp;"",Контрагенты!$C$6:$C$127)</f>
        <v/>
      </c>
      <c r="E37" s="13">
        <f>D37/Контрагенты!$C$128</f>
        <v/>
      </c>
      <c r="F37" s="12">
        <f>COUNTIF(Контрагенты!$D$6:$D$127,B37&amp;"")</f>
        <v/>
      </c>
    </row>
    <row r="38">
      <c r="B38" s="11" t="inlineStr">
        <is>
          <t>Канц и хоз расходы</t>
        </is>
      </c>
      <c r="C38" s="12" t="inlineStr">
        <is>
          <t>управленческие</t>
        </is>
      </c>
      <c r="D38" s="5">
        <f>SUMIF(Контрагенты!$D$6:$D$127,B38&amp;"",Контрагенты!$C$6:$C$127)</f>
        <v/>
      </c>
      <c r="E38" s="13">
        <f>D38/Контрагенты!$C$128</f>
        <v/>
      </c>
      <c r="F38" s="12">
        <f>COUNTIF(Контрагенты!$D$6:$D$127,B38&amp;"")</f>
        <v/>
      </c>
    </row>
    <row r="39">
      <c r="B39" s="11" t="inlineStr">
        <is>
          <t>Капвложения и работы</t>
        </is>
      </c>
      <c r="C39" s="12" t="inlineStr">
        <is>
          <t>управленческие</t>
        </is>
      </c>
      <c r="D39" s="5">
        <f>SUMIF(Контрагенты!$D$6:$D$127,B39&amp;"",Контрагенты!$C$6:$C$127)</f>
        <v/>
      </c>
      <c r="E39" s="13">
        <f>D39/Контрагенты!$C$128</f>
        <v/>
      </c>
      <c r="F39" s="12">
        <f>COUNTIF(Контрагенты!$D$6:$D$127,B39&amp;"")</f>
        <v/>
      </c>
    </row>
    <row r="40">
      <c r="B40" s="11" t="inlineStr">
        <is>
          <t>Консультационные услуги</t>
        </is>
      </c>
      <c r="C40" s="12" t="inlineStr">
        <is>
          <t>управленческие</t>
        </is>
      </c>
      <c r="D40" s="5">
        <f>SUMIF(Контрагенты!$D$6:$D$127,B40&amp;"",Контрагенты!$C$6:$C$127)</f>
        <v/>
      </c>
      <c r="E40" s="13">
        <f>D40/Контрагенты!$C$128</f>
        <v/>
      </c>
      <c r="F40" s="12">
        <f>COUNTIF(Контрагенты!$D$6:$D$127,B40&amp;"")</f>
        <v/>
      </c>
    </row>
    <row r="41">
      <c r="B41" s="11" t="inlineStr">
        <is>
          <t>Косметология</t>
        </is>
      </c>
      <c r="C41" s="12" t="inlineStr">
        <is>
          <t>управленческие</t>
        </is>
      </c>
      <c r="D41" s="5">
        <f>SUMIF(Контрагенты!$D$6:$D$127,B41&amp;"",Контрагенты!$C$6:$C$127)</f>
        <v/>
      </c>
      <c r="E41" s="13">
        <f>D41/Контрагенты!$C$128</f>
        <v/>
      </c>
      <c r="F41" s="12">
        <f>COUNTIF(Контрагенты!$D$6:$D$127,B41&amp;"")</f>
        <v/>
      </c>
    </row>
    <row r="42">
      <c r="B42" s="11" t="inlineStr">
        <is>
          <t>Кофе</t>
        </is>
      </c>
      <c r="C42" s="12" t="inlineStr">
        <is>
          <t>управленческие</t>
        </is>
      </c>
      <c r="D42" s="5">
        <f>SUMIF(Контрагенты!$D$6:$D$127,B42&amp;"",Контрагенты!$C$6:$C$127)</f>
        <v/>
      </c>
      <c r="E42" s="13">
        <f>D42/Контрагенты!$C$128</f>
        <v/>
      </c>
      <c r="F42" s="12">
        <f>COUNTIF(Контрагенты!$D$6:$D$127,B42&amp;"")</f>
        <v/>
      </c>
    </row>
    <row r="43">
      <c r="B43" s="11" t="inlineStr">
        <is>
          <t>Краснодар</t>
        </is>
      </c>
      <c r="C43" s="12" t="inlineStr">
        <is>
          <t>управленческие</t>
        </is>
      </c>
      <c r="D43" s="5">
        <f>SUMIF(Контрагенты!$D$6:$D$127,B43&amp;"",Контрагенты!$C$6:$C$127)</f>
        <v/>
      </c>
      <c r="E43" s="13">
        <f>D43/Контрагенты!$C$128</f>
        <v/>
      </c>
      <c r="F43" s="12">
        <f>COUNTIF(Контрагенты!$D$6:$D$127,B43&amp;"")</f>
        <v/>
      </c>
    </row>
    <row r="44">
      <c r="B44" s="11" t="inlineStr">
        <is>
          <t>Маркетинговые услуги</t>
        </is>
      </c>
      <c r="C44" s="12" t="inlineStr">
        <is>
          <t>управленческие</t>
        </is>
      </c>
      <c r="D44" s="5">
        <f>SUMIF(Контрагенты!$D$6:$D$127,B44&amp;"",Контрагенты!$C$6:$C$127)</f>
        <v/>
      </c>
      <c r="E44" s="13">
        <f>D44/Контрагенты!$C$128</f>
        <v/>
      </c>
      <c r="F44" s="12">
        <f>COUNTIF(Контрагенты!$D$6:$D$127,B44&amp;"")</f>
        <v/>
      </c>
    </row>
    <row r="45">
      <c r="B45" s="11" t="inlineStr">
        <is>
          <t>Мебель, инвентарь</t>
        </is>
      </c>
      <c r="C45" s="12" t="inlineStr">
        <is>
          <t>управленческие</t>
        </is>
      </c>
      <c r="D45" s="5">
        <f>SUMIF(Контрагенты!$D$6:$D$127,B45&amp;"",Контрагенты!$C$6:$C$127)</f>
        <v/>
      </c>
      <c r="E45" s="13">
        <f>D45/Контрагенты!$C$128</f>
        <v/>
      </c>
      <c r="F45" s="12">
        <f>COUNTIF(Контрагенты!$D$6:$D$127,B45&amp;"")</f>
        <v/>
      </c>
    </row>
    <row r="46">
      <c r="B46" s="11" t="inlineStr">
        <is>
          <t>Обслуживание 1СУправление</t>
        </is>
      </c>
      <c r="C46" s="12" t="inlineStr">
        <is>
          <t>управленческие</t>
        </is>
      </c>
      <c r="D46" s="5">
        <f>SUMIF(Контрагенты!$D$6:$D$127,B46&amp;"",Контрагенты!$C$6:$C$127)</f>
        <v/>
      </c>
      <c r="E46" s="13">
        <f>D46/Контрагенты!$C$128</f>
        <v/>
      </c>
      <c r="F46" s="12">
        <f>COUNTIF(Контрагенты!$D$6:$D$127,B46&amp;"")</f>
        <v/>
      </c>
    </row>
    <row r="47">
      <c r="B47" s="11" t="inlineStr">
        <is>
          <t>Обслуживание аквариума</t>
        </is>
      </c>
      <c r="C47" s="12" t="inlineStr">
        <is>
          <t>управленческие</t>
        </is>
      </c>
      <c r="D47" s="5">
        <f>SUMIF(Контрагенты!$D$6:$D$127,B47&amp;"",Контрагенты!$C$6:$C$127)</f>
        <v/>
      </c>
      <c r="E47" s="13">
        <f>D47/Контрагенты!$C$128</f>
        <v/>
      </c>
      <c r="F47" s="12">
        <f>COUNTIF(Контрагенты!$D$6:$D$127,B47&amp;"")</f>
        <v/>
      </c>
    </row>
    <row r="48">
      <c r="B48" s="11" t="inlineStr">
        <is>
          <t>Обучение персонала</t>
        </is>
      </c>
      <c r="C48" s="12" t="inlineStr">
        <is>
          <t>управленческие</t>
        </is>
      </c>
      <c r="D48" s="5">
        <f>SUMIF(Контрагенты!$D$6:$D$127,B48&amp;"",Контрагенты!$C$6:$C$127)</f>
        <v/>
      </c>
      <c r="E48" s="13">
        <f>D48/Контрагенты!$C$128</f>
        <v/>
      </c>
      <c r="F48" s="12">
        <f>COUNTIF(Контрагенты!$D$6:$D$127,B48&amp;"")</f>
        <v/>
      </c>
    </row>
    <row r="49">
      <c r="B49" s="11" t="inlineStr">
        <is>
          <t>Общехоз.расходы прочие</t>
        </is>
      </c>
      <c r="C49" s="12" t="inlineStr">
        <is>
          <t>управленческие</t>
        </is>
      </c>
      <c r="D49" s="5">
        <f>SUMIF(Контрагенты!$D$6:$D$127,B49&amp;"",Контрагенты!$C$6:$C$127)</f>
        <v/>
      </c>
      <c r="E49" s="13">
        <f>D49/Контрагенты!$C$128</f>
        <v/>
      </c>
      <c r="F49" s="12">
        <f>COUNTIF(Контрагенты!$D$6:$D$127,B49&amp;"")</f>
        <v/>
      </c>
    </row>
    <row r="50">
      <c r="B50" s="11" t="inlineStr">
        <is>
          <t>Общехозяйственные</t>
        </is>
      </c>
      <c r="C50" s="12" t="inlineStr">
        <is>
          <t>управленческие</t>
        </is>
      </c>
      <c r="D50" s="5">
        <f>SUMIF(Контрагенты!$D$6:$D$127,B50&amp;"",Контрагенты!$C$6:$C$127)</f>
        <v/>
      </c>
      <c r="E50" s="13">
        <f>D50/Контрагенты!$C$128</f>
        <v/>
      </c>
      <c r="F50" s="12">
        <f>COUNTIF(Контрагенты!$D$6:$D$127,B50&amp;"")</f>
        <v/>
      </c>
    </row>
    <row r="51">
      <c r="B51" s="11" t="inlineStr">
        <is>
          <t>Оргтехника</t>
        </is>
      </c>
      <c r="C51" s="12" t="inlineStr">
        <is>
          <t>управленческие</t>
        </is>
      </c>
      <c r="D51" s="5">
        <f>SUMIF(Контрагенты!$D$6:$D$127,B51&amp;"",Контрагенты!$C$6:$C$127)</f>
        <v/>
      </c>
      <c r="E51" s="13">
        <f>D51/Контрагенты!$C$128</f>
        <v/>
      </c>
      <c r="F51" s="12">
        <f>COUNTIF(Контрагенты!$D$6:$D$127,B51&amp;"")</f>
        <v/>
      </c>
    </row>
    <row r="52">
      <c r="B52" s="11" t="inlineStr">
        <is>
          <t>Охрана</t>
        </is>
      </c>
      <c r="C52" s="12" t="inlineStr">
        <is>
          <t>управленческие</t>
        </is>
      </c>
      <c r="D52" s="5">
        <f>SUMIF(Контрагенты!$D$6:$D$127,B52&amp;"",Контрагенты!$C$6:$C$127)</f>
        <v/>
      </c>
      <c r="E52" s="13">
        <f>D52/Контрагенты!$C$128</f>
        <v/>
      </c>
      <c r="F52" s="12">
        <f>COUNTIF(Контрагенты!$D$6:$D$127,B52&amp;"")</f>
        <v/>
      </c>
    </row>
    <row r="53">
      <c r="B53" s="11" t="inlineStr">
        <is>
          <t>ПО и IT-сервисы</t>
        </is>
      </c>
      <c r="C53" s="12" t="inlineStr">
        <is>
          <t>управленческие</t>
        </is>
      </c>
      <c r="D53" s="5">
        <f>SUMIF(Контрагенты!$D$6:$D$127,B53&amp;"",Контрагенты!$C$6:$C$127)</f>
        <v/>
      </c>
      <c r="E53" s="13">
        <f>D53/Контрагенты!$C$128</f>
        <v/>
      </c>
      <c r="F53" s="12">
        <f>COUNTIF(Контрагенты!$D$6:$D$127,B53&amp;"")</f>
        <v/>
      </c>
    </row>
    <row r="54">
      <c r="B54" s="11" t="inlineStr">
        <is>
          <t>Подбор персонала</t>
        </is>
      </c>
      <c r="C54" s="12" t="inlineStr">
        <is>
          <t>управленческие</t>
        </is>
      </c>
      <c r="D54" s="5">
        <f>SUMIF(Контрагенты!$D$6:$D$127,B54&amp;"",Контрагенты!$C$6:$C$127)</f>
        <v/>
      </c>
      <c r="E54" s="13">
        <f>D54/Контрагенты!$C$128</f>
        <v/>
      </c>
      <c r="F54" s="12">
        <f>COUNTIF(Контрагенты!$D$6:$D$127,B54&amp;"")</f>
        <v/>
      </c>
    </row>
    <row r="55">
      <c r="B55" s="11" t="inlineStr">
        <is>
          <t>ПроДокторов</t>
        </is>
      </c>
      <c r="C55" s="12" t="inlineStr">
        <is>
          <t>управленческие</t>
        </is>
      </c>
      <c r="D55" s="5">
        <f>SUMIF(Контрагенты!$D$6:$D$127,B55&amp;"",Контрагенты!$C$6:$C$127)</f>
        <v/>
      </c>
      <c r="E55" s="13">
        <f>D55/Контрагенты!$C$128</f>
        <v/>
      </c>
      <c r="F55" s="12">
        <f>COUNTIF(Контрагенты!$D$6:$D$127,B55&amp;"")</f>
        <v/>
      </c>
    </row>
    <row r="56">
      <c r="B56" s="11" t="inlineStr">
        <is>
          <t>Программное обнспечение</t>
        </is>
      </c>
      <c r="C56" s="12" t="inlineStr">
        <is>
          <t>управленческие</t>
        </is>
      </c>
      <c r="D56" s="5">
        <f>SUMIF(Контрагенты!$D$6:$D$127,B56&amp;"",Контрагенты!$C$6:$C$127)</f>
        <v/>
      </c>
      <c r="E56" s="13">
        <f>D56/Контрагенты!$C$128</f>
        <v/>
      </c>
      <c r="F56" s="12">
        <f>COUNTIF(Контрагенты!$D$6:$D$127,B56&amp;"")</f>
        <v/>
      </c>
    </row>
    <row r="57">
      <c r="B57" s="11" t="inlineStr">
        <is>
          <t>Расходник</t>
        </is>
      </c>
      <c r="C57" s="12" t="inlineStr">
        <is>
          <t>управленческие</t>
        </is>
      </c>
      <c r="D57" s="5">
        <f>SUMIF(Контрагенты!$D$6:$D$127,B57&amp;"",Контрагенты!$C$6:$C$127)</f>
        <v/>
      </c>
      <c r="E57" s="13">
        <f>D57/Контрагенты!$C$128</f>
        <v/>
      </c>
      <c r="F57" s="12">
        <f>COUNTIF(Контрагенты!$D$6:$D$127,B57&amp;"")</f>
        <v/>
      </c>
    </row>
    <row r="58">
      <c r="B58" s="11" t="inlineStr">
        <is>
          <t>Реклама</t>
        </is>
      </c>
      <c r="C58" s="12" t="inlineStr">
        <is>
          <t>управленческие</t>
        </is>
      </c>
      <c r="D58" s="5">
        <f>SUMIF(Контрагенты!$D$6:$D$127,B58&amp;"",Контрагенты!$C$6:$C$127)</f>
        <v/>
      </c>
      <c r="E58" s="13">
        <f>D58/Контрагенты!$C$128</f>
        <v/>
      </c>
      <c r="F58" s="12">
        <f>COUNTIF(Контрагенты!$D$6:$D$127,B58&amp;"")</f>
        <v/>
      </c>
    </row>
    <row r="59">
      <c r="B59" s="11" t="inlineStr">
        <is>
          <t>Ремонт</t>
        </is>
      </c>
      <c r="C59" s="12" t="inlineStr">
        <is>
          <t>управленческие</t>
        </is>
      </c>
      <c r="D59" s="5">
        <f>SUMIF(Контрагенты!$D$6:$D$127,B59&amp;"",Контрагенты!$C$6:$C$127)</f>
        <v/>
      </c>
      <c r="E59" s="13">
        <f>D59/Контрагенты!$C$128</f>
        <v/>
      </c>
      <c r="F59" s="12">
        <f>COUNTIF(Контрагенты!$D$6:$D$127,B59&amp;"")</f>
        <v/>
      </c>
    </row>
    <row r="60">
      <c r="B60" s="11" t="inlineStr">
        <is>
          <t>Сайт</t>
        </is>
      </c>
      <c r="C60" s="12" t="inlineStr">
        <is>
          <t>управленческие</t>
        </is>
      </c>
      <c r="D60" s="5">
        <f>SUMIF(Контрагенты!$D$6:$D$127,B60&amp;"",Контрагенты!$C$6:$C$127)</f>
        <v/>
      </c>
      <c r="E60" s="13">
        <f>D60/Контрагенты!$C$128</f>
        <v/>
      </c>
      <c r="F60" s="12">
        <f>COUNTIF(Контрагенты!$D$6:$D$127,B60&amp;"")</f>
        <v/>
      </c>
    </row>
    <row r="61">
      <c r="B61" s="11" t="inlineStr">
        <is>
          <t>Светильники и оборудование</t>
        </is>
      </c>
      <c r="C61" s="12" t="inlineStr">
        <is>
          <t>управленческие</t>
        </is>
      </c>
      <c r="D61" s="5">
        <f>SUMIF(Контрагенты!$D$6:$D$127,B61&amp;"",Контрагенты!$C$6:$C$127)</f>
        <v/>
      </c>
      <c r="E61" s="13">
        <f>D61/Контрагенты!$C$128</f>
        <v/>
      </c>
      <c r="F61" s="12">
        <f>COUNTIF(Контрагенты!$D$6:$D$127,B61&amp;"")</f>
        <v/>
      </c>
    </row>
    <row r="62">
      <c r="B62" s="11" t="inlineStr">
        <is>
          <t>Связь</t>
        </is>
      </c>
      <c r="C62" s="12" t="inlineStr">
        <is>
          <t>управленческие</t>
        </is>
      </c>
      <c r="D62" s="5">
        <f>SUMIF(Контрагенты!$D$6:$D$127,B62&amp;"",Контрагенты!$C$6:$C$127)</f>
        <v/>
      </c>
      <c r="E62" s="13">
        <f>D62/Контрагенты!$C$128</f>
        <v/>
      </c>
      <c r="F62" s="12">
        <f>COUNTIF(Контрагенты!$D$6:$D$127,B62&amp;"")</f>
        <v/>
      </c>
    </row>
    <row r="63">
      <c r="B63" s="11" t="inlineStr">
        <is>
          <t>Сервис речевой аналитики</t>
        </is>
      </c>
      <c r="C63" s="12" t="inlineStr">
        <is>
          <t>управленческие</t>
        </is>
      </c>
      <c r="D63" s="5">
        <f>SUMIF(Контрагенты!$D$6:$D$127,B63&amp;"",Контрагенты!$C$6:$C$127)</f>
        <v/>
      </c>
      <c r="E63" s="13">
        <f>D63/Контрагенты!$C$128</f>
        <v/>
      </c>
      <c r="F63" s="12">
        <f>COUNTIF(Контрагенты!$D$6:$D$127,B63&amp;"")</f>
        <v/>
      </c>
    </row>
    <row r="64">
      <c r="B64" s="11" t="inlineStr">
        <is>
          <t>Складской учет</t>
        </is>
      </c>
      <c r="C64" s="12" t="inlineStr">
        <is>
          <t>управленческие</t>
        </is>
      </c>
      <c r="D64" s="5">
        <f>SUMIF(Контрагенты!$D$6:$D$127,B64&amp;"",Контрагенты!$C$6:$C$127)</f>
        <v/>
      </c>
      <c r="E64" s="13">
        <f>D64/Контрагенты!$C$128</f>
        <v/>
      </c>
      <c r="F64" s="12">
        <f>COUNTIF(Контрагенты!$D$6:$D$127,B64&amp;"")</f>
        <v/>
      </c>
    </row>
    <row r="65">
      <c r="B65" s="11" t="inlineStr">
        <is>
          <t>Средства гигиены</t>
        </is>
      </c>
      <c r="C65" s="12" t="inlineStr">
        <is>
          <t>управленческие</t>
        </is>
      </c>
      <c r="D65" s="5">
        <f>SUMIF(Контрагенты!$D$6:$D$127,B65&amp;"",Контрагенты!$C$6:$C$127)</f>
        <v/>
      </c>
      <c r="E65" s="13">
        <f>D65/Контрагенты!$C$128</f>
        <v/>
      </c>
      <c r="F65" s="12">
        <f>COUNTIF(Контрагенты!$D$6:$D$127,B65&amp;"")</f>
        <v/>
      </c>
    </row>
    <row r="66">
      <c r="B66" s="11" t="inlineStr">
        <is>
          <t>ТО СКУД, пожарной сигнализации</t>
        </is>
      </c>
      <c r="C66" s="12" t="inlineStr">
        <is>
          <t>управленческие</t>
        </is>
      </c>
      <c r="D66" s="5">
        <f>SUMIF(Контрагенты!$D$6:$D$127,B66&amp;"",Контрагенты!$C$6:$C$127)</f>
        <v/>
      </c>
      <c r="E66" s="13">
        <f>D66/Контрагенты!$C$128</f>
        <v/>
      </c>
      <c r="F66" s="12">
        <f>COUNTIF(Контрагенты!$D$6:$D$127,B66&amp;"")</f>
        <v/>
      </c>
    </row>
    <row r="67">
      <c r="B67" s="11" t="inlineStr">
        <is>
          <t>Такси</t>
        </is>
      </c>
      <c r="C67" s="12" t="inlineStr">
        <is>
          <t>управленческие</t>
        </is>
      </c>
      <c r="D67" s="5">
        <f>SUMIF(Контрагенты!$D$6:$D$127,B67&amp;"",Контрагенты!$C$6:$C$127)</f>
        <v/>
      </c>
      <c r="E67" s="13">
        <f>D67/Контрагенты!$C$128</f>
        <v/>
      </c>
      <c r="F67" s="12">
        <f>COUNTIF(Контрагенты!$D$6:$D$127,B67&amp;"")</f>
        <v/>
      </c>
    </row>
    <row r="68">
      <c r="B68" s="11" t="inlineStr">
        <is>
          <t>Техподдержка ККТ</t>
        </is>
      </c>
      <c r="C68" s="12" t="inlineStr">
        <is>
          <t>управленческие</t>
        </is>
      </c>
      <c r="D68" s="5">
        <f>SUMIF(Контрагенты!$D$6:$D$127,B68&amp;"",Контрагенты!$C$6:$C$127)</f>
        <v/>
      </c>
      <c r="E68" s="13">
        <f>D68/Контрагенты!$C$128</f>
        <v/>
      </c>
      <c r="F68" s="12">
        <f>COUNTIF(Контрагенты!$D$6:$D$127,B68&amp;"")</f>
        <v/>
      </c>
    </row>
    <row r="69">
      <c r="B69" s="11" t="inlineStr">
        <is>
          <t>Урегулирование досудебного спора</t>
        </is>
      </c>
      <c r="C69" s="12" t="inlineStr">
        <is>
          <t>управленческие</t>
        </is>
      </c>
      <c r="D69" s="5">
        <f>SUMIF(Контрагенты!$D$6:$D$127,B69&amp;"",Контрагенты!$C$6:$C$127)</f>
        <v/>
      </c>
      <c r="E69" s="13">
        <f>D69/Контрагенты!$C$128</f>
        <v/>
      </c>
      <c r="F69" s="12">
        <f>COUNTIF(Контрагенты!$D$6:$D$127,B69&amp;"")</f>
        <v/>
      </c>
    </row>
    <row r="70">
      <c r="B70" s="11" t="inlineStr">
        <is>
          <t>Услуги инженера</t>
        </is>
      </c>
      <c r="C70" s="12" t="inlineStr">
        <is>
          <t>управленческие</t>
        </is>
      </c>
      <c r="D70" s="5">
        <f>SUMIF(Контрагенты!$D$6:$D$127,B70&amp;"",Контрагенты!$C$6:$C$127)</f>
        <v/>
      </c>
      <c r="E70" s="13">
        <f>D70/Контрагенты!$C$128</f>
        <v/>
      </c>
      <c r="F70" s="12">
        <f>COUNTIF(Контрагенты!$D$6:$D$127,B70&amp;"")</f>
        <v/>
      </c>
    </row>
    <row r="71">
      <c r="B71" s="11" t="inlineStr">
        <is>
          <t>Услуги юриста</t>
        </is>
      </c>
      <c r="C71" s="12" t="inlineStr">
        <is>
          <t>управленческие</t>
        </is>
      </c>
      <c r="D71" s="5">
        <f>SUMIF(Контрагенты!$D$6:$D$127,B71&amp;"",Контрагенты!$C$6:$C$127)</f>
        <v/>
      </c>
      <c r="E71" s="13">
        <f>D71/Контрагенты!$C$128</f>
        <v/>
      </c>
      <c r="F71" s="12">
        <f>COUNTIF(Контрагенты!$D$6:$D$127,B71&amp;"")</f>
        <v/>
      </c>
    </row>
    <row r="72">
      <c r="B72" s="11" t="inlineStr">
        <is>
          <t>Фото видео</t>
        </is>
      </c>
      <c r="C72" s="12" t="inlineStr">
        <is>
          <t>управленческие</t>
        </is>
      </c>
      <c r="D72" s="5">
        <f>SUMIF(Контрагенты!$D$6:$D$127,B72&amp;"",Контрагенты!$C$6:$C$127)</f>
        <v/>
      </c>
      <c r="E72" s="13">
        <f>D72/Контрагенты!$C$128</f>
        <v/>
      </c>
      <c r="F72" s="12">
        <f>COUNTIF(Контрагенты!$D$6:$D$127,B72&amp;"")</f>
        <v/>
      </c>
    </row>
    <row r="73">
      <c r="B73" s="11" t="inlineStr">
        <is>
          <t>Хоз расходы</t>
        </is>
      </c>
      <c r="C73" s="12" t="inlineStr">
        <is>
          <t>управленческие</t>
        </is>
      </c>
      <c r="D73" s="5">
        <f>SUMIF(Контрагенты!$D$6:$D$127,B73&amp;"",Контрагенты!$C$6:$C$127)</f>
        <v/>
      </c>
      <c r="E73" s="13">
        <f>D73/Контрагенты!$C$128</f>
        <v/>
      </c>
      <c r="F73" s="12">
        <f>COUNTIF(Контрагенты!$D$6:$D$127,B73&amp;"")</f>
        <v/>
      </c>
    </row>
    <row r="74">
      <c r="B74" s="11" t="inlineStr">
        <is>
          <t>Цветы</t>
        </is>
      </c>
      <c r="C74" s="12" t="inlineStr">
        <is>
          <t>управленческие</t>
        </is>
      </c>
      <c r="D74" s="5">
        <f>SUMIF(Контрагенты!$D$6:$D$127,B74&amp;"",Контрагенты!$C$6:$C$127)</f>
        <v/>
      </c>
      <c r="E74" s="13">
        <f>D74/Контрагенты!$C$128</f>
        <v/>
      </c>
      <c r="F74" s="12">
        <f>COUNTIF(Контрагенты!$D$6:$D$127,B74&amp;"")</f>
        <v/>
      </c>
    </row>
    <row r="75">
      <c r="B75" s="11" t="inlineStr">
        <is>
          <t>Электрооборудование</t>
        </is>
      </c>
      <c r="C75" s="12" t="inlineStr">
        <is>
          <t>управленческие</t>
        </is>
      </c>
      <c r="D75" s="5">
        <f>SUMIF(Контрагенты!$D$6:$D$127,B75&amp;"",Контрагенты!$C$6:$C$127)</f>
        <v/>
      </c>
      <c r="E75" s="13">
        <f>D75/Контрагенты!$C$128</f>
        <v/>
      </c>
      <c r="F75" s="12">
        <f>COUNTIF(Контрагенты!$D$6:$D$127,B75&amp;"")</f>
        <v/>
      </c>
    </row>
    <row r="76">
      <c r="B76" s="14" t="inlineStr">
        <is>
          <t>Итого «управленческие»</t>
        </is>
      </c>
      <c r="C76" s="9" t="n"/>
      <c r="D76" s="8">
        <f>SUM(D28:D75)</f>
        <v/>
      </c>
      <c r="E76" s="9" t="n"/>
      <c r="F76" s="9" t="n"/>
    </row>
    <row r="78">
      <c r="B78" s="10" t="inlineStr">
        <is>
          <t>УСЛУГИ БАНКА</t>
        </is>
      </c>
    </row>
    <row r="79">
      <c r="B79" s="11" t="inlineStr">
        <is>
          <t>Услуги банка</t>
        </is>
      </c>
      <c r="C79" s="12" t="inlineStr">
        <is>
          <t>услуги банка</t>
        </is>
      </c>
      <c r="D79" s="5">
        <f>SUMIF(Контрагенты!$D$6:$D$127,B79&amp;"",Контрагенты!$C$6:$C$127)</f>
        <v/>
      </c>
      <c r="E79" s="13">
        <f>D79/Контрагенты!$C$128</f>
        <v/>
      </c>
      <c r="F79" s="12">
        <f>COUNTIF(Контрагенты!$D$6:$D$127,B79&amp;"")</f>
        <v/>
      </c>
    </row>
    <row r="80">
      <c r="B80" s="14" t="inlineStr">
        <is>
          <t>Итого «услуги банка»</t>
        </is>
      </c>
      <c r="C80" s="9" t="n"/>
      <c r="D80" s="8">
        <f>SUM(D79:D79)</f>
        <v/>
      </c>
      <c r="E80" s="9" t="n"/>
      <c r="F80" s="9" t="n"/>
    </row>
    <row r="82">
      <c r="B82" s="10" t="inlineStr">
        <is>
          <t>ЗА СЧЁТ КРЕДИТНОЙ ЛИНИИ</t>
        </is>
      </c>
    </row>
    <row r="83">
      <c r="B83" s="11" t="inlineStr">
        <is>
          <t>Ремонт Самокатная 1 стр12</t>
        </is>
      </c>
      <c r="C83" s="12" t="inlineStr">
        <is>
          <t>за счёт кредитной линии</t>
        </is>
      </c>
      <c r="D83" s="5">
        <f>SUMIF(Контрагенты!$D$6:$D$127,B83&amp;"",Контрагенты!$C$6:$C$127)</f>
        <v/>
      </c>
      <c r="E83" s="13">
        <f>D83/Контрагенты!$C$128</f>
        <v/>
      </c>
      <c r="F83" s="12">
        <f>COUNTIF(Контрагенты!$D$6:$D$127,B83&amp;"")</f>
        <v/>
      </c>
    </row>
    <row r="84">
      <c r="B84" s="14" t="inlineStr">
        <is>
          <t>Итого «за счёт кредитной линии»</t>
        </is>
      </c>
      <c r="C84" s="9" t="n"/>
      <c r="D84" s="8">
        <f>SUM(D83:D83)</f>
        <v/>
      </c>
      <c r="E84" s="9" t="n"/>
      <c r="F8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4" customWidth="1" min="4" max="4"/>
    <col width="52" customWidth="1" min="5" max="5"/>
  </cols>
  <sheetData>
    <row r="2">
      <c r="B2" s="1" t="inlineStr">
        <is>
          <t>Свод по блокам</t>
        </is>
      </c>
    </row>
    <row r="3">
      <c r="B3" s="2" t="inlineStr">
        <is>
          <t>Каждая строка — SUMIF по листу «Контрагенты» напрямую, минуя статьи: две независимые проверки.</t>
        </is>
      </c>
    </row>
    <row r="5" ht="26" customHeight="1">
      <c r="B5" s="3" t="inlineStr">
        <is>
          <t>Блок</t>
        </is>
      </c>
      <c r="C5" s="3" t="inlineStr">
        <is>
          <t>Сумма</t>
        </is>
      </c>
      <c r="D5" s="3" t="inlineStr">
        <is>
          <t>Контрагентов</t>
        </is>
      </c>
      <c r="E5" s="3" t="inlineStr">
        <is>
          <t>Комментарий</t>
        </is>
      </c>
    </row>
    <row r="6">
      <c r="B6" s="4" t="inlineStr">
        <is>
          <t>медицинские</t>
        </is>
      </c>
      <c r="C6" s="5">
        <f>SUMIF(Контрагенты!$E$6:$E$127,B6&amp;"",Контрагенты!$C$6:$C$127)</f>
        <v/>
      </c>
      <c r="D6" s="12">
        <f>COUNTIF(Контрагенты!$E$6:$E$127,B6&amp;"")</f>
        <v/>
      </c>
      <c r="E6" s="12" t="inlineStr">
        <is>
          <t>медикаменты, импланты, расходка, гонорары ИП хирургов</t>
        </is>
      </c>
    </row>
    <row r="7">
      <c r="B7" s="4" t="inlineStr">
        <is>
          <t>управленческие</t>
        </is>
      </c>
      <c r="C7" s="5">
        <f>SUMIF(Контрагенты!$E$6:$E$127,B7&amp;"",Контрагенты!$C$6:$C$127)</f>
        <v/>
      </c>
      <c r="D7" s="12">
        <f>COUNTIF(Контрагенты!$E$6:$E$127,B7&amp;"")</f>
        <v/>
      </c>
      <c r="E7" s="12" t="inlineStr">
        <is>
          <t>аренда, маркетинг, IT, хозяйственные</t>
        </is>
      </c>
    </row>
    <row r="8">
      <c r="B8" s="4" t="inlineStr">
        <is>
          <t>услуги банка</t>
        </is>
      </c>
      <c r="C8" s="5">
        <f>SUMIF(Контрагенты!$E$6:$E$127,B8&amp;"",Контрагенты!$C$6:$C$127)</f>
        <v/>
      </c>
      <c r="D8" s="12">
        <f>COUNTIF(Контрагенты!$E$6:$E$127,B8&amp;"")</f>
        <v/>
      </c>
      <c r="E8" s="12" t="inlineStr">
        <is>
          <t>комиссии банков, проведённые через счёт 60 — ошибка проводки</t>
        </is>
      </c>
    </row>
    <row r="9">
      <c r="B9" s="4" t="inlineStr">
        <is>
          <t>за счёт кредитной линии</t>
        </is>
      </c>
      <c r="C9" s="5">
        <f>SUMIF(Контрагенты!$E$6:$E$127,B9&amp;"",Контрагенты!$C$6:$C$127)</f>
        <v/>
      </c>
      <c r="D9" s="12">
        <f>COUNTIF(Контрагенты!$E$6:$E$127,B9&amp;"")</f>
        <v/>
      </c>
      <c r="E9" s="12" t="inlineStr">
        <is>
          <t>ремонт Самокатная 1 стр.12, оплачен заёмными — в расходы учредителей не входит</t>
        </is>
      </c>
    </row>
    <row r="10">
      <c r="B10" s="7" t="inlineStr">
        <is>
          <t>ИТОГО ПО СЧЁТУ 60</t>
        </is>
      </c>
      <c r="C10" s="8">
        <f>SUM(C6:C9)</f>
        <v/>
      </c>
      <c r="D10" s="9" t="n"/>
      <c r="E10" s="9" t="n"/>
    </row>
    <row r="12">
      <c r="B12" s="15" t="inlineStr">
        <is>
          <t>В расходы учредителей</t>
        </is>
      </c>
      <c r="C12" s="16">
        <f>C6+C7</f>
        <v/>
      </c>
      <c r="E12" s="2" t="inlineStr">
        <is>
          <t>медицинские + управленческие; банковские комиссии идут отдельной строкой расходов, кредитные — не входят вовсе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2026-09-10T14:22:14Z</dcterms:created>
  <dcterms:modified xsi:type="dcterms:W3CDTF">2026-09-10T14:22:14Z</dcterms:modified>
</cp:coreProperties>
</file>